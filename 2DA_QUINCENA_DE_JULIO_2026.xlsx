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processperu.sharepoint.com/sites/Contabilidad_InProcess/Documentos compartidos/01 INDUSTRIAL PROCESS/PLE 2026/07 JULIO INPROCESS 2026/"/>
    </mc:Choice>
  </mc:AlternateContent>
  <xr:revisionPtr revIDLastSave="1337" documentId="14_{47ADFECC-40DE-47BB-A67C-FE600C859C60}" xr6:coauthVersionLast="47" xr6:coauthVersionMax="47" xr10:uidLastSave="{25F53B05-6AE9-4B79-A756-E5E6FD77DE33}"/>
  <bookViews>
    <workbookView xWindow="-120" yWindow="-120" windowWidth="29040" windowHeight="15720" tabRatio="830" firstSheet="2" activeTab="3" xr2:uid="{00000000-000D-0000-FFFF-FFFF00000000}"/>
  </bookViews>
  <sheets>
    <sheet name="LA MAR P1" sheetId="4" state="hidden" r:id="rId1"/>
    <sheet name="Hoja1" sheetId="22" state="hidden" r:id="rId2"/>
    <sheet name="AFP SBS" sheetId="26" r:id="rId3"/>
    <sheet name="PLANILLA MENSUAL" sheetId="21" r:id="rId4"/>
    <sheet name="H.E" sheetId="40" r:id="rId5"/>
    <sheet name="COMISIONES" sheetId="31" r:id="rId6"/>
    <sheet name="RTA 5TA VTAS" sheetId="27" r:id="rId7"/>
    <sheet name="RTA 5TA" sheetId="28" r:id="rId8"/>
    <sheet name="SEGURO PACIFICO" sheetId="29" r:id="rId9"/>
    <sheet name="VACACIONES" sheetId="30" r:id="rId10"/>
    <sheet name="HT. EPS" sheetId="37" r:id="rId11"/>
    <sheet name="TARDANZA" sheetId="35" r:id="rId12"/>
    <sheet name="Hoja3" sheetId="33" r:id="rId13"/>
    <sheet name="TRANSF" sheetId="36" r:id="rId14"/>
    <sheet name="DIARIO" sheetId="41" r:id="rId15"/>
    <sheet name="HH.EE" sheetId="39" state="hidden" r:id="rId16"/>
    <sheet name="PLANILLA BRUTA" sheetId="25" state="hidden" r:id="rId17"/>
    <sheet name="COSTO GRATIFICACIONES" sheetId="9" state="hidden" r:id="rId18"/>
    <sheet name="COSTO CTS " sheetId="10" state="hidden" r:id="rId19"/>
    <sheet name="COSTO VACACIONES" sheetId="11" state="hidden" r:id="rId20"/>
    <sheet name="COSTO TOTAL" sheetId="12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17" hidden="1">'COSTO GRATIFICACIONES'!$A$22:$L$33</definedName>
    <definedName name="_xlnm._FilterDatabase" localSheetId="4" hidden="1">H.E!$G$4:$N$47</definedName>
    <definedName name="_xlnm._FilterDatabase" localSheetId="0" hidden="1">'LA MAR P1'!$A$23:$AF$35</definedName>
    <definedName name="_xlnm._FilterDatabase" localSheetId="3" hidden="1">'PLANILLA MENSUAL'!$A$11:$EX$58</definedName>
    <definedName name="_xlnm._FilterDatabase" localSheetId="11" hidden="1">TARDANZA!$B$3:$E$48</definedName>
    <definedName name="_xlnm.Print_Area" localSheetId="5">COMISIONES!$A$1:$Q$17</definedName>
    <definedName name="_xlnm.Print_Area" localSheetId="17">'COSTO GRATIFICACIONES'!$B$2:$J$34</definedName>
    <definedName name="_xlnm.Print_Area" localSheetId="0">'LA MAR P1'!$B$2:$T$36</definedName>
    <definedName name="_xlnm.Print_Area" localSheetId="3">'PLANILLA MENSUAL'!$B$2:$BM$65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37" l="1"/>
  <c r="BJ49" i="21"/>
  <c r="R49" i="21"/>
  <c r="T9" i="31"/>
  <c r="S9" i="31"/>
  <c r="R9" i="31"/>
  <c r="P9" i="31"/>
  <c r="V40" i="21"/>
  <c r="BC29" i="21"/>
  <c r="V18" i="21"/>
  <c r="AC16" i="21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G28" i="40"/>
  <c r="G29" i="40"/>
  <c r="G30" i="40"/>
  <c r="G31" i="40"/>
  <c r="G32" i="40"/>
  <c r="G33" i="40"/>
  <c r="G34" i="40"/>
  <c r="G35" i="40"/>
  <c r="G36" i="40"/>
  <c r="G37" i="40"/>
  <c r="G38" i="40"/>
  <c r="G39" i="40"/>
  <c r="G40" i="40"/>
  <c r="G41" i="40"/>
  <c r="G42" i="40"/>
  <c r="G43" i="40"/>
  <c r="G44" i="40"/>
  <c r="G45" i="40"/>
  <c r="G46" i="40"/>
  <c r="G47" i="40"/>
  <c r="AV12" i="21" l="1"/>
  <c r="BB12" i="21" l="1"/>
  <c r="BJ86" i="21" l="1"/>
  <c r="BC26" i="21"/>
  <c r="BC21" i="21"/>
  <c r="L115" i="28"/>
  <c r="O88" i="28"/>
  <c r="G125" i="41" l="1"/>
  <c r="G111" i="41"/>
  <c r="G90" i="41"/>
  <c r="G89" i="41"/>
  <c r="G88" i="41"/>
  <c r="S88" i="41" s="1"/>
  <c r="G87" i="41"/>
  <c r="S87" i="41" s="1"/>
  <c r="R86" i="41"/>
  <c r="G86" i="41"/>
  <c r="G85" i="41"/>
  <c r="S85" i="41" s="1"/>
  <c r="G77" i="41"/>
  <c r="G76" i="41"/>
  <c r="G75" i="41"/>
  <c r="G74" i="41"/>
  <c r="G73" i="41"/>
  <c r="G72" i="41"/>
  <c r="G71" i="41"/>
  <c r="G70" i="41"/>
  <c r="G69" i="41"/>
  <c r="G68" i="41"/>
  <c r="G67" i="41"/>
  <c r="G66" i="41"/>
  <c r="G65" i="41"/>
  <c r="G64" i="41"/>
  <c r="G63" i="41"/>
  <c r="G62" i="41"/>
  <c r="G61" i="41"/>
  <c r="G60" i="41"/>
  <c r="G59" i="41"/>
  <c r="G58" i="41"/>
  <c r="G57" i="41"/>
  <c r="G56" i="41"/>
  <c r="G55" i="41"/>
  <c r="G54" i="41"/>
  <c r="G53" i="41"/>
  <c r="G52" i="41"/>
  <c r="G51" i="41"/>
  <c r="G50" i="41"/>
  <c r="G49" i="41"/>
  <c r="G48" i="41"/>
  <c r="G47" i="41"/>
  <c r="G46" i="41"/>
  <c r="G143" i="41" l="1"/>
  <c r="S86" i="41"/>
  <c r="F41" i="41" l="1"/>
  <c r="F37" i="41"/>
  <c r="F28" i="41"/>
  <c r="F24" i="41"/>
  <c r="F23" i="41"/>
  <c r="F10" i="41"/>
  <c r="F42" i="41" l="1"/>
  <c r="F29" i="41"/>
  <c r="F36" i="41" l="1"/>
  <c r="F140" i="41"/>
  <c r="F139" i="41"/>
  <c r="F27" i="41"/>
  <c r="F14" i="41"/>
  <c r="F33" i="41" l="1"/>
  <c r="F22" i="41"/>
  <c r="F9" i="41" l="1"/>
  <c r="G137" i="41" l="1"/>
  <c r="F18" i="41"/>
  <c r="F40" i="41" l="1"/>
  <c r="F11" i="41" l="1"/>
  <c r="F30" i="41"/>
  <c r="F43" i="41"/>
  <c r="F15" i="41"/>
  <c r="F19" i="41" l="1"/>
  <c r="G127" i="41" l="1"/>
  <c r="G116" i="41" l="1"/>
  <c r="F44" i="41"/>
  <c r="F12" i="41"/>
  <c r="G115" i="41" l="1"/>
  <c r="F38" i="41" l="1"/>
  <c r="F31" i="41"/>
  <c r="F34" i="41"/>
  <c r="F20" i="41"/>
  <c r="F16" i="41"/>
  <c r="G121" i="41"/>
  <c r="G117" i="41"/>
  <c r="G102" i="41"/>
  <c r="G103" i="41"/>
  <c r="G120" i="41"/>
  <c r="G119" i="41" l="1"/>
  <c r="G100" i="41"/>
  <c r="F25" i="41" l="1"/>
  <c r="F143" i="41" s="1"/>
  <c r="G144" i="41" s="1"/>
  <c r="G93" i="41" l="1"/>
  <c r="G91" i="41" l="1"/>
  <c r="G107" i="41"/>
  <c r="G123" i="41" l="1"/>
  <c r="G126" i="41" l="1"/>
  <c r="G124" i="41"/>
  <c r="G114" i="41"/>
  <c r="G122" i="41" l="1"/>
  <c r="G108" i="41"/>
  <c r="G104" i="41"/>
  <c r="G112" i="41" l="1"/>
  <c r="G118" i="41"/>
  <c r="G105" i="41"/>
  <c r="G106" i="41"/>
  <c r="G113" i="41" l="1"/>
  <c r="G101" i="41" l="1"/>
  <c r="G94" i="41"/>
  <c r="G98" i="41" l="1"/>
  <c r="G95" i="41"/>
  <c r="G109" i="41" l="1"/>
  <c r="G96" i="41"/>
  <c r="G97" i="41"/>
  <c r="G99" i="41"/>
  <c r="G110" i="41"/>
  <c r="G92" i="41" l="1"/>
  <c r="H35" i="35" l="1"/>
  <c r="BT59" i="21" l="1"/>
  <c r="BT58" i="21"/>
  <c r="D88" i="28"/>
  <c r="BH79" i="21" l="1"/>
  <c r="K93" i="27"/>
  <c r="L93" i="27"/>
  <c r="M93" i="27"/>
  <c r="K92" i="27"/>
  <c r="L92" i="27"/>
  <c r="J83" i="27" l="1"/>
  <c r="F83" i="27"/>
  <c r="M78" i="27"/>
  <c r="J78" i="27"/>
  <c r="I78" i="27"/>
  <c r="H78" i="27"/>
  <c r="G78" i="27"/>
  <c r="F78" i="27"/>
  <c r="E78" i="27"/>
  <c r="D78" i="27"/>
  <c r="J77" i="27"/>
  <c r="F77" i="27"/>
  <c r="J12" i="31" l="1"/>
  <c r="U57" i="21" s="1"/>
  <c r="U12" i="21"/>
  <c r="U54" i="21"/>
  <c r="U42" i="21"/>
  <c r="U40" i="21"/>
  <c r="U36" i="21"/>
  <c r="U35" i="21"/>
  <c r="U26" i="21"/>
  <c r="U22" i="21"/>
  <c r="U18" i="21"/>
  <c r="H134" i="27"/>
  <c r="M134" i="27"/>
  <c r="J134" i="27"/>
  <c r="I134" i="27"/>
  <c r="G134" i="27"/>
  <c r="F134" i="27"/>
  <c r="E134" i="27"/>
  <c r="D134" i="27"/>
  <c r="P10" i="31"/>
  <c r="Q10" i="31" s="1"/>
  <c r="P11" i="31"/>
  <c r="Q11" i="31" s="1"/>
  <c r="R88" i="28" l="1"/>
  <c r="F80" i="28"/>
  <c r="F88" i="28" s="1"/>
  <c r="D30" i="37" l="1"/>
  <c r="C8" i="37" l="1"/>
  <c r="V22" i="21"/>
  <c r="AC18" i="21"/>
  <c r="AC17" i="21"/>
  <c r="I28" i="37"/>
  <c r="F85" i="27" l="1"/>
  <c r="O44" i="37"/>
  <c r="O40" i="37"/>
  <c r="H45" i="35"/>
  <c r="H37" i="35"/>
  <c r="J85" i="27" l="1"/>
  <c r="H29" i="35"/>
  <c r="H25" i="35"/>
  <c r="H19" i="35"/>
  <c r="H18" i="35"/>
  <c r="H10" i="35"/>
  <c r="H8" i="35"/>
  <c r="AN62" i="21" l="1"/>
  <c r="AV62" i="21" s="1"/>
  <c r="AM62" i="21"/>
  <c r="AN61" i="21"/>
  <c r="BL61" i="21" s="1"/>
  <c r="AM61" i="21"/>
  <c r="AW62" i="21"/>
  <c r="AW61" i="21"/>
  <c r="AW60" i="21"/>
  <c r="AM60" i="21"/>
  <c r="T22" i="21"/>
  <c r="T26" i="21"/>
  <c r="T13" i="21"/>
  <c r="T14" i="21"/>
  <c r="T15" i="21"/>
  <c r="T16" i="21"/>
  <c r="R16" i="21" s="1"/>
  <c r="T17" i="21"/>
  <c r="R17" i="21" s="1"/>
  <c r="T18" i="21"/>
  <c r="R18" i="21" s="1"/>
  <c r="T19" i="21"/>
  <c r="T20" i="21"/>
  <c r="T21" i="21"/>
  <c r="T23" i="21"/>
  <c r="T24" i="21"/>
  <c r="T25" i="21"/>
  <c r="T27" i="21"/>
  <c r="T28" i="21"/>
  <c r="T29" i="21"/>
  <c r="T30" i="21"/>
  <c r="T31" i="21"/>
  <c r="T32" i="21"/>
  <c r="T33" i="21"/>
  <c r="T34" i="21"/>
  <c r="T35" i="21"/>
  <c r="T36" i="21"/>
  <c r="T37" i="21"/>
  <c r="T38" i="21"/>
  <c r="T39" i="21"/>
  <c r="T40" i="21"/>
  <c r="T41" i="21"/>
  <c r="T42" i="21"/>
  <c r="T43" i="21"/>
  <c r="T44" i="21"/>
  <c r="T45" i="21"/>
  <c r="T46" i="21"/>
  <c r="T47" i="21"/>
  <c r="T48" i="21"/>
  <c r="T49" i="21"/>
  <c r="T50" i="21"/>
  <c r="T51" i="21"/>
  <c r="T52" i="21"/>
  <c r="T53" i="21"/>
  <c r="T54" i="21"/>
  <c r="T12" i="21"/>
  <c r="AV61" i="21" l="1"/>
  <c r="AT61" i="21"/>
  <c r="AR61" i="21"/>
  <c r="BL62" i="21"/>
  <c r="AR62" i="21"/>
  <c r="AT62" i="21"/>
  <c r="V26" i="21"/>
  <c r="AC13" i="21"/>
  <c r="R13" i="21" s="1"/>
  <c r="AC14" i="21"/>
  <c r="R14" i="21" s="1"/>
  <c r="AC15" i="21"/>
  <c r="R15" i="21" s="1"/>
  <c r="AC19" i="21"/>
  <c r="R19" i="21" s="1"/>
  <c r="AC20" i="21"/>
  <c r="R20" i="21" s="1"/>
  <c r="AC21" i="21"/>
  <c r="R21" i="21" s="1"/>
  <c r="AC22" i="21"/>
  <c r="R22" i="21" s="1"/>
  <c r="AC23" i="21"/>
  <c r="R23" i="21" s="1"/>
  <c r="AC24" i="21"/>
  <c r="R24" i="21" s="1"/>
  <c r="AC25" i="21"/>
  <c r="R25" i="21" s="1"/>
  <c r="AC26" i="21"/>
  <c r="R26" i="21" s="1"/>
  <c r="AC27" i="21"/>
  <c r="R27" i="21" s="1"/>
  <c r="AC28" i="21"/>
  <c r="R28" i="21" s="1"/>
  <c r="AC29" i="21"/>
  <c r="R29" i="21" s="1"/>
  <c r="AC30" i="21"/>
  <c r="R30" i="21" s="1"/>
  <c r="AC31" i="21"/>
  <c r="R31" i="21" s="1"/>
  <c r="AC32" i="21"/>
  <c r="R32" i="21" s="1"/>
  <c r="AC33" i="21"/>
  <c r="R33" i="21" s="1"/>
  <c r="AC34" i="21"/>
  <c r="R34" i="21" s="1"/>
  <c r="AC35" i="21"/>
  <c r="R35" i="21" s="1"/>
  <c r="AC36" i="21"/>
  <c r="R36" i="21" s="1"/>
  <c r="AC37" i="21"/>
  <c r="R37" i="21" s="1"/>
  <c r="AC38" i="21"/>
  <c r="R38" i="21" s="1"/>
  <c r="AC39" i="21"/>
  <c r="R39" i="21" s="1"/>
  <c r="AC40" i="21"/>
  <c r="R40" i="21" s="1"/>
  <c r="AC41" i="21"/>
  <c r="R41" i="21" s="1"/>
  <c r="AC42" i="21"/>
  <c r="R42" i="21" s="1"/>
  <c r="AC43" i="21"/>
  <c r="R43" i="21" s="1"/>
  <c r="AC44" i="21"/>
  <c r="R44" i="21" s="1"/>
  <c r="AC45" i="21"/>
  <c r="R45" i="21" s="1"/>
  <c r="AC46" i="21"/>
  <c r="R46" i="21" s="1"/>
  <c r="AC47" i="21"/>
  <c r="R47" i="21" s="1"/>
  <c r="AC48" i="21"/>
  <c r="R48" i="21" s="1"/>
  <c r="AC49" i="21"/>
  <c r="AC50" i="21"/>
  <c r="R50" i="21" s="1"/>
  <c r="AC51" i="21"/>
  <c r="R51" i="21" s="1"/>
  <c r="AC52" i="21"/>
  <c r="R52" i="21" s="1"/>
  <c r="AC53" i="21"/>
  <c r="R53" i="21" s="1"/>
  <c r="AC54" i="21"/>
  <c r="R54" i="21" s="1"/>
  <c r="AC55" i="21"/>
  <c r="AC12" i="21"/>
  <c r="R12" i="21" s="1"/>
  <c r="E85" i="27" l="1"/>
  <c r="G85" i="27"/>
  <c r="AX61" i="21"/>
  <c r="BI61" i="21" s="1"/>
  <c r="AX62" i="21"/>
  <c r="BI62" i="21" s="1"/>
  <c r="K9" i="35"/>
  <c r="AY15" i="21" s="1"/>
  <c r="K8" i="35"/>
  <c r="AY14" i="21" s="1"/>
  <c r="K7" i="35"/>
  <c r="AY13" i="21" s="1"/>
  <c r="K6" i="35"/>
  <c r="AY12" i="21" s="1"/>
  <c r="G28" i="37"/>
  <c r="H28" i="37"/>
  <c r="P4" i="30"/>
  <c r="Q4" i="30" s="1"/>
  <c r="R4" i="30" s="1"/>
  <c r="T4" i="30" s="1"/>
  <c r="O12" i="30"/>
  <c r="N12" i="30"/>
  <c r="M12" i="30"/>
  <c r="L12" i="30"/>
  <c r="K12" i="30"/>
  <c r="J12" i="30"/>
  <c r="I12" i="30"/>
  <c r="H12" i="30"/>
  <c r="G12" i="30"/>
  <c r="F12" i="30"/>
  <c r="E12" i="30"/>
  <c r="D12" i="30"/>
  <c r="P11" i="30"/>
  <c r="Q11" i="30" s="1"/>
  <c r="R11" i="30" s="1"/>
  <c r="T11" i="30" s="1"/>
  <c r="P10" i="30"/>
  <c r="Q10" i="30" s="1"/>
  <c r="R10" i="30" s="1"/>
  <c r="T10" i="30" s="1"/>
  <c r="P9" i="30"/>
  <c r="Q9" i="30" s="1"/>
  <c r="R9" i="30" s="1"/>
  <c r="T9" i="30" s="1"/>
  <c r="P8" i="30"/>
  <c r="Q8" i="30" s="1"/>
  <c r="R8" i="30" s="1"/>
  <c r="T8" i="30" s="1"/>
  <c r="P7" i="30"/>
  <c r="Q7" i="30" s="1"/>
  <c r="R7" i="30" s="1"/>
  <c r="T7" i="30" s="1"/>
  <c r="P6" i="30"/>
  <c r="Q6" i="30" s="1"/>
  <c r="R6" i="30" s="1"/>
  <c r="T6" i="30" s="1"/>
  <c r="P5" i="30"/>
  <c r="Q5" i="30" s="1"/>
  <c r="R5" i="30" s="1"/>
  <c r="T5" i="30" s="1"/>
  <c r="B5" i="30"/>
  <c r="B6" i="30" s="1"/>
  <c r="B7" i="30" s="1"/>
  <c r="B8" i="30" s="1"/>
  <c r="B9" i="30" s="1"/>
  <c r="B10" i="30" s="1"/>
  <c r="V56" i="21" l="1"/>
  <c r="T12" i="30"/>
  <c r="V57" i="21" s="1"/>
  <c r="P12" i="30"/>
  <c r="Q12" i="30"/>
  <c r="J88" i="28"/>
  <c r="E88" i="28"/>
  <c r="I88" i="28"/>
  <c r="P81" i="28"/>
  <c r="H81" i="28"/>
  <c r="S80" i="28"/>
  <c r="S78" i="28"/>
  <c r="S77" i="28"/>
  <c r="S81" i="28" l="1"/>
  <c r="B62" i="21" l="1"/>
  <c r="BB46" i="21"/>
  <c r="BB47" i="21"/>
  <c r="BB45" i="21"/>
  <c r="BB13" i="21"/>
  <c r="BB14" i="21"/>
  <c r="BB15" i="21"/>
  <c r="BB16" i="21"/>
  <c r="BB17" i="21"/>
  <c r="BB18" i="21"/>
  <c r="BB19" i="21"/>
  <c r="BB20" i="21"/>
  <c r="BB21" i="21"/>
  <c r="BB22" i="21"/>
  <c r="BB23" i="21"/>
  <c r="BB24" i="21"/>
  <c r="BB25" i="21"/>
  <c r="BB26" i="21"/>
  <c r="BB27" i="21"/>
  <c r="BB28" i="21"/>
  <c r="BB29" i="21"/>
  <c r="BB30" i="21"/>
  <c r="BB31" i="21"/>
  <c r="BB32" i="21"/>
  <c r="BB33" i="21"/>
  <c r="BB34" i="21"/>
  <c r="BB35" i="21"/>
  <c r="BB36" i="21"/>
  <c r="BB37" i="21"/>
  <c r="BB38" i="21"/>
  <c r="BB39" i="21"/>
  <c r="BB40" i="21"/>
  <c r="BB41" i="21"/>
  <c r="BB42" i="21"/>
  <c r="BB43" i="21"/>
  <c r="BB44" i="21"/>
  <c r="D86" i="27"/>
  <c r="I86" i="27" l="1"/>
  <c r="M86" i="27"/>
  <c r="M92" i="27" s="1"/>
  <c r="G86" i="27"/>
  <c r="F86" i="27"/>
  <c r="E86" i="27"/>
  <c r="H86" i="27"/>
  <c r="Q88" i="28"/>
  <c r="I89" i="28"/>
  <c r="P59" i="37" l="1"/>
  <c r="P60" i="37" l="1"/>
  <c r="P61" i="37" s="1"/>
  <c r="Q34" i="37"/>
  <c r="P34" i="37"/>
  <c r="O34" i="37"/>
  <c r="N34" i="37"/>
  <c r="K32" i="37"/>
  <c r="J32" i="37"/>
  <c r="I32" i="37"/>
  <c r="H32" i="37"/>
  <c r="G32" i="37"/>
  <c r="F31" i="37"/>
  <c r="K31" i="37" s="1"/>
  <c r="E31" i="37"/>
  <c r="J31" i="37" s="1"/>
  <c r="D31" i="37"/>
  <c r="I31" i="37" s="1"/>
  <c r="C31" i="37"/>
  <c r="H31" i="37" s="1"/>
  <c r="B31" i="37"/>
  <c r="G31" i="37" s="1"/>
  <c r="F30" i="37"/>
  <c r="K30" i="37" s="1"/>
  <c r="E30" i="37"/>
  <c r="J30" i="37" s="1"/>
  <c r="I30" i="37"/>
  <c r="C30" i="37"/>
  <c r="H30" i="37" s="1"/>
  <c r="B30" i="37"/>
  <c r="G30" i="37" s="1"/>
  <c r="F29" i="37"/>
  <c r="K29" i="37" s="1"/>
  <c r="E29" i="37"/>
  <c r="J29" i="37" s="1"/>
  <c r="D29" i="37"/>
  <c r="I29" i="37" s="1"/>
  <c r="C29" i="37"/>
  <c r="H29" i="37" s="1"/>
  <c r="B29" i="37"/>
  <c r="G29" i="37" s="1"/>
  <c r="K28" i="37"/>
  <c r="J28" i="37"/>
  <c r="I16" i="37"/>
  <c r="BT70" i="21" l="1"/>
  <c r="BT69" i="21"/>
  <c r="BT56" i="21" l="1"/>
  <c r="BP21" i="21"/>
  <c r="BT71" i="21" l="1"/>
  <c r="BT72" i="21" s="1"/>
  <c r="AW54" i="21"/>
  <c r="W54" i="21"/>
  <c r="X54" i="21"/>
  <c r="Y54" i="21"/>
  <c r="O54" i="21"/>
  <c r="Q54" i="21" s="1"/>
  <c r="AM54" i="21" l="1"/>
  <c r="AN60" i="21"/>
  <c r="AV60" i="21" l="1"/>
  <c r="AR60" i="21"/>
  <c r="AT60" i="21"/>
  <c r="BL60" i="21"/>
  <c r="G18" i="35"/>
  <c r="L18" i="35" s="1"/>
  <c r="AZ24" i="21" s="1"/>
  <c r="K18" i="35"/>
  <c r="AY24" i="21" s="1"/>
  <c r="AX60" i="21" l="1"/>
  <c r="BI60" i="21" s="1"/>
  <c r="BJ60" i="21" s="1"/>
  <c r="K88" i="28" l="1"/>
  <c r="K8" i="40" l="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T63" i="21"/>
  <c r="O26" i="21"/>
  <c r="T70" i="21" l="1"/>
  <c r="T68" i="21"/>
  <c r="T74" i="21"/>
  <c r="T69" i="21"/>
  <c r="T75" i="21"/>
  <c r="T76" i="21"/>
  <c r="T73" i="21"/>
  <c r="T56" i="21"/>
  <c r="T65" i="21" s="1"/>
  <c r="T72" i="21"/>
  <c r="EL42" i="21" l="1"/>
  <c r="EJ42" i="21"/>
  <c r="EJ43" i="21" s="1"/>
  <c r="U88" i="28" l="1"/>
  <c r="BJ84" i="21" l="1"/>
  <c r="AF63" i="21" l="1"/>
  <c r="AG63" i="21"/>
  <c r="AH63" i="21"/>
  <c r="AI63" i="21"/>
  <c r="AJ63" i="21"/>
  <c r="AK63" i="21"/>
  <c r="AL63" i="21"/>
  <c r="AD63" i="21"/>
  <c r="AA63" i="21"/>
  <c r="K6" i="40"/>
  <c r="K7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K27" i="40"/>
  <c r="K28" i="40"/>
  <c r="K29" i="40"/>
  <c r="K30" i="40"/>
  <c r="K31" i="40"/>
  <c r="K32" i="40"/>
  <c r="K33" i="40"/>
  <c r="K34" i="40"/>
  <c r="K35" i="40"/>
  <c r="K36" i="40"/>
  <c r="K37" i="40"/>
  <c r="K38" i="40"/>
  <c r="K39" i="40"/>
  <c r="K40" i="40"/>
  <c r="K41" i="40"/>
  <c r="K42" i="40"/>
  <c r="K43" i="40"/>
  <c r="K44" i="40"/>
  <c r="K45" i="40"/>
  <c r="K46" i="40"/>
  <c r="K47" i="40"/>
  <c r="J71" i="27" l="1"/>
  <c r="H25" i="28"/>
  <c r="G25" i="28"/>
  <c r="E25" i="28"/>
  <c r="D25" i="28"/>
  <c r="M94" i="27" l="1"/>
  <c r="M133" i="27"/>
  <c r="J133" i="27"/>
  <c r="J142" i="27" s="1"/>
  <c r="J143" i="27" s="1"/>
  <c r="I133" i="27"/>
  <c r="I142" i="27" s="1"/>
  <c r="H133" i="27"/>
  <c r="H142" i="27" s="1"/>
  <c r="G133" i="27"/>
  <c r="G142" i="27" s="1"/>
  <c r="F133" i="27"/>
  <c r="F142" i="27" s="1"/>
  <c r="F143" i="27" s="1"/>
  <c r="E133" i="27"/>
  <c r="E142" i="27" s="1"/>
  <c r="D133" i="27"/>
  <c r="D142" i="27" s="1"/>
  <c r="D143" i="27" s="1"/>
  <c r="N7" i="27"/>
  <c r="N24" i="27"/>
  <c r="N25" i="27"/>
  <c r="N26" i="27"/>
  <c r="N27" i="27"/>
  <c r="N28" i="27"/>
  <c r="N29" i="27"/>
  <c r="N30" i="27"/>
  <c r="N31" i="27"/>
  <c r="N32" i="27"/>
  <c r="N33" i="27"/>
  <c r="N34" i="27"/>
  <c r="N35" i="27"/>
  <c r="N36" i="27"/>
  <c r="N37" i="27"/>
  <c r="N38" i="27"/>
  <c r="N39" i="27"/>
  <c r="N40" i="27"/>
  <c r="N41" i="27"/>
  <c r="N42" i="27"/>
  <c r="N43" i="27"/>
  <c r="N44" i="27"/>
  <c r="N45" i="27"/>
  <c r="N46" i="27"/>
  <c r="N47" i="27"/>
  <c r="N48" i="27"/>
  <c r="N49" i="27"/>
  <c r="N50" i="27"/>
  <c r="N51" i="27"/>
  <c r="N52" i="27"/>
  <c r="N53" i="27"/>
  <c r="N54" i="27"/>
  <c r="N55" i="27"/>
  <c r="N56" i="27"/>
  <c r="N57" i="27"/>
  <c r="N58" i="27"/>
  <c r="N59" i="27"/>
  <c r="N60" i="27"/>
  <c r="N61" i="27"/>
  <c r="N62" i="27"/>
  <c r="N63" i="27"/>
  <c r="N64" i="27"/>
  <c r="N65" i="27"/>
  <c r="N66" i="27"/>
  <c r="N67" i="27"/>
  <c r="N68" i="27"/>
  <c r="N69" i="27"/>
  <c r="N70" i="27"/>
  <c r="N72" i="27"/>
  <c r="N73" i="27"/>
  <c r="N74" i="27"/>
  <c r="N90" i="27"/>
  <c r="N91" i="27"/>
  <c r="F71" i="27"/>
  <c r="N71" i="27" s="1"/>
  <c r="N40" i="40"/>
  <c r="N32" i="40"/>
  <c r="N26" i="40"/>
  <c r="N8" i="40"/>
  <c r="N7" i="40"/>
  <c r="B7" i="40"/>
  <c r="B8" i="40" s="1"/>
  <c r="B9" i="40" s="1"/>
  <c r="B10" i="40" s="1"/>
  <c r="B11" i="40" s="1"/>
  <c r="B12" i="40" s="1"/>
  <c r="B13" i="40" s="1"/>
  <c r="B14" i="40" s="1"/>
  <c r="B15" i="40" s="1"/>
  <c r="B16" i="40" s="1"/>
  <c r="B17" i="40" s="1"/>
  <c r="B18" i="40" s="1"/>
  <c r="B19" i="40" s="1"/>
  <c r="B20" i="40" s="1"/>
  <c r="B21" i="40" s="1"/>
  <c r="B22" i="40" s="1"/>
  <c r="B23" i="40" s="1"/>
  <c r="B24" i="40" s="1"/>
  <c r="B25" i="40" s="1"/>
  <c r="B26" i="40" s="1"/>
  <c r="B27" i="40" s="1"/>
  <c r="B28" i="40" s="1"/>
  <c r="B29" i="40" s="1"/>
  <c r="B30" i="40" s="1"/>
  <c r="B31" i="40" s="1"/>
  <c r="B32" i="40" s="1"/>
  <c r="B33" i="40" s="1"/>
  <c r="B34" i="40" s="1"/>
  <c r="B35" i="40" s="1"/>
  <c r="B36" i="40" s="1"/>
  <c r="B37" i="40" s="1"/>
  <c r="B38" i="40" s="1"/>
  <c r="B39" i="40" s="1"/>
  <c r="B40" i="40" s="1"/>
  <c r="B41" i="40" s="1"/>
  <c r="B42" i="40" s="1"/>
  <c r="B43" i="40" s="1"/>
  <c r="B44" i="40" s="1"/>
  <c r="B45" i="40" s="1"/>
  <c r="B46" i="40" s="1"/>
  <c r="B47" i="40" s="1"/>
  <c r="G6" i="40"/>
  <c r="K10" i="35"/>
  <c r="AY16" i="21" s="1"/>
  <c r="O107" i="28"/>
  <c r="S107" i="28" s="1"/>
  <c r="S129" i="27"/>
  <c r="D32" i="39"/>
  <c r="C32" i="39"/>
  <c r="E32" i="39"/>
  <c r="B32" i="39"/>
  <c r="S6" i="28"/>
  <c r="S8" i="28"/>
  <c r="S9" i="28"/>
  <c r="S11" i="28"/>
  <c r="S12" i="28"/>
  <c r="S14" i="28"/>
  <c r="S15" i="28"/>
  <c r="S16" i="28"/>
  <c r="S17" i="28"/>
  <c r="S19" i="28"/>
  <c r="S20" i="28"/>
  <c r="S21" i="28"/>
  <c r="S22" i="28"/>
  <c r="S23" i="28"/>
  <c r="S25" i="28"/>
  <c r="S26" i="28"/>
  <c r="S27" i="28"/>
  <c r="S28" i="28"/>
  <c r="S29" i="28"/>
  <c r="S30" i="28"/>
  <c r="S33" i="28"/>
  <c r="S34" i="28"/>
  <c r="S35" i="28"/>
  <c r="S36" i="28"/>
  <c r="S38" i="28"/>
  <c r="S41" i="28"/>
  <c r="S42" i="28"/>
  <c r="S43" i="28"/>
  <c r="S44" i="28"/>
  <c r="S45" i="28"/>
  <c r="S46" i="28"/>
  <c r="S47" i="28"/>
  <c r="S48" i="28"/>
  <c r="S49" i="28"/>
  <c r="S50" i="28"/>
  <c r="S51" i="28"/>
  <c r="S52" i="28"/>
  <c r="S53" i="28"/>
  <c r="S54" i="28"/>
  <c r="S55" i="28"/>
  <c r="S56" i="28"/>
  <c r="S57" i="28"/>
  <c r="S58" i="28"/>
  <c r="S59" i="28"/>
  <c r="S60" i="28"/>
  <c r="S61" i="28"/>
  <c r="S62" i="28"/>
  <c r="S63" i="28"/>
  <c r="S64" i="28"/>
  <c r="S65" i="28"/>
  <c r="S66" i="28"/>
  <c r="S67" i="28"/>
  <c r="S68" i="28"/>
  <c r="S69" i="28"/>
  <c r="S70" i="28"/>
  <c r="S71" i="28"/>
  <c r="S72" i="28"/>
  <c r="S73" i="28"/>
  <c r="S74" i="28"/>
  <c r="S75" i="28"/>
  <c r="S76" i="28"/>
  <c r="S82" i="28"/>
  <c r="S83" i="28"/>
  <c r="S84" i="28"/>
  <c r="S85" i="28"/>
  <c r="S86" i="28"/>
  <c r="S87" i="28"/>
  <c r="S98" i="28"/>
  <c r="S99" i="28"/>
  <c r="S100" i="28"/>
  <c r="S101" i="28"/>
  <c r="S102" i="28"/>
  <c r="S103" i="28"/>
  <c r="S104" i="28"/>
  <c r="S105" i="28"/>
  <c r="S106" i="28"/>
  <c r="S108" i="28"/>
  <c r="S109" i="28"/>
  <c r="S110" i="28"/>
  <c r="S111" i="28"/>
  <c r="S119" i="28"/>
  <c r="C24" i="39"/>
  <c r="C25" i="39"/>
  <c r="C26" i="39"/>
  <c r="C27" i="39"/>
  <c r="C28" i="39"/>
  <c r="C23" i="39"/>
  <c r="D27" i="39"/>
  <c r="D28" i="39"/>
  <c r="D24" i="39"/>
  <c r="D3" i="39"/>
  <c r="E3" i="39" s="1"/>
  <c r="H3" i="39" s="1"/>
  <c r="D4" i="39"/>
  <c r="D5" i="39"/>
  <c r="D6" i="39"/>
  <c r="E6" i="39" s="1"/>
  <c r="H6" i="39" s="1"/>
  <c r="D7" i="39"/>
  <c r="D8" i="39"/>
  <c r="E8" i="39" s="1"/>
  <c r="H8" i="39" s="1"/>
  <c r="D14" i="39"/>
  <c r="D25" i="39" s="1"/>
  <c r="D15" i="39"/>
  <c r="D26" i="39" s="1"/>
  <c r="F147" i="27" l="1"/>
  <c r="F146" i="27"/>
  <c r="J147" i="27"/>
  <c r="J146" i="27"/>
  <c r="D147" i="27"/>
  <c r="D146" i="27"/>
  <c r="L19" i="40"/>
  <c r="W25" i="21" s="1"/>
  <c r="N19" i="40"/>
  <c r="Y25" i="21" s="1"/>
  <c r="L31" i="40"/>
  <c r="W37" i="21" s="1"/>
  <c r="N31" i="40"/>
  <c r="Y37" i="21" s="1"/>
  <c r="L42" i="40"/>
  <c r="W48" i="21" s="1"/>
  <c r="N42" i="40"/>
  <c r="Y48" i="21" s="1"/>
  <c r="L30" i="40"/>
  <c r="W36" i="21" s="1"/>
  <c r="N30" i="40"/>
  <c r="Y36" i="21" s="1"/>
  <c r="L43" i="40"/>
  <c r="W49" i="21" s="1"/>
  <c r="N43" i="40"/>
  <c r="Y49" i="21" s="1"/>
  <c r="L20" i="40"/>
  <c r="W26" i="21" s="1"/>
  <c r="N20" i="40"/>
  <c r="Y26" i="21" s="1"/>
  <c r="L10" i="40"/>
  <c r="W16" i="21" s="1"/>
  <c r="N10" i="40"/>
  <c r="Y16" i="21" s="1"/>
  <c r="L21" i="40"/>
  <c r="W27" i="21" s="1"/>
  <c r="N21" i="40"/>
  <c r="Y27" i="21" s="1"/>
  <c r="L33" i="40"/>
  <c r="W39" i="21" s="1"/>
  <c r="N33" i="40"/>
  <c r="Y39" i="21" s="1"/>
  <c r="L44" i="40"/>
  <c r="W50" i="21" s="1"/>
  <c r="N44" i="40"/>
  <c r="Y50" i="21" s="1"/>
  <c r="L45" i="40"/>
  <c r="W51" i="21" s="1"/>
  <c r="N45" i="40"/>
  <c r="Y51" i="21" s="1"/>
  <c r="L11" i="40"/>
  <c r="W17" i="21" s="1"/>
  <c r="N11" i="40"/>
  <c r="Y17" i="21" s="1"/>
  <c r="L12" i="40"/>
  <c r="W18" i="21" s="1"/>
  <c r="N12" i="40"/>
  <c r="Y18" i="21" s="1"/>
  <c r="L23" i="40"/>
  <c r="W29" i="21" s="1"/>
  <c r="N23" i="40"/>
  <c r="Y29" i="21" s="1"/>
  <c r="L35" i="40"/>
  <c r="W41" i="21" s="1"/>
  <c r="N35" i="40"/>
  <c r="Y41" i="21" s="1"/>
  <c r="L46" i="40"/>
  <c r="W52" i="21" s="1"/>
  <c r="N46" i="40"/>
  <c r="Y52" i="21" s="1"/>
  <c r="L18" i="40"/>
  <c r="W24" i="21" s="1"/>
  <c r="N18" i="40"/>
  <c r="Y24" i="21" s="1"/>
  <c r="L34" i="40"/>
  <c r="W40" i="21" s="1"/>
  <c r="N34" i="40"/>
  <c r="Y40" i="21" s="1"/>
  <c r="L13" i="40"/>
  <c r="W19" i="21" s="1"/>
  <c r="N13" i="40"/>
  <c r="Y19" i="21" s="1"/>
  <c r="L24" i="40"/>
  <c r="W30" i="21" s="1"/>
  <c r="N24" i="40"/>
  <c r="Y30" i="21" s="1"/>
  <c r="L36" i="40"/>
  <c r="W42" i="21" s="1"/>
  <c r="N36" i="40"/>
  <c r="Y42" i="21" s="1"/>
  <c r="L47" i="40"/>
  <c r="W53" i="21" s="1"/>
  <c r="N47" i="40"/>
  <c r="Y53" i="21" s="1"/>
  <c r="L22" i="40"/>
  <c r="W28" i="21" s="1"/>
  <c r="N22" i="40"/>
  <c r="Y28" i="21" s="1"/>
  <c r="L14" i="40"/>
  <c r="W20" i="21" s="1"/>
  <c r="N14" i="40"/>
  <c r="Y20" i="21" s="1"/>
  <c r="L25" i="40"/>
  <c r="W31" i="21" s="1"/>
  <c r="N25" i="40"/>
  <c r="Y31" i="21" s="1"/>
  <c r="L37" i="40"/>
  <c r="W43" i="21" s="1"/>
  <c r="N37" i="40"/>
  <c r="Y43" i="21" s="1"/>
  <c r="L38" i="40"/>
  <c r="W44" i="21" s="1"/>
  <c r="N38" i="40"/>
  <c r="Y44" i="21" s="1"/>
  <c r="L41" i="40"/>
  <c r="W47" i="21" s="1"/>
  <c r="N41" i="40"/>
  <c r="Y47" i="21" s="1"/>
  <c r="L16" i="40"/>
  <c r="W22" i="21" s="1"/>
  <c r="N16" i="40"/>
  <c r="Y22" i="21" s="1"/>
  <c r="L27" i="40"/>
  <c r="W33" i="21" s="1"/>
  <c r="N27" i="40"/>
  <c r="Y33" i="21" s="1"/>
  <c r="L6" i="40"/>
  <c r="W12" i="21" s="1"/>
  <c r="N6" i="40"/>
  <c r="Y12" i="21" s="1"/>
  <c r="L17" i="40"/>
  <c r="W23" i="21" s="1"/>
  <c r="N17" i="40"/>
  <c r="Y23" i="21" s="1"/>
  <c r="L28" i="40"/>
  <c r="W34" i="21" s="1"/>
  <c r="N28" i="40"/>
  <c r="Y34" i="21" s="1"/>
  <c r="L39" i="40"/>
  <c r="W45" i="21" s="1"/>
  <c r="N39" i="40"/>
  <c r="Y45" i="21" s="1"/>
  <c r="L9" i="40"/>
  <c r="W15" i="21" s="1"/>
  <c r="N9" i="40"/>
  <c r="Y15" i="21" s="1"/>
  <c r="L15" i="40"/>
  <c r="W21" i="21" s="1"/>
  <c r="N15" i="40"/>
  <c r="Y21" i="21" s="1"/>
  <c r="L29" i="40"/>
  <c r="W35" i="21" s="1"/>
  <c r="N29" i="40"/>
  <c r="Y35" i="21" s="1"/>
  <c r="L40" i="40"/>
  <c r="W46" i="21" s="1"/>
  <c r="Y46" i="21"/>
  <c r="L8" i="40"/>
  <c r="W14" i="21" s="1"/>
  <c r="L26" i="40"/>
  <c r="W32" i="21" s="1"/>
  <c r="L32" i="40"/>
  <c r="W38" i="21" s="1"/>
  <c r="L7" i="40"/>
  <c r="W13" i="21" s="1"/>
  <c r="Y38" i="21"/>
  <c r="Y32" i="21"/>
  <c r="M36" i="40"/>
  <c r="X42" i="21" s="1"/>
  <c r="M25" i="40"/>
  <c r="X31" i="21" s="1"/>
  <c r="M29" i="40"/>
  <c r="X35" i="21" s="1"/>
  <c r="M17" i="40"/>
  <c r="X23" i="21" s="1"/>
  <c r="M40" i="40"/>
  <c r="X46" i="21" s="1"/>
  <c r="Y14" i="21"/>
  <c r="M39" i="40"/>
  <c r="X45" i="21" s="1"/>
  <c r="Y13" i="21"/>
  <c r="M27" i="40"/>
  <c r="X33" i="21" s="1"/>
  <c r="M16" i="40"/>
  <c r="X22" i="21" s="1"/>
  <c r="M38" i="40"/>
  <c r="X44" i="21" s="1"/>
  <c r="M26" i="40"/>
  <c r="X32" i="21" s="1"/>
  <c r="M15" i="40"/>
  <c r="X21" i="21" s="1"/>
  <c r="M28" i="40"/>
  <c r="X34" i="21" s="1"/>
  <c r="M37" i="40"/>
  <c r="X43" i="21" s="1"/>
  <c r="M14" i="40"/>
  <c r="X20" i="21" s="1"/>
  <c r="M47" i="40"/>
  <c r="X53" i="21" s="1"/>
  <c r="M24" i="40"/>
  <c r="X30" i="21" s="1"/>
  <c r="M13" i="40"/>
  <c r="X19" i="21" s="1"/>
  <c r="M46" i="40"/>
  <c r="X52" i="21" s="1"/>
  <c r="M35" i="40"/>
  <c r="X41" i="21" s="1"/>
  <c r="M23" i="40"/>
  <c r="X29" i="21" s="1"/>
  <c r="M12" i="40"/>
  <c r="X18" i="21" s="1"/>
  <c r="M45" i="40"/>
  <c r="X51" i="21" s="1"/>
  <c r="M34" i="40"/>
  <c r="X40" i="21" s="1"/>
  <c r="M22" i="40"/>
  <c r="X28" i="21" s="1"/>
  <c r="M11" i="40"/>
  <c r="X17" i="21" s="1"/>
  <c r="M44" i="40"/>
  <c r="X50" i="21" s="1"/>
  <c r="M33" i="40"/>
  <c r="X39" i="21" s="1"/>
  <c r="M21" i="40"/>
  <c r="X27" i="21" s="1"/>
  <c r="M10" i="40"/>
  <c r="X16" i="21" s="1"/>
  <c r="M43" i="40"/>
  <c r="X49" i="21" s="1"/>
  <c r="M32" i="40"/>
  <c r="X38" i="21" s="1"/>
  <c r="M20" i="40"/>
  <c r="X26" i="21" s="1"/>
  <c r="M9" i="40"/>
  <c r="X15" i="21" s="1"/>
  <c r="M42" i="40"/>
  <c r="X48" i="21" s="1"/>
  <c r="M31" i="40"/>
  <c r="X37" i="21" s="1"/>
  <c r="M19" i="40"/>
  <c r="X25" i="21" s="1"/>
  <c r="M8" i="40"/>
  <c r="X14" i="21" s="1"/>
  <c r="M41" i="40"/>
  <c r="X47" i="21" s="1"/>
  <c r="M30" i="40"/>
  <c r="X36" i="21" s="1"/>
  <c r="M18" i="40"/>
  <c r="X24" i="21" s="1"/>
  <c r="M7" i="40"/>
  <c r="X13" i="21" s="1"/>
  <c r="M6" i="40"/>
  <c r="X12" i="21" s="1"/>
  <c r="F3" i="39"/>
  <c r="G3" i="39"/>
  <c r="G8" i="39"/>
  <c r="G6" i="39"/>
  <c r="F8" i="39"/>
  <c r="F6" i="39"/>
  <c r="S112" i="28"/>
  <c r="E5" i="39"/>
  <c r="H5" i="39" s="1"/>
  <c r="E7" i="39"/>
  <c r="H7" i="39" s="1"/>
  <c r="E4" i="39"/>
  <c r="H4" i="39" s="1"/>
  <c r="F4" i="39" l="1"/>
  <c r="G5" i="39"/>
  <c r="F5" i="39"/>
  <c r="F7" i="39"/>
  <c r="G7" i="39"/>
  <c r="G4" i="39"/>
  <c r="I3" i="39"/>
  <c r="H39" i="28" s="1"/>
  <c r="H88" i="28" s="1"/>
  <c r="I8" i="39"/>
  <c r="P39" i="28" s="1"/>
  <c r="P88" i="28" s="1"/>
  <c r="I6" i="39"/>
  <c r="I5" i="39" l="1"/>
  <c r="S39" i="28"/>
  <c r="I7" i="39"/>
  <c r="I4" i="39"/>
  <c r="K14" i="35" l="1"/>
  <c r="AY20" i="21" s="1"/>
  <c r="K42" i="35"/>
  <c r="AY48" i="21" s="1"/>
  <c r="K43" i="35"/>
  <c r="AY49" i="21" s="1"/>
  <c r="K44" i="35"/>
  <c r="AY50" i="21" s="1"/>
  <c r="K45" i="35"/>
  <c r="AY51" i="21" s="1"/>
  <c r="K46" i="35"/>
  <c r="AY52" i="21" s="1"/>
  <c r="K47" i="35"/>
  <c r="AY53" i="21" s="1"/>
  <c r="K48" i="35"/>
  <c r="AY54" i="21" s="1"/>
  <c r="M48" i="33" l="1"/>
  <c r="O48" i="33" s="1"/>
  <c r="L7" i="35"/>
  <c r="AZ13" i="21" s="1"/>
  <c r="L6" i="35"/>
  <c r="AZ12" i="21" s="1"/>
  <c r="G44" i="35"/>
  <c r="L44" i="35" s="1"/>
  <c r="AZ50" i="21" s="1"/>
  <c r="G45" i="35"/>
  <c r="L45" i="35" s="1"/>
  <c r="AZ51" i="21" s="1"/>
  <c r="G46" i="35"/>
  <c r="L46" i="35" s="1"/>
  <c r="AZ52" i="21" s="1"/>
  <c r="G47" i="35"/>
  <c r="L47" i="35" s="1"/>
  <c r="AZ53" i="21" s="1"/>
  <c r="G48" i="35"/>
  <c r="L48" i="35" s="1"/>
  <c r="AZ54" i="21" s="1"/>
  <c r="B7" i="35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D100" i="27" l="1"/>
  <c r="D99" i="27"/>
  <c r="D118" i="27"/>
  <c r="S13" i="21"/>
  <c r="S14" i="21"/>
  <c r="S15" i="21"/>
  <c r="S16" i="21"/>
  <c r="S17" i="21"/>
  <c r="S18" i="21"/>
  <c r="S19" i="21"/>
  <c r="S20" i="21"/>
  <c r="S21" i="21"/>
  <c r="S22" i="21"/>
  <c r="S23" i="21"/>
  <c r="S24" i="21"/>
  <c r="S25" i="21"/>
  <c r="S26" i="21"/>
  <c r="S27" i="21"/>
  <c r="S28" i="21"/>
  <c r="S29" i="21"/>
  <c r="S30" i="21"/>
  <c r="S31" i="21"/>
  <c r="S32" i="21"/>
  <c r="S33" i="21"/>
  <c r="S34" i="21"/>
  <c r="S35" i="21"/>
  <c r="S36" i="21"/>
  <c r="S37" i="21"/>
  <c r="S38" i="21"/>
  <c r="S39" i="21"/>
  <c r="S40" i="21"/>
  <c r="S41" i="21"/>
  <c r="S42" i="21"/>
  <c r="S43" i="21"/>
  <c r="S44" i="21"/>
  <c r="S45" i="21"/>
  <c r="S46" i="21"/>
  <c r="S47" i="21"/>
  <c r="S48" i="21"/>
  <c r="AM48" i="21" s="1"/>
  <c r="S49" i="21"/>
  <c r="AM49" i="21" s="1"/>
  <c r="S50" i="21"/>
  <c r="S51" i="21"/>
  <c r="S52" i="21"/>
  <c r="S53" i="21"/>
  <c r="S12" i="21"/>
  <c r="AM12" i="21" s="1"/>
  <c r="AN12" i="21" s="1"/>
  <c r="Q49" i="21"/>
  <c r="Q50" i="21"/>
  <c r="Q51" i="21"/>
  <c r="Q52" i="21"/>
  <c r="Q53" i="21"/>
  <c r="AW50" i="21"/>
  <c r="AW51" i="21"/>
  <c r="AW52" i="21"/>
  <c r="AW53" i="21"/>
  <c r="AM51" i="21" l="1"/>
  <c r="AM50" i="21"/>
  <c r="AM52" i="21"/>
  <c r="AM53" i="21"/>
  <c r="S56" i="21"/>
  <c r="K56" i="21" l="1"/>
  <c r="BV82" i="21" l="1"/>
  <c r="BV80" i="21" s="1"/>
  <c r="BT77" i="21" l="1"/>
  <c r="AW49" i="21" l="1"/>
  <c r="AW48" i="21"/>
  <c r="Q48" i="21"/>
  <c r="G7" i="35" l="1"/>
  <c r="G8" i="35"/>
  <c r="G9" i="35"/>
  <c r="L9" i="35" s="1"/>
  <c r="AZ15" i="21" s="1"/>
  <c r="G10" i="35"/>
  <c r="L10" i="35" s="1"/>
  <c r="AZ16" i="21" s="1"/>
  <c r="G11" i="35"/>
  <c r="L11" i="35" s="1"/>
  <c r="AZ17" i="21" s="1"/>
  <c r="G12" i="35"/>
  <c r="L12" i="35" s="1"/>
  <c r="AZ18" i="21" s="1"/>
  <c r="G13" i="35"/>
  <c r="L13" i="35" s="1"/>
  <c r="AZ19" i="21" s="1"/>
  <c r="G14" i="35"/>
  <c r="L14" i="35" s="1"/>
  <c r="AZ20" i="21" s="1"/>
  <c r="G15" i="35"/>
  <c r="L15" i="35" s="1"/>
  <c r="AZ21" i="21" s="1"/>
  <c r="G16" i="35"/>
  <c r="L16" i="35" s="1"/>
  <c r="AZ22" i="21" s="1"/>
  <c r="G17" i="35"/>
  <c r="L17" i="35" s="1"/>
  <c r="AZ23" i="21" s="1"/>
  <c r="G19" i="35"/>
  <c r="L19" i="35" s="1"/>
  <c r="AZ25" i="21" s="1"/>
  <c r="G20" i="35"/>
  <c r="L20" i="35" s="1"/>
  <c r="AZ26" i="21" s="1"/>
  <c r="G21" i="35"/>
  <c r="L21" i="35" s="1"/>
  <c r="AZ27" i="21" s="1"/>
  <c r="G22" i="35"/>
  <c r="L22" i="35" s="1"/>
  <c r="AZ28" i="21" s="1"/>
  <c r="G23" i="35"/>
  <c r="L23" i="35" s="1"/>
  <c r="AZ29" i="21" s="1"/>
  <c r="G24" i="35"/>
  <c r="L24" i="35" s="1"/>
  <c r="AZ30" i="21" s="1"/>
  <c r="G25" i="35"/>
  <c r="L25" i="35" s="1"/>
  <c r="AZ31" i="21" s="1"/>
  <c r="G26" i="35"/>
  <c r="L26" i="35" s="1"/>
  <c r="AZ32" i="21" s="1"/>
  <c r="G27" i="35"/>
  <c r="L27" i="35" s="1"/>
  <c r="AZ33" i="21" s="1"/>
  <c r="G28" i="35"/>
  <c r="L28" i="35" s="1"/>
  <c r="AZ34" i="21" s="1"/>
  <c r="G29" i="35"/>
  <c r="L29" i="35" s="1"/>
  <c r="AZ35" i="21" s="1"/>
  <c r="G30" i="35"/>
  <c r="L30" i="35" s="1"/>
  <c r="AZ36" i="21" s="1"/>
  <c r="G31" i="35"/>
  <c r="L31" i="35" s="1"/>
  <c r="AZ37" i="21" s="1"/>
  <c r="G32" i="35"/>
  <c r="L32" i="35" s="1"/>
  <c r="AZ38" i="21" s="1"/>
  <c r="G33" i="35"/>
  <c r="L33" i="35" s="1"/>
  <c r="AZ39" i="21" s="1"/>
  <c r="G34" i="35"/>
  <c r="L34" i="35" s="1"/>
  <c r="AZ40" i="21" s="1"/>
  <c r="G35" i="35"/>
  <c r="L35" i="35" s="1"/>
  <c r="AZ41" i="21" s="1"/>
  <c r="G36" i="35"/>
  <c r="L36" i="35" s="1"/>
  <c r="AZ42" i="21" s="1"/>
  <c r="G37" i="35"/>
  <c r="L37" i="35" s="1"/>
  <c r="AZ43" i="21" s="1"/>
  <c r="G38" i="35"/>
  <c r="L38" i="35" s="1"/>
  <c r="AZ44" i="21" s="1"/>
  <c r="G39" i="35"/>
  <c r="L39" i="35" s="1"/>
  <c r="AZ45" i="21" s="1"/>
  <c r="G40" i="35"/>
  <c r="L40" i="35" s="1"/>
  <c r="AZ46" i="21" s="1"/>
  <c r="G41" i="35"/>
  <c r="L41" i="35" s="1"/>
  <c r="AZ47" i="21" s="1"/>
  <c r="G42" i="35"/>
  <c r="L42" i="35" s="1"/>
  <c r="AZ48" i="21" s="1"/>
  <c r="G43" i="35"/>
  <c r="L43" i="35" s="1"/>
  <c r="AZ49" i="21" s="1"/>
  <c r="L8" i="35" l="1"/>
  <c r="AZ14" i="21" s="1"/>
  <c r="S32" i="28"/>
  <c r="AW47" i="21" l="1"/>
  <c r="AW46" i="21"/>
  <c r="J56" i="21"/>
  <c r="Q46" i="21"/>
  <c r="Q47" i="21"/>
  <c r="AM47" i="21" l="1"/>
  <c r="AM46" i="21"/>
  <c r="BI55" i="21" l="1"/>
  <c r="R112" i="28"/>
  <c r="R89" i="28"/>
  <c r="Q112" i="28"/>
  <c r="Q89" i="28"/>
  <c r="Q90" i="28" l="1"/>
  <c r="Q94" i="28" s="1"/>
  <c r="Q97" i="28" s="1"/>
  <c r="Q114" i="28" s="1"/>
  <c r="R90" i="28"/>
  <c r="R94" i="28" s="1"/>
  <c r="R97" i="28" s="1"/>
  <c r="R114" i="28" s="1"/>
  <c r="R115" i="28" s="1"/>
  <c r="S24" i="28" l="1"/>
  <c r="BH30" i="21"/>
  <c r="BH27" i="21"/>
  <c r="D47" i="29" l="1"/>
  <c r="J55" i="29" s="1"/>
  <c r="D46" i="29"/>
  <c r="J54" i="29" s="1"/>
  <c r="D45" i="29"/>
  <c r="J56" i="29" s="1"/>
  <c r="D44" i="29"/>
  <c r="J53" i="29" l="1"/>
  <c r="K53" i="29" s="1"/>
  <c r="K56" i="29"/>
  <c r="K55" i="29"/>
  <c r="K54" i="29"/>
  <c r="L55" i="29" l="1"/>
  <c r="M55" i="29" s="1"/>
  <c r="L54" i="29"/>
  <c r="M54" i="29" s="1"/>
  <c r="L56" i="29"/>
  <c r="M56" i="29" s="1"/>
  <c r="I58" i="29"/>
  <c r="M57" i="29"/>
  <c r="N57" i="29" s="1"/>
  <c r="U56" i="21"/>
  <c r="G99" i="27"/>
  <c r="BV84" i="21"/>
  <c r="J58" i="29" l="1"/>
  <c r="L53" i="29" l="1"/>
  <c r="K58" i="29"/>
  <c r="M53" i="29" l="1"/>
  <c r="M58" i="29" s="1"/>
  <c r="L58" i="29"/>
  <c r="AV81" i="21"/>
  <c r="AG68" i="21" l="1"/>
  <c r="AG76" i="21"/>
  <c r="AG75" i="21"/>
  <c r="AG74" i="21"/>
  <c r="AG73" i="21"/>
  <c r="AG72" i="21"/>
  <c r="AG70" i="21"/>
  <c r="AG69" i="21"/>
  <c r="AG78" i="21" l="1"/>
  <c r="K94" i="27" l="1"/>
  <c r="K95" i="27" l="1"/>
  <c r="F99" i="27"/>
  <c r="E94" i="27"/>
  <c r="N157" i="27"/>
  <c r="T119" i="28" s="1"/>
  <c r="G94" i="28"/>
  <c r="D94" i="28"/>
  <c r="N88" i="28"/>
  <c r="D112" i="28"/>
  <c r="U119" i="28" l="1"/>
  <c r="P112" i="28"/>
  <c r="O112" i="28"/>
  <c r="D89" i="28"/>
  <c r="E99" i="27"/>
  <c r="D90" i="28" l="1"/>
  <c r="N19" i="27"/>
  <c r="AJ56" i="21"/>
  <c r="D95" i="28" l="1"/>
  <c r="H18" i="28" l="1"/>
  <c r="G18" i="28"/>
  <c r="E18" i="28"/>
  <c r="D18" i="28"/>
  <c r="S18" i="28" l="1"/>
  <c r="AW45" i="21"/>
  <c r="K41" i="35"/>
  <c r="AY47" i="21" s="1"/>
  <c r="K40" i="35"/>
  <c r="AY46" i="21" s="1"/>
  <c r="Q45" i="21"/>
  <c r="AT82" i="21"/>
  <c r="AU81" i="21" s="1"/>
  <c r="AU80" i="21" l="1"/>
  <c r="AM45" i="21" l="1"/>
  <c r="O89" i="28"/>
  <c r="J33" i="29"/>
  <c r="K33" i="29" s="1"/>
  <c r="J32" i="29"/>
  <c r="K32" i="29" s="1"/>
  <c r="J31" i="29"/>
  <c r="K31" i="29" s="1"/>
  <c r="J30" i="29"/>
  <c r="K30" i="29" s="1"/>
  <c r="O90" i="28" l="1"/>
  <c r="BD56" i="21"/>
  <c r="O94" i="28" l="1"/>
  <c r="O97" i="28" s="1"/>
  <c r="O114" i="28" s="1"/>
  <c r="O115" i="28" s="1"/>
  <c r="J13" i="27"/>
  <c r="J92" i="27" s="1"/>
  <c r="J144" i="27" s="1"/>
  <c r="I13" i="27"/>
  <c r="I92" i="27" s="1"/>
  <c r="H13" i="27"/>
  <c r="H92" i="27" s="1"/>
  <c r="G13" i="27"/>
  <c r="G92" i="27" s="1"/>
  <c r="F13" i="27"/>
  <c r="E13" i="27"/>
  <c r="E92" i="27" s="1"/>
  <c r="D13" i="27"/>
  <c r="D92" i="27" s="1"/>
  <c r="D144" i="27" s="1"/>
  <c r="O34" i="31"/>
  <c r="N34" i="31"/>
  <c r="M34" i="31"/>
  <c r="L34" i="31"/>
  <c r="K34" i="31"/>
  <c r="J34" i="31"/>
  <c r="I34" i="31"/>
  <c r="H34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P32" i="31"/>
  <c r="Q32" i="31" s="1"/>
  <c r="P31" i="31"/>
  <c r="Q31" i="31" s="1"/>
  <c r="P30" i="31"/>
  <c r="Q30" i="31" s="1"/>
  <c r="P29" i="31"/>
  <c r="Q29" i="31" s="1"/>
  <c r="P28" i="31"/>
  <c r="Q28" i="31" s="1"/>
  <c r="P27" i="31"/>
  <c r="Q27" i="31" s="1"/>
  <c r="P26" i="31"/>
  <c r="Q26" i="31" s="1"/>
  <c r="P25" i="31"/>
  <c r="Q25" i="31" s="1"/>
  <c r="A25" i="31"/>
  <c r="A26" i="31" s="1"/>
  <c r="A27" i="31" s="1"/>
  <c r="A28" i="31" s="1"/>
  <c r="A29" i="31" s="1"/>
  <c r="P24" i="31"/>
  <c r="Q24" i="31" s="1"/>
  <c r="O12" i="31"/>
  <c r="N12" i="31"/>
  <c r="M12" i="31"/>
  <c r="L12" i="31"/>
  <c r="K12" i="31"/>
  <c r="I12" i="31"/>
  <c r="H12" i="31"/>
  <c r="G12" i="31"/>
  <c r="F12" i="31"/>
  <c r="E12" i="31"/>
  <c r="D12" i="31"/>
  <c r="C12" i="31"/>
  <c r="Q9" i="31"/>
  <c r="P8" i="31"/>
  <c r="Q8" i="31" s="1"/>
  <c r="P7" i="31"/>
  <c r="Q7" i="31" s="1"/>
  <c r="P6" i="31"/>
  <c r="Q6" i="31" s="1"/>
  <c r="P5" i="31"/>
  <c r="Q5" i="31" s="1"/>
  <c r="P4" i="31"/>
  <c r="A4" i="31"/>
  <c r="A5" i="31" s="1"/>
  <c r="A6" i="31" s="1"/>
  <c r="A7" i="31" s="1"/>
  <c r="A8" i="31" s="1"/>
  <c r="A9" i="31" s="1"/>
  <c r="P3" i="31"/>
  <c r="Q3" i="31" s="1"/>
  <c r="D148" i="27" l="1"/>
  <c r="D149" i="27" s="1"/>
  <c r="F92" i="27"/>
  <c r="E148" i="27"/>
  <c r="I148" i="27"/>
  <c r="J148" i="27"/>
  <c r="G148" i="27"/>
  <c r="H148" i="27"/>
  <c r="BH19" i="21"/>
  <c r="Q33" i="31"/>
  <c r="P12" i="31"/>
  <c r="Q4" i="31"/>
  <c r="Q12" i="31" s="1"/>
  <c r="P33" i="31"/>
  <c r="N92" i="27" l="1"/>
  <c r="F144" i="27"/>
  <c r="F148" i="27"/>
  <c r="D93" i="27"/>
  <c r="D150" i="27"/>
  <c r="H13" i="28"/>
  <c r="G13" i="28"/>
  <c r="E13" i="28"/>
  <c r="D13" i="28"/>
  <c r="N112" i="28"/>
  <c r="M112" i="28"/>
  <c r="K112" i="28"/>
  <c r="J112" i="28"/>
  <c r="I112" i="28"/>
  <c r="I114" i="28" s="1"/>
  <c r="I115" i="28" s="1"/>
  <c r="H112" i="28"/>
  <c r="G112" i="28"/>
  <c r="F112" i="28"/>
  <c r="E112" i="28"/>
  <c r="P89" i="28"/>
  <c r="P90" i="28" s="1"/>
  <c r="N89" i="28"/>
  <c r="M89" i="28"/>
  <c r="L89" i="28"/>
  <c r="K89" i="28"/>
  <c r="K90" i="28" s="1"/>
  <c r="K94" i="28" s="1"/>
  <c r="J89" i="28"/>
  <c r="I90" i="28"/>
  <c r="H89" i="28"/>
  <c r="G89" i="28"/>
  <c r="F89" i="28"/>
  <c r="F90" i="28" s="1"/>
  <c r="E89" i="28"/>
  <c r="Z79" i="28"/>
  <c r="Z78" i="28"/>
  <c r="Z75" i="28"/>
  <c r="Z74" i="28"/>
  <c r="M10" i="28"/>
  <c r="M88" i="28" s="1"/>
  <c r="L10" i="28"/>
  <c r="L88" i="28" s="1"/>
  <c r="H7" i="28"/>
  <c r="G7" i="28"/>
  <c r="E7" i="28"/>
  <c r="D7" i="28"/>
  <c r="E3" i="28"/>
  <c r="F3" i="28" s="1"/>
  <c r="G3" i="28" s="1"/>
  <c r="H3" i="28" s="1"/>
  <c r="S89" i="28" l="1"/>
  <c r="S13" i="28"/>
  <c r="S7" i="28"/>
  <c r="E90" i="28"/>
  <c r="P94" i="28"/>
  <c r="P97" i="28" s="1"/>
  <c r="P114" i="28" s="1"/>
  <c r="P115" i="28" s="1"/>
  <c r="Z80" i="28"/>
  <c r="BH20" i="21"/>
  <c r="F94" i="28"/>
  <c r="F97" i="28" s="1"/>
  <c r="F114" i="28" s="1"/>
  <c r="F115" i="28" s="1"/>
  <c r="K97" i="28"/>
  <c r="K114" i="28" s="1"/>
  <c r="M90" i="28"/>
  <c r="Z76" i="28"/>
  <c r="H90" i="28"/>
  <c r="N90" i="28"/>
  <c r="N94" i="28" s="1"/>
  <c r="L90" i="28"/>
  <c r="L94" i="28" s="1"/>
  <c r="J90" i="28"/>
  <c r="J94" i="28" s="1"/>
  <c r="H94" i="28" l="1"/>
  <c r="H97" i="28" s="1"/>
  <c r="H114" i="28" s="1"/>
  <c r="E94" i="28"/>
  <c r="BH29" i="21"/>
  <c r="Z82" i="28"/>
  <c r="G88" i="28" s="1"/>
  <c r="S88" i="28" s="1"/>
  <c r="M94" i="28"/>
  <c r="M97" i="28" s="1"/>
  <c r="M114" i="28" s="1"/>
  <c r="M115" i="28" s="1"/>
  <c r="J97" i="28"/>
  <c r="J114" i="28" s="1"/>
  <c r="J115" i="28" s="1"/>
  <c r="L97" i="28"/>
  <c r="BH16" i="21"/>
  <c r="D97" i="28"/>
  <c r="D114" i="28" s="1"/>
  <c r="D115" i="28" s="1"/>
  <c r="H115" i="28" l="1"/>
  <c r="BH14" i="21" s="1"/>
  <c r="BH13" i="21"/>
  <c r="S94" i="28"/>
  <c r="E97" i="28"/>
  <c r="E114" i="28" s="1"/>
  <c r="G90" i="28"/>
  <c r="S90" i="28" s="1"/>
  <c r="BH24" i="21"/>
  <c r="BH25" i="21"/>
  <c r="N97" i="28"/>
  <c r="N114" i="28" s="1"/>
  <c r="N115" i="28" s="1"/>
  <c r="E115" i="28" l="1"/>
  <c r="BH15" i="21" s="1"/>
  <c r="G95" i="28"/>
  <c r="S95" i="28" s="1"/>
  <c r="G96" i="28"/>
  <c r="S96" i="28" s="1"/>
  <c r="BH37" i="21"/>
  <c r="Q35" i="21"/>
  <c r="AW35" i="21"/>
  <c r="AM35" i="21" l="1"/>
  <c r="S97" i="28"/>
  <c r="G97" i="28"/>
  <c r="G114" i="28" s="1"/>
  <c r="BT84" i="21"/>
  <c r="BW80" i="21" s="1"/>
  <c r="S114" i="28" l="1"/>
  <c r="G115" i="28"/>
  <c r="S115" i="28" s="1"/>
  <c r="BT85" i="21"/>
  <c r="S117" i="28" l="1"/>
  <c r="BH17" i="21"/>
  <c r="BT86" i="21"/>
  <c r="BT88" i="21" s="1"/>
  <c r="L94" i="27"/>
  <c r="J94" i="27"/>
  <c r="I94" i="27"/>
  <c r="H94" i="27"/>
  <c r="G94" i="27"/>
  <c r="F94" i="27"/>
  <c r="L95" i="27" l="1"/>
  <c r="K99" i="27"/>
  <c r="L99" i="27" l="1"/>
  <c r="L103" i="27" s="1"/>
  <c r="D94" i="27"/>
  <c r="D95" i="27" s="1"/>
  <c r="I143" i="27"/>
  <c r="H143" i="27"/>
  <c r="K118" i="27"/>
  <c r="J118" i="27"/>
  <c r="I118" i="27"/>
  <c r="H118" i="27"/>
  <c r="K103" i="27"/>
  <c r="H147" i="27" l="1"/>
  <c r="H146" i="27"/>
  <c r="H144" i="27"/>
  <c r="H93" i="27" s="1"/>
  <c r="H95" i="27" s="1"/>
  <c r="H99" i="27" s="1"/>
  <c r="H103" i="27" s="1"/>
  <c r="H120" i="27" s="1"/>
  <c r="H121" i="27" s="1"/>
  <c r="I146" i="27"/>
  <c r="I144" i="27"/>
  <c r="I93" i="27" s="1"/>
  <c r="I95" i="27" s="1"/>
  <c r="I99" i="27" s="1"/>
  <c r="I103" i="27" s="1"/>
  <c r="I120" i="27" s="1"/>
  <c r="I121" i="27" s="1"/>
  <c r="I147" i="27"/>
  <c r="J93" i="27"/>
  <c r="J95" i="27" s="1"/>
  <c r="J99" i="27" s="1"/>
  <c r="J103" i="27" s="1"/>
  <c r="J120" i="27" s="1"/>
  <c r="J121" i="27" s="1"/>
  <c r="D102" i="27"/>
  <c r="D101" i="27"/>
  <c r="K120" i="27"/>
  <c r="N116" i="27"/>
  <c r="D103" i="27" l="1"/>
  <c r="D120" i="27" s="1"/>
  <c r="D121" i="27" s="1"/>
  <c r="I149" i="27"/>
  <c r="I150" i="27" s="1"/>
  <c r="BH40" i="21"/>
  <c r="BH36" i="21"/>
  <c r="BH35" i="21"/>
  <c r="J149" i="27"/>
  <c r="J150" i="27" s="1"/>
  <c r="H149" i="27"/>
  <c r="H150" i="27" s="1"/>
  <c r="AM13" i="21" l="1"/>
  <c r="AG56" i="21"/>
  <c r="AG65" i="21" s="1"/>
  <c r="AE56" i="21"/>
  <c r="L32" i="29" l="1"/>
  <c r="Y63" i="21" l="1"/>
  <c r="X63" i="21"/>
  <c r="W63" i="21"/>
  <c r="N117" i="27" l="1"/>
  <c r="N115" i="27"/>
  <c r="N114" i="27"/>
  <c r="N113" i="27"/>
  <c r="N112" i="27"/>
  <c r="N111" i="27"/>
  <c r="N110" i="27"/>
  <c r="N109" i="27"/>
  <c r="N108" i="27"/>
  <c r="N107" i="27"/>
  <c r="N106" i="27"/>
  <c r="N105" i="27"/>
  <c r="N23" i="27"/>
  <c r="N18" i="27"/>
  <c r="N14" i="27"/>
  <c r="N13" i="27"/>
  <c r="N9" i="27"/>
  <c r="N8" i="27"/>
  <c r="N118" i="27" l="1"/>
  <c r="BN65" i="21" l="1"/>
  <c r="AW65" i="21"/>
  <c r="AU65" i="21"/>
  <c r="AS65" i="21"/>
  <c r="AQ65" i="21"/>
  <c r="AO65" i="21"/>
  <c r="BM76" i="21"/>
  <c r="BM75" i="21"/>
  <c r="BM74" i="21"/>
  <c r="BM73" i="21"/>
  <c r="BM72" i="21"/>
  <c r="BM70" i="21"/>
  <c r="BM69" i="21"/>
  <c r="BM68" i="21"/>
  <c r="AL76" i="21"/>
  <c r="AK76" i="21"/>
  <c r="AJ76" i="21"/>
  <c r="AI76" i="21"/>
  <c r="AH76" i="21"/>
  <c r="AF76" i="21"/>
  <c r="AE76" i="21"/>
  <c r="AD76" i="21"/>
  <c r="V76" i="21"/>
  <c r="U76" i="21"/>
  <c r="S76" i="21"/>
  <c r="AL75" i="21"/>
  <c r="AK75" i="21"/>
  <c r="AJ75" i="21"/>
  <c r="AI75" i="21"/>
  <c r="AH75" i="21"/>
  <c r="AF75" i="21"/>
  <c r="AE75" i="21"/>
  <c r="AD75" i="21"/>
  <c r="Z75" i="21"/>
  <c r="V75" i="21"/>
  <c r="U75" i="21"/>
  <c r="S75" i="21"/>
  <c r="AL74" i="21"/>
  <c r="AK74" i="21"/>
  <c r="AJ74" i="21"/>
  <c r="AI74" i="21"/>
  <c r="AH74" i="21"/>
  <c r="AF74" i="21"/>
  <c r="AE74" i="21"/>
  <c r="AD74" i="21"/>
  <c r="Z74" i="21"/>
  <c r="V74" i="21"/>
  <c r="U74" i="21"/>
  <c r="S74" i="21"/>
  <c r="AL73" i="21"/>
  <c r="AK73" i="21"/>
  <c r="AJ73" i="21"/>
  <c r="AI73" i="21"/>
  <c r="AH73" i="21"/>
  <c r="AF73" i="21"/>
  <c r="AE73" i="21"/>
  <c r="AD73" i="21"/>
  <c r="V73" i="21"/>
  <c r="U73" i="21"/>
  <c r="S73" i="21"/>
  <c r="AL72" i="21"/>
  <c r="AK72" i="21"/>
  <c r="AJ72" i="21"/>
  <c r="AI72" i="21"/>
  <c r="AH72" i="21"/>
  <c r="AF72" i="21"/>
  <c r="AE72" i="21"/>
  <c r="AD72" i="21"/>
  <c r="Z72" i="21"/>
  <c r="V72" i="21"/>
  <c r="U72" i="21"/>
  <c r="S72" i="21"/>
  <c r="AL70" i="21"/>
  <c r="AK70" i="21"/>
  <c r="AJ70" i="21"/>
  <c r="AI70" i="21"/>
  <c r="AH70" i="21"/>
  <c r="AF70" i="21"/>
  <c r="AE70" i="21"/>
  <c r="AD70" i="21"/>
  <c r="V70" i="21"/>
  <c r="U70" i="21"/>
  <c r="S70" i="21"/>
  <c r="AL69" i="21"/>
  <c r="AK69" i="21"/>
  <c r="AJ69" i="21"/>
  <c r="AI69" i="21"/>
  <c r="AH69" i="21"/>
  <c r="AF69" i="21"/>
  <c r="AE69" i="21"/>
  <c r="AD69" i="21"/>
  <c r="V69" i="21"/>
  <c r="U69" i="21"/>
  <c r="S69" i="21"/>
  <c r="AL68" i="21"/>
  <c r="AK68" i="21"/>
  <c r="AJ68" i="21"/>
  <c r="AI68" i="21"/>
  <c r="AH68" i="21"/>
  <c r="AF68" i="21"/>
  <c r="AE68" i="21"/>
  <c r="AD68" i="21"/>
  <c r="V68" i="21"/>
  <c r="U68" i="21"/>
  <c r="S68" i="21"/>
  <c r="BH63" i="21"/>
  <c r="BG63" i="21"/>
  <c r="BE63" i="21"/>
  <c r="BD63" i="21"/>
  <c r="BC63" i="21"/>
  <c r="BB63" i="21"/>
  <c r="AZ63" i="21"/>
  <c r="AY63" i="21"/>
  <c r="AP63" i="21"/>
  <c r="AE63" i="21"/>
  <c r="AC63" i="21"/>
  <c r="Z63" i="21"/>
  <c r="V63" i="21"/>
  <c r="U63" i="21"/>
  <c r="S63" i="21"/>
  <c r="R63" i="21"/>
  <c r="AE78" i="21" l="1"/>
  <c r="L30" i="29"/>
  <c r="AW44" i="21" l="1"/>
  <c r="Q44" i="21" l="1"/>
  <c r="AA70" i="21" l="1"/>
  <c r="AA69" i="21"/>
  <c r="AA75" i="21"/>
  <c r="AA74" i="21" l="1"/>
  <c r="AM26" i="21"/>
  <c r="AM44" i="21"/>
  <c r="R75" i="21"/>
  <c r="AC70" i="21"/>
  <c r="AC75" i="21"/>
  <c r="AC74" i="21"/>
  <c r="AA73" i="21"/>
  <c r="AC73" i="21"/>
  <c r="AC68" i="21"/>
  <c r="AC76" i="21"/>
  <c r="AC69" i="21"/>
  <c r="R69" i="21" l="1"/>
  <c r="R73" i="21"/>
  <c r="U65" i="21" l="1"/>
  <c r="K39" i="35" l="1"/>
  <c r="AY45" i="21" s="1"/>
  <c r="K38" i="35"/>
  <c r="AY44" i="21" s="1"/>
  <c r="K37" i="35"/>
  <c r="AY43" i="21" s="1"/>
  <c r="K36" i="35"/>
  <c r="AY42" i="21" s="1"/>
  <c r="K35" i="35"/>
  <c r="AY41" i="21" s="1"/>
  <c r="K34" i="35"/>
  <c r="AY40" i="21" s="1"/>
  <c r="K33" i="35"/>
  <c r="AY39" i="21" s="1"/>
  <c r="K32" i="35"/>
  <c r="AY38" i="21" s="1"/>
  <c r="K31" i="35"/>
  <c r="AY37" i="21" s="1"/>
  <c r="K29" i="35"/>
  <c r="AY35" i="21" s="1"/>
  <c r="K28" i="35"/>
  <c r="AY34" i="21" s="1"/>
  <c r="K27" i="35"/>
  <c r="AY33" i="21" s="1"/>
  <c r="K26" i="35"/>
  <c r="AY32" i="21" s="1"/>
  <c r="K25" i="35"/>
  <c r="AY31" i="21" s="1"/>
  <c r="K24" i="35"/>
  <c r="AY30" i="21" s="1"/>
  <c r="K22" i="35"/>
  <c r="AY28" i="21" s="1"/>
  <c r="K21" i="35"/>
  <c r="AY27" i="21" s="1"/>
  <c r="K20" i="35"/>
  <c r="AY26" i="21" s="1"/>
  <c r="K17" i="35"/>
  <c r="AY23" i="21" s="1"/>
  <c r="K16" i="35"/>
  <c r="AY22" i="21" s="1"/>
  <c r="K15" i="35"/>
  <c r="AY21" i="21" s="1"/>
  <c r="K13" i="35"/>
  <c r="AY19" i="21" s="1"/>
  <c r="K12" i="35"/>
  <c r="AY18" i="21" s="1"/>
  <c r="AA72" i="21"/>
  <c r="K30" i="35" l="1"/>
  <c r="AY36" i="21" s="1"/>
  <c r="K11" i="35"/>
  <c r="AY17" i="21" s="1"/>
  <c r="K19" i="35"/>
  <c r="AY25" i="21" s="1"/>
  <c r="K23" i="35"/>
  <c r="AY29" i="21" s="1"/>
  <c r="G6" i="35"/>
  <c r="BA56" i="21" l="1"/>
  <c r="R74" i="21" l="1"/>
  <c r="BM56" i="21"/>
  <c r="BM65" i="21" s="1"/>
  <c r="AA68" i="21" l="1"/>
  <c r="R68" i="21" l="1"/>
  <c r="AY56" i="21"/>
  <c r="AA76" i="21"/>
  <c r="R76" i="21" l="1"/>
  <c r="L31" i="29" l="1"/>
  <c r="M31" i="29" s="1"/>
  <c r="N31" i="29" s="1"/>
  <c r="O31" i="29" s="1"/>
  <c r="P31" i="29" s="1"/>
  <c r="Q31" i="29" s="1"/>
  <c r="M32" i="29" l="1"/>
  <c r="N32" i="29" s="1"/>
  <c r="O32" i="29" s="1"/>
  <c r="P32" i="29" s="1"/>
  <c r="Q32" i="29" s="1"/>
  <c r="S65" i="21" l="1"/>
  <c r="Q43" i="21"/>
  <c r="AM43" i="21" l="1"/>
  <c r="AW43" i="21"/>
  <c r="AH56" i="21" l="1"/>
  <c r="AH65" i="21" s="1"/>
  <c r="AW42" i="21" l="1"/>
  <c r="AW40" i="21"/>
  <c r="AW39" i="21"/>
  <c r="Q41" i="21"/>
  <c r="Q40" i="21"/>
  <c r="Q39" i="21"/>
  <c r="AM39" i="21" l="1"/>
  <c r="AM40" i="21"/>
  <c r="AM41" i="21"/>
  <c r="AN41" i="21" s="1"/>
  <c r="Q42" i="21"/>
  <c r="AM42" i="21" l="1"/>
  <c r="BL41" i="21"/>
  <c r="W102" i="27"/>
  <c r="X102" i="27" s="1"/>
  <c r="W101" i="27"/>
  <c r="X101" i="27" s="1"/>
  <c r="W99" i="27"/>
  <c r="X99" i="27" s="1"/>
  <c r="AP41" i="21" l="1"/>
  <c r="BI41" i="21" s="1"/>
  <c r="W100" i="27"/>
  <c r="W103" i="27" s="1"/>
  <c r="BJ41" i="21" l="1"/>
  <c r="X100" i="27"/>
  <c r="X103" i="27" s="1"/>
  <c r="N17" i="27" l="1"/>
  <c r="M30" i="29" l="1"/>
  <c r="N30" i="29" s="1"/>
  <c r="O30" i="29" s="1"/>
  <c r="P30" i="29" s="1"/>
  <c r="Q30" i="29" s="1"/>
  <c r="N16" i="27" l="1"/>
  <c r="N12" i="27"/>
  <c r="N22" i="27" l="1"/>
  <c r="Q12" i="21" l="1"/>
  <c r="Q38" i="21"/>
  <c r="Q37" i="21"/>
  <c r="Q36" i="21"/>
  <c r="Q34" i="21"/>
  <c r="Q33" i="21"/>
  <c r="Q32" i="21"/>
  <c r="Q31" i="21"/>
  <c r="Q30" i="21"/>
  <c r="Q28" i="21"/>
  <c r="Q27" i="21"/>
  <c r="Q26" i="21"/>
  <c r="Q25" i="21"/>
  <c r="Q22" i="21"/>
  <c r="Q20" i="21"/>
  <c r="Q19" i="21"/>
  <c r="Q17" i="21"/>
  <c r="AM31" i="21" l="1"/>
  <c r="AM20" i="21"/>
  <c r="AM27" i="21"/>
  <c r="AM28" i="21"/>
  <c r="AN28" i="21" s="1"/>
  <c r="AM30" i="21"/>
  <c r="AM33" i="21"/>
  <c r="AM38" i="21"/>
  <c r="AM32" i="21"/>
  <c r="AM34" i="21"/>
  <c r="Z68" i="21"/>
  <c r="Z73" i="21"/>
  <c r="Q29" i="21"/>
  <c r="Q21" i="21"/>
  <c r="Z76" i="21"/>
  <c r="Z69" i="21"/>
  <c r="Q14" i="21"/>
  <c r="Q24" i="21"/>
  <c r="Q13" i="21"/>
  <c r="Q15" i="21"/>
  <c r="Q18" i="21"/>
  <c r="Q23" i="21"/>
  <c r="AM16" i="21" l="1"/>
  <c r="AN16" i="21" s="1"/>
  <c r="R70" i="21"/>
  <c r="AM24" i="21"/>
  <c r="W74" i="21"/>
  <c r="AM25" i="21"/>
  <c r="X74" i="21"/>
  <c r="Y74" i="21"/>
  <c r="AM36" i="21"/>
  <c r="Y76" i="21"/>
  <c r="X76" i="21"/>
  <c r="AM29" i="21"/>
  <c r="AM23" i="21"/>
  <c r="X72" i="21"/>
  <c r="AM19" i="21"/>
  <c r="AN19" i="21" s="1"/>
  <c r="AM22" i="21"/>
  <c r="AM37" i="21"/>
  <c r="AN37" i="21" s="1"/>
  <c r="W75" i="21"/>
  <c r="AM17" i="21"/>
  <c r="Y69" i="21"/>
  <c r="X69" i="21"/>
  <c r="X75" i="21"/>
  <c r="Y68" i="21"/>
  <c r="X68" i="21"/>
  <c r="Y72" i="21"/>
  <c r="Y75" i="21"/>
  <c r="Z70" i="21"/>
  <c r="Q16" i="21"/>
  <c r="AM18" i="21" l="1"/>
  <c r="AN18" i="21" s="1"/>
  <c r="BL18" i="21" s="1"/>
  <c r="W69" i="21"/>
  <c r="W72" i="21"/>
  <c r="Y70" i="21"/>
  <c r="X70" i="21"/>
  <c r="W68" i="21"/>
  <c r="W73" i="21"/>
  <c r="AM14" i="21"/>
  <c r="AM15" i="21"/>
  <c r="W76" i="21"/>
  <c r="AM21" i="21"/>
  <c r="X73" i="21"/>
  <c r="Y73" i="21"/>
  <c r="W70" i="21" l="1"/>
  <c r="W78" i="21" s="1"/>
  <c r="BM78" i="21"/>
  <c r="AJ78" i="21"/>
  <c r="X78" i="21"/>
  <c r="Y78" i="21"/>
  <c r="AA78" i="21"/>
  <c r="AK78" i="21"/>
  <c r="AD78" i="21"/>
  <c r="AL78" i="21"/>
  <c r="AF78" i="21"/>
  <c r="AH78" i="21"/>
  <c r="V78" i="21"/>
  <c r="S78" i="21"/>
  <c r="U78" i="21"/>
  <c r="BC56" i="21"/>
  <c r="BC65" i="21" s="1"/>
  <c r="AW23" i="21"/>
  <c r="AW13" i="21"/>
  <c r="AW34" i="21"/>
  <c r="AW31" i="21"/>
  <c r="AW30" i="21"/>
  <c r="AW22" i="21"/>
  <c r="AW21" i="21"/>
  <c r="AW38" i="21"/>
  <c r="AW36" i="21"/>
  <c r="AW33" i="21"/>
  <c r="AW32" i="21"/>
  <c r="AW29" i="21"/>
  <c r="AW27" i="21"/>
  <c r="AW26" i="21"/>
  <c r="AW24" i="21"/>
  <c r="AW20" i="21"/>
  <c r="AW17" i="21"/>
  <c r="AW16" i="21"/>
  <c r="AW15" i="21"/>
  <c r="AW14" i="21"/>
  <c r="AW12" i="21"/>
  <c r="AY65" i="21" l="1"/>
  <c r="BF56" i="21"/>
  <c r="BF65" i="21" s="1"/>
  <c r="K43" i="33" l="1"/>
  <c r="L43" i="33" s="1"/>
  <c r="M43" i="33" s="1"/>
  <c r="O43" i="33" s="1"/>
  <c r="K33" i="33"/>
  <c r="L33" i="33" s="1"/>
  <c r="M33" i="33" s="1"/>
  <c r="O33" i="33" s="1"/>
  <c r="K28" i="33"/>
  <c r="L28" i="33" s="1"/>
  <c r="M28" i="33" s="1"/>
  <c r="O28" i="33" s="1"/>
  <c r="K18" i="33"/>
  <c r="L18" i="33" s="1"/>
  <c r="M18" i="33" s="1"/>
  <c r="O18" i="33" s="1"/>
  <c r="J50" i="33"/>
  <c r="L47" i="33"/>
  <c r="M47" i="33" s="1"/>
  <c r="O47" i="33" s="1"/>
  <c r="K46" i="33"/>
  <c r="L19" i="33"/>
  <c r="M19" i="33" s="1"/>
  <c r="O19" i="33" s="1"/>
  <c r="L16" i="33"/>
  <c r="M16" i="33" s="1"/>
  <c r="O16" i="33" s="1"/>
  <c r="L27" i="33"/>
  <c r="M27" i="33" s="1"/>
  <c r="O27" i="33" s="1"/>
  <c r="L40" i="33"/>
  <c r="M40" i="33" s="1"/>
  <c r="O40" i="33" s="1"/>
  <c r="L13" i="33"/>
  <c r="M13" i="33" s="1"/>
  <c r="O13" i="33" s="1"/>
  <c r="L41" i="33"/>
  <c r="M41" i="33" s="1"/>
  <c r="O41" i="33" s="1"/>
  <c r="L34" i="33"/>
  <c r="M34" i="33" s="1"/>
  <c r="O34" i="33" s="1"/>
  <c r="L44" i="33"/>
  <c r="M44" i="33" s="1"/>
  <c r="O44" i="33" s="1"/>
  <c r="L26" i="33"/>
  <c r="M26" i="33" s="1"/>
  <c r="O26" i="33" s="1"/>
  <c r="L25" i="33"/>
  <c r="M25" i="33" s="1"/>
  <c r="O25" i="33" s="1"/>
  <c r="L22" i="33"/>
  <c r="M22" i="33" s="1"/>
  <c r="O22" i="33" s="1"/>
  <c r="L14" i="33"/>
  <c r="M14" i="33" s="1"/>
  <c r="O14" i="33" s="1"/>
  <c r="L36" i="33"/>
  <c r="M36" i="33" s="1"/>
  <c r="O36" i="33" s="1"/>
  <c r="L45" i="33"/>
  <c r="M45" i="33" s="1"/>
  <c r="O45" i="33" s="1"/>
  <c r="L32" i="33"/>
  <c r="M32" i="33" s="1"/>
  <c r="O32" i="33" s="1"/>
  <c r="L37" i="33"/>
  <c r="M37" i="33" s="1"/>
  <c r="O37" i="33" s="1"/>
  <c r="L35" i="33"/>
  <c r="M35" i="33" s="1"/>
  <c r="O35" i="33" s="1"/>
  <c r="L20" i="33"/>
  <c r="M20" i="33" s="1"/>
  <c r="O20" i="33" s="1"/>
  <c r="L39" i="33"/>
  <c r="M39" i="33" s="1"/>
  <c r="O39" i="33" s="1"/>
  <c r="L12" i="33"/>
  <c r="L30" i="33"/>
  <c r="M30" i="33" s="1"/>
  <c r="O30" i="33" s="1"/>
  <c r="L15" i="33"/>
  <c r="M15" i="33" s="1"/>
  <c r="O15" i="33" s="1"/>
  <c r="L42" i="33"/>
  <c r="M42" i="33" s="1"/>
  <c r="O42" i="33" s="1"/>
  <c r="L24" i="33"/>
  <c r="M24" i="33" s="1"/>
  <c r="O24" i="33" s="1"/>
  <c r="L17" i="33"/>
  <c r="M17" i="33" s="1"/>
  <c r="O17" i="33" s="1"/>
  <c r="L31" i="33"/>
  <c r="M31" i="33" s="1"/>
  <c r="O31" i="33" s="1"/>
  <c r="L29" i="33"/>
  <c r="M29" i="33" s="1"/>
  <c r="O29" i="33" s="1"/>
  <c r="L21" i="33"/>
  <c r="M21" i="33" s="1"/>
  <c r="O21" i="33" s="1"/>
  <c r="L38" i="33"/>
  <c r="M38" i="33" s="1"/>
  <c r="O38" i="33" s="1"/>
  <c r="L23" i="33"/>
  <c r="M23" i="33" s="1"/>
  <c r="O23" i="33" s="1"/>
  <c r="M12" i="33" l="1"/>
  <c r="O12" i="33" s="1"/>
  <c r="K50" i="33"/>
  <c r="L46" i="33"/>
  <c r="M46" i="33" s="1"/>
  <c r="O46" i="33" s="1"/>
  <c r="O50" i="33" l="1"/>
  <c r="O53" i="33" s="1"/>
  <c r="B13" i="2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Z78" i="21" l="1"/>
  <c r="G141" i="27" l="1"/>
  <c r="I35" i="29" l="1"/>
  <c r="M34" i="29"/>
  <c r="N34" i="29" s="1"/>
  <c r="O34" i="29" s="1"/>
  <c r="Q15" i="29"/>
  <c r="O15" i="29"/>
  <c r="L15" i="29"/>
  <c r="K15" i="29"/>
  <c r="J15" i="29"/>
  <c r="I15" i="29"/>
  <c r="J12" i="29"/>
  <c r="L12" i="29" s="1"/>
  <c r="M12" i="29" s="1"/>
  <c r="N12" i="29" s="1"/>
  <c r="O12" i="29" s="1"/>
  <c r="P11" i="29"/>
  <c r="M11" i="29"/>
  <c r="N11" i="29" s="1"/>
  <c r="O11" i="29" s="1"/>
  <c r="K35" i="29" l="1"/>
  <c r="BD65" i="21"/>
  <c r="L33" i="29"/>
  <c r="Q11" i="29"/>
  <c r="K12" i="29"/>
  <c r="P12" i="29" s="1"/>
  <c r="Q12" i="29" s="1"/>
  <c r="J35" i="29"/>
  <c r="M33" i="29" l="1"/>
  <c r="N33" i="29" s="1"/>
  <c r="L35" i="29"/>
  <c r="O33" i="29" l="1"/>
  <c r="P33" i="29" s="1"/>
  <c r="Q33" i="29" s="1"/>
  <c r="Q35" i="29" l="1"/>
  <c r="O35" i="29"/>
  <c r="P35" i="29"/>
  <c r="G118" i="27"/>
  <c r="N21" i="27" l="1"/>
  <c r="N93" i="27" s="1"/>
  <c r="G143" i="27"/>
  <c r="E143" i="27"/>
  <c r="F118" i="27"/>
  <c r="E118" i="27"/>
  <c r="E146" i="27" l="1"/>
  <c r="E144" i="27"/>
  <c r="E93" i="27" s="1"/>
  <c r="E95" i="27" s="1"/>
  <c r="E147" i="27"/>
  <c r="G147" i="27"/>
  <c r="G146" i="27"/>
  <c r="G144" i="27"/>
  <c r="G93" i="27" s="1"/>
  <c r="G95" i="27" s="1"/>
  <c r="G100" i="27" s="1"/>
  <c r="F93" i="27"/>
  <c r="F95" i="27" s="1"/>
  <c r="F100" i="27" s="1"/>
  <c r="AM69" i="21"/>
  <c r="AM73" i="21"/>
  <c r="AM75" i="21"/>
  <c r="AM74" i="21"/>
  <c r="AM68" i="21"/>
  <c r="AM76" i="21"/>
  <c r="AP19" i="21"/>
  <c r="AM70" i="21"/>
  <c r="BL28" i="21"/>
  <c r="AP28" i="21"/>
  <c r="BI28" i="21" s="1"/>
  <c r="AP37" i="21"/>
  <c r="BI37" i="21" s="1"/>
  <c r="N94" i="27"/>
  <c r="BH12" i="21" l="1"/>
  <c r="BJ28" i="21"/>
  <c r="F149" i="27"/>
  <c r="F150" i="27" s="1"/>
  <c r="E100" i="27"/>
  <c r="N100" i="27" s="1"/>
  <c r="E101" i="27"/>
  <c r="N101" i="27" s="1"/>
  <c r="G149" i="27"/>
  <c r="G150" i="27" s="1"/>
  <c r="E149" i="27"/>
  <c r="E150" i="27" s="1"/>
  <c r="N99" i="27"/>
  <c r="O93" i="27"/>
  <c r="BL37" i="21"/>
  <c r="BL19" i="21"/>
  <c r="F103" i="27"/>
  <c r="F120" i="27" s="1"/>
  <c r="F121" i="27" s="1"/>
  <c r="E103" i="27" l="1"/>
  <c r="E120" i="27" s="1"/>
  <c r="E121" i="27" s="1"/>
  <c r="BH22" i="21"/>
  <c r="N103" i="27"/>
  <c r="N95" i="27"/>
  <c r="G103" i="27"/>
  <c r="BK65" i="21"/>
  <c r="AL56" i="21"/>
  <c r="AL65" i="21" s="1"/>
  <c r="AK56" i="21"/>
  <c r="AK65" i="21" s="1"/>
  <c r="AJ65" i="21"/>
  <c r="AF56" i="21"/>
  <c r="AF65" i="21" s="1"/>
  <c r="AD56" i="21"/>
  <c r="AD65" i="21" s="1"/>
  <c r="AA56" i="21"/>
  <c r="AA65" i="21" s="1"/>
  <c r="Z56" i="21"/>
  <c r="Y56" i="21"/>
  <c r="Y65" i="21" s="1"/>
  <c r="X56" i="21"/>
  <c r="X65" i="21" s="1"/>
  <c r="W56" i="21"/>
  <c r="W65" i="21" s="1"/>
  <c r="V65" i="21"/>
  <c r="BL63" i="21" l="1"/>
  <c r="AN63" i="21"/>
  <c r="AM63" i="21"/>
  <c r="BH18" i="21"/>
  <c r="G120" i="27"/>
  <c r="Z65" i="21"/>
  <c r="AP18" i="21"/>
  <c r="AI56" i="21"/>
  <c r="AI65" i="21" s="1"/>
  <c r="G121" i="27" l="1"/>
  <c r="O121" i="27" s="1"/>
  <c r="AV63" i="21"/>
  <c r="AR63" i="21"/>
  <c r="N120" i="27"/>
  <c r="AR77" i="21"/>
  <c r="AT63" i="21"/>
  <c r="BB56" i="21"/>
  <c r="BB65" i="21" s="1"/>
  <c r="BH26" i="21" l="1"/>
  <c r="T129" i="27"/>
  <c r="T115" i="28"/>
  <c r="U115" i="28" s="1"/>
  <c r="BH66" i="21" s="1"/>
  <c r="AX63" i="21"/>
  <c r="N121" i="27"/>
  <c r="BH56" i="21" l="1"/>
  <c r="BH65" i="21" s="1"/>
  <c r="AV76" i="21" s="1"/>
  <c r="AW76" i="21" s="1"/>
  <c r="BH57" i="21"/>
  <c r="BI63" i="21"/>
  <c r="BJ63" i="21"/>
  <c r="P121" i="27"/>
  <c r="AP56" i="21"/>
  <c r="BH58" i="21" l="1"/>
  <c r="AP65" i="21"/>
  <c r="AQ69" i="21" s="1"/>
  <c r="AW69" i="21" s="1"/>
  <c r="U121" i="28" l="1"/>
  <c r="BJ37" i="21" l="1"/>
  <c r="AF14" i="25"/>
  <c r="BG56" i="21" l="1"/>
  <c r="BG65" i="21" s="1"/>
  <c r="AM66" i="25"/>
  <c r="AM71" i="25" s="1"/>
  <c r="BB58" i="25"/>
  <c r="AU58" i="25"/>
  <c r="AT58" i="25"/>
  <c r="AS58" i="25"/>
  <c r="AM58" i="25"/>
  <c r="AE58" i="25"/>
  <c r="AD58" i="25"/>
  <c r="AC58" i="25"/>
  <c r="AB58" i="25"/>
  <c r="Z58" i="25"/>
  <c r="Y58" i="25"/>
  <c r="X58" i="25"/>
  <c r="W58" i="25"/>
  <c r="V58" i="25"/>
  <c r="U58" i="25"/>
  <c r="T58" i="25"/>
  <c r="S58" i="25"/>
  <c r="Q58" i="25"/>
  <c r="AP56" i="25"/>
  <c r="AG56" i="25"/>
  <c r="AK56" i="25" s="1"/>
  <c r="AF56" i="25"/>
  <c r="BB51" i="25"/>
  <c r="AW51" i="25"/>
  <c r="AW53" i="25" s="1"/>
  <c r="AU51" i="25"/>
  <c r="AT51" i="25"/>
  <c r="AS51" i="25"/>
  <c r="AM51" i="25"/>
  <c r="AI51" i="25"/>
  <c r="AE51" i="25"/>
  <c r="AD51" i="25"/>
  <c r="AC51" i="25"/>
  <c r="AB51" i="25"/>
  <c r="Z51" i="25"/>
  <c r="Y51" i="25"/>
  <c r="X51" i="25"/>
  <c r="W51" i="25"/>
  <c r="V51" i="25"/>
  <c r="U51" i="25"/>
  <c r="T51" i="25"/>
  <c r="S51" i="25"/>
  <c r="AP50" i="25"/>
  <c r="Q50" i="25"/>
  <c r="AG50" i="25" s="1"/>
  <c r="AP49" i="25"/>
  <c r="Q49" i="25"/>
  <c r="AG49" i="25" s="1"/>
  <c r="AP48" i="25"/>
  <c r="AG48" i="25"/>
  <c r="AK48" i="25" s="1"/>
  <c r="AF48" i="25"/>
  <c r="AP47" i="25"/>
  <c r="Q47" i="25"/>
  <c r="AP46" i="25"/>
  <c r="AG46" i="25"/>
  <c r="BA46" i="25" s="1"/>
  <c r="AF46" i="25"/>
  <c r="AP45" i="25"/>
  <c r="AG45" i="25"/>
  <c r="BA45" i="25" s="1"/>
  <c r="AF45" i="25"/>
  <c r="AP44" i="25"/>
  <c r="AG44" i="25"/>
  <c r="AO44" i="25" s="1"/>
  <c r="AF44" i="25"/>
  <c r="AX43" i="25"/>
  <c r="AG43" i="25"/>
  <c r="BA43" i="25" s="1"/>
  <c r="AF43" i="25"/>
  <c r="BB42" i="25"/>
  <c r="AU42" i="25"/>
  <c r="AT42" i="25"/>
  <c r="AS42" i="25"/>
  <c r="AR42" i="25"/>
  <c r="AR53" i="25" s="1"/>
  <c r="AI42" i="25"/>
  <c r="AE42" i="25"/>
  <c r="AD42" i="25"/>
  <c r="AC42" i="25"/>
  <c r="AB42" i="25"/>
  <c r="Z42" i="25"/>
  <c r="Y42" i="25"/>
  <c r="X42" i="25"/>
  <c r="W42" i="25"/>
  <c r="V42" i="25"/>
  <c r="U42" i="25"/>
  <c r="T42" i="25"/>
  <c r="S42" i="25"/>
  <c r="Q42" i="25"/>
  <c r="BA41" i="25"/>
  <c r="AP41" i="25"/>
  <c r="AO41" i="25"/>
  <c r="AK41" i="25"/>
  <c r="AF41" i="25"/>
  <c r="AP40" i="25"/>
  <c r="AG40" i="25"/>
  <c r="AO40" i="25" s="1"/>
  <c r="AF40" i="25"/>
  <c r="AP39" i="25"/>
  <c r="AG39" i="25"/>
  <c r="AO39" i="25" s="1"/>
  <c r="AF39" i="25"/>
  <c r="BB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E38" i="25"/>
  <c r="AD38" i="25"/>
  <c r="AB38" i="25"/>
  <c r="Z38" i="25"/>
  <c r="Y38" i="25"/>
  <c r="X38" i="25"/>
  <c r="W38" i="25"/>
  <c r="V38" i="25"/>
  <c r="U38" i="25"/>
  <c r="T38" i="25"/>
  <c r="S38" i="25"/>
  <c r="Q38" i="25"/>
  <c r="AG36" i="25"/>
  <c r="BA36" i="25" s="1"/>
  <c r="AF36" i="25"/>
  <c r="AG35" i="25"/>
  <c r="AF35" i="25"/>
  <c r="BB33" i="25"/>
  <c r="AW33" i="25"/>
  <c r="AV33" i="25"/>
  <c r="AU33" i="25"/>
  <c r="AT33" i="25"/>
  <c r="AS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BI31" i="25"/>
  <c r="AP31" i="25"/>
  <c r="Q31" i="25"/>
  <c r="AG31" i="25" s="1"/>
  <c r="BA31" i="25" s="1"/>
  <c r="BI30" i="25"/>
  <c r="AP30" i="25"/>
  <c r="Q30" i="25"/>
  <c r="BI29" i="25"/>
  <c r="AP29" i="25"/>
  <c r="AG29" i="25"/>
  <c r="BA29" i="25" s="1"/>
  <c r="AF29" i="25"/>
  <c r="BI28" i="25"/>
  <c r="AP28" i="25"/>
  <c r="AG28" i="25"/>
  <c r="AK28" i="25" s="1"/>
  <c r="AF28" i="25"/>
  <c r="BI27" i="25"/>
  <c r="AR27" i="25"/>
  <c r="AG27" i="25"/>
  <c r="BA27" i="25" s="1"/>
  <c r="AF27" i="25"/>
  <c r="BI26" i="25"/>
  <c r="AX26" i="25"/>
  <c r="AG26" i="25"/>
  <c r="BA26" i="25" s="1"/>
  <c r="AF26" i="25"/>
  <c r="BI25" i="25"/>
  <c r="AP25" i="25"/>
  <c r="Q25" i="25"/>
  <c r="AG25" i="25" s="1"/>
  <c r="BA25" i="25" s="1"/>
  <c r="BI24" i="25"/>
  <c r="AP24" i="25"/>
  <c r="AG24" i="25"/>
  <c r="BA24" i="25" s="1"/>
  <c r="AF24" i="25"/>
  <c r="BI23" i="25"/>
  <c r="AR23" i="25"/>
  <c r="AP23" i="25"/>
  <c r="Q23" i="25"/>
  <c r="AF23" i="25" s="1"/>
  <c r="BB21" i="25"/>
  <c r="AU21" i="25"/>
  <c r="AT21" i="25"/>
  <c r="AS21" i="25"/>
  <c r="AR21" i="25"/>
  <c r="AI21" i="25"/>
  <c r="AE21" i="25"/>
  <c r="AD21" i="25"/>
  <c r="AC21" i="25"/>
  <c r="AB21" i="25"/>
  <c r="Z21" i="25"/>
  <c r="Y21" i="25"/>
  <c r="X21" i="25"/>
  <c r="W21" i="25"/>
  <c r="V21" i="25"/>
  <c r="U21" i="25"/>
  <c r="T21" i="25"/>
  <c r="S21" i="25"/>
  <c r="BI19" i="25"/>
  <c r="AP19" i="25"/>
  <c r="AG19" i="25"/>
  <c r="BA19" i="25" s="1"/>
  <c r="AF19" i="25"/>
  <c r="BI18" i="25"/>
  <c r="AP18" i="25"/>
  <c r="Q18" i="25"/>
  <c r="AF18" i="25" s="1"/>
  <c r="BI17" i="25"/>
  <c r="AP17" i="25"/>
  <c r="AG17" i="25"/>
  <c r="AO17" i="25" s="1"/>
  <c r="AF17" i="25"/>
  <c r="BI16" i="25"/>
  <c r="AP16" i="25"/>
  <c r="AG16" i="25"/>
  <c r="BA16" i="25" s="1"/>
  <c r="AF16" i="25"/>
  <c r="BI15" i="25"/>
  <c r="AP15" i="25"/>
  <c r="Q15" i="25"/>
  <c r="AF15" i="25" s="1"/>
  <c r="BI14" i="25"/>
  <c r="AX14" i="25"/>
  <c r="AY14" i="25" s="1"/>
  <c r="AG14" i="25"/>
  <c r="BA14" i="25" s="1"/>
  <c r="BI13" i="25"/>
  <c r="AP13" i="25"/>
  <c r="AG13" i="25"/>
  <c r="BA13" i="25" s="1"/>
  <c r="AF13" i="25"/>
  <c r="BI12" i="25"/>
  <c r="AP12" i="25"/>
  <c r="Q12" i="25"/>
  <c r="AT53" i="25" l="1"/>
  <c r="AT61" i="25" s="1"/>
  <c r="U53" i="25"/>
  <c r="U61" i="25" s="1"/>
  <c r="AS53" i="25"/>
  <c r="AS61" i="25" s="1"/>
  <c r="W53" i="25"/>
  <c r="W61" i="25" s="1"/>
  <c r="AU53" i="25"/>
  <c r="AU61" i="25" s="1"/>
  <c r="AV61" i="25"/>
  <c r="X53" i="25"/>
  <c r="X61" i="25" s="1"/>
  <c r="BB53" i="25"/>
  <c r="BB61" i="25" s="1"/>
  <c r="Y53" i="25"/>
  <c r="Y61" i="25" s="1"/>
  <c r="AG58" i="25"/>
  <c r="AQ41" i="25"/>
  <c r="AX41" i="25" s="1"/>
  <c r="AY41" i="25" s="1"/>
  <c r="Q21" i="25"/>
  <c r="AO56" i="25"/>
  <c r="AO58" i="25" s="1"/>
  <c r="BA56" i="25"/>
  <c r="BA58" i="25" s="1"/>
  <c r="AR33" i="25"/>
  <c r="AR61" i="25" s="1"/>
  <c r="AO69" i="25" s="1"/>
  <c r="AO71" i="25" s="1"/>
  <c r="Z53" i="25"/>
  <c r="Z61" i="25" s="1"/>
  <c r="AC53" i="25"/>
  <c r="AC61" i="25" s="1"/>
  <c r="AM24" i="25"/>
  <c r="T53" i="25"/>
  <c r="T61" i="25" s="1"/>
  <c r="AF12" i="25"/>
  <c r="AF21" i="25" s="1"/>
  <c r="AG12" i="25"/>
  <c r="AK12" i="25" s="1"/>
  <c r="AG15" i="25"/>
  <c r="AK15" i="25" s="1"/>
  <c r="AO28" i="25"/>
  <c r="AQ28" i="25" s="1"/>
  <c r="AX28" i="25" s="1"/>
  <c r="AY28" i="25" s="1"/>
  <c r="AD53" i="25"/>
  <c r="AD61" i="25" s="1"/>
  <c r="AI27" i="25"/>
  <c r="AI33" i="25" s="1"/>
  <c r="AG18" i="25"/>
  <c r="AO18" i="25" s="1"/>
  <c r="AK24" i="25"/>
  <c r="BA17" i="25"/>
  <c r="AI53" i="25"/>
  <c r="BA50" i="25"/>
  <c r="AK50" i="25"/>
  <c r="AK58" i="25"/>
  <c r="BA49" i="25"/>
  <c r="AO49" i="25"/>
  <c r="AK49" i="25"/>
  <c r="AK13" i="25"/>
  <c r="AF50" i="25"/>
  <c r="AM13" i="25"/>
  <c r="AO19" i="25"/>
  <c r="AG23" i="25"/>
  <c r="AM23" i="25" s="1"/>
  <c r="AO24" i="25"/>
  <c r="AY26" i="25"/>
  <c r="BA28" i="25"/>
  <c r="AI36" i="25"/>
  <c r="AX36" i="25" s="1"/>
  <c r="AY36" i="25" s="1"/>
  <c r="AK44" i="25"/>
  <c r="AQ44" i="25" s="1"/>
  <c r="AF49" i="25"/>
  <c r="Q33" i="25"/>
  <c r="AO13" i="25"/>
  <c r="AF31" i="25"/>
  <c r="AF42" i="25"/>
  <c r="V53" i="25"/>
  <c r="V61" i="25" s="1"/>
  <c r="AE53" i="25"/>
  <c r="AE61" i="25" s="1"/>
  <c r="S53" i="25"/>
  <c r="S61" i="25" s="1"/>
  <c r="AB53" i="25"/>
  <c r="AB61" i="25" s="1"/>
  <c r="AK19" i="25"/>
  <c r="AF25" i="25"/>
  <c r="AK29" i="25"/>
  <c r="AF38" i="25"/>
  <c r="AO42" i="25"/>
  <c r="AW61" i="25"/>
  <c r="Q51" i="25"/>
  <c r="Q53" i="25" s="1"/>
  <c r="AK17" i="25"/>
  <c r="AQ17" i="25" s="1"/>
  <c r="AX17" i="25" s="1"/>
  <c r="AY17" i="25" s="1"/>
  <c r="AG38" i="25"/>
  <c r="AK45" i="25"/>
  <c r="AK25" i="25"/>
  <c r="AO25" i="25"/>
  <c r="AK31" i="25"/>
  <c r="AO31" i="25"/>
  <c r="AI35" i="25"/>
  <c r="BA48" i="25"/>
  <c r="AO48" i="25"/>
  <c r="AQ48" i="25" s="1"/>
  <c r="AX48" i="25" s="1"/>
  <c r="AY48" i="25" s="1"/>
  <c r="AK16" i="25"/>
  <c r="AO16" i="25"/>
  <c r="AO29" i="25"/>
  <c r="AF30" i="25"/>
  <c r="AO45" i="25"/>
  <c r="AK46" i="25"/>
  <c r="AF47" i="25"/>
  <c r="AO50" i="25"/>
  <c r="AO46" i="25"/>
  <c r="AG47" i="25"/>
  <c r="AG51" i="25" s="1"/>
  <c r="AG30" i="25"/>
  <c r="BA39" i="25"/>
  <c r="AG42" i="25"/>
  <c r="BA35" i="25"/>
  <c r="BA38" i="25" s="1"/>
  <c r="AK39" i="25"/>
  <c r="BA40" i="25"/>
  <c r="AY43" i="25"/>
  <c r="AM39" i="25"/>
  <c r="AK40" i="25"/>
  <c r="AQ40" i="25" s="1"/>
  <c r="AX40" i="25" s="1"/>
  <c r="AY40" i="25" s="1"/>
  <c r="BA44" i="25"/>
  <c r="AF58" i="25"/>
  <c r="AK23" i="25" l="1"/>
  <c r="AL68" i="25" s="1"/>
  <c r="AG33" i="25"/>
  <c r="BA23" i="25"/>
  <c r="AM33" i="25"/>
  <c r="AQ50" i="25"/>
  <c r="AX50" i="25" s="1"/>
  <c r="AY50" i="25" s="1"/>
  <c r="AQ29" i="25"/>
  <c r="AX29" i="25" s="1"/>
  <c r="AY29" i="25" s="1"/>
  <c r="AN66" i="25"/>
  <c r="AN71" i="25" s="1"/>
  <c r="Q61" i="25"/>
  <c r="BA18" i="25"/>
  <c r="AQ24" i="25"/>
  <c r="AX24" i="25" s="1"/>
  <c r="AY24" i="25" s="1"/>
  <c r="BA12" i="25"/>
  <c r="AO12" i="25"/>
  <c r="AM12" i="25"/>
  <c r="AM21" i="25" s="1"/>
  <c r="AQ56" i="25"/>
  <c r="AX56" i="25" s="1"/>
  <c r="AX58" i="25" s="1"/>
  <c r="AO23" i="25"/>
  <c r="AQ13" i="25"/>
  <c r="AX13" i="25" s="1"/>
  <c r="AY13" i="25" s="1"/>
  <c r="AQ19" i="25"/>
  <c r="AX19" i="25" s="1"/>
  <c r="AY19" i="25" s="1"/>
  <c r="AQ49" i="25"/>
  <c r="AX49" i="25" s="1"/>
  <c r="AY49" i="25" s="1"/>
  <c r="E65" i="25" s="1"/>
  <c r="AP69" i="25"/>
  <c r="AG21" i="25"/>
  <c r="AX27" i="25"/>
  <c r="AY27" i="25" s="1"/>
  <c r="AK18" i="25"/>
  <c r="AQ18" i="25" s="1"/>
  <c r="AX18" i="25" s="1"/>
  <c r="AY18" i="25" s="1"/>
  <c r="BA15" i="25"/>
  <c r="AO15" i="25"/>
  <c r="AQ15" i="25" s="1"/>
  <c r="AX15" i="25" s="1"/>
  <c r="AY15" i="25" s="1"/>
  <c r="AI38" i="25"/>
  <c r="AI61" i="25" s="1"/>
  <c r="AJ64" i="25" s="1"/>
  <c r="AP64" i="25" s="1"/>
  <c r="AQ45" i="25"/>
  <c r="AX45" i="25" s="1"/>
  <c r="AY45" i="25" s="1"/>
  <c r="AQ31" i="25"/>
  <c r="AX31" i="25" s="1"/>
  <c r="AY31" i="25" s="1"/>
  <c r="AX35" i="25"/>
  <c r="AX38" i="25" s="1"/>
  <c r="AQ25" i="25"/>
  <c r="AX25" i="25" s="1"/>
  <c r="AY25" i="25" s="1"/>
  <c r="AL66" i="25"/>
  <c r="AL71" i="25" s="1"/>
  <c r="AX44" i="25"/>
  <c r="AG53" i="25"/>
  <c r="BA42" i="25"/>
  <c r="AM42" i="25"/>
  <c r="AM53" i="25" s="1"/>
  <c r="AM68" i="25"/>
  <c r="AO30" i="25"/>
  <c r="AK30" i="25"/>
  <c r="BA30" i="25"/>
  <c r="AQ46" i="25"/>
  <c r="AX46" i="25" s="1"/>
  <c r="AY46" i="25" s="1"/>
  <c r="AQ16" i="25"/>
  <c r="AX16" i="25" s="1"/>
  <c r="AY16" i="25" s="1"/>
  <c r="AQ39" i="25"/>
  <c r="AK42" i="25"/>
  <c r="AO47" i="25"/>
  <c r="AO51" i="25" s="1"/>
  <c r="AO53" i="25" s="1"/>
  <c r="AK47" i="25"/>
  <c r="BA47" i="25"/>
  <c r="BA51" i="25" s="1"/>
  <c r="AF51" i="25"/>
  <c r="AF53" i="25" s="1"/>
  <c r="AF33" i="25"/>
  <c r="BA33" i="25" l="1"/>
  <c r="AQ23" i="25"/>
  <c r="AX23" i="25" s="1"/>
  <c r="AG61" i="25"/>
  <c r="BA21" i="25"/>
  <c r="AM61" i="25"/>
  <c r="AY35" i="25"/>
  <c r="AY38" i="25" s="1"/>
  <c r="AY56" i="25"/>
  <c r="AY58" i="25" s="1"/>
  <c r="AK21" i="25"/>
  <c r="AM67" i="25"/>
  <c r="AQ12" i="25"/>
  <c r="AX12" i="25" s="1"/>
  <c r="AQ58" i="25"/>
  <c r="AO33" i="25"/>
  <c r="AN68" i="25"/>
  <c r="AP68" i="25" s="1"/>
  <c r="AJ71" i="25"/>
  <c r="AO21" i="25"/>
  <c r="AP66" i="25"/>
  <c r="AQ30" i="25"/>
  <c r="AX30" i="25" s="1"/>
  <c r="AY30" i="25" s="1"/>
  <c r="AF61" i="25"/>
  <c r="AK33" i="25"/>
  <c r="AY44" i="25"/>
  <c r="AL67" i="25"/>
  <c r="AP67" i="25" s="1"/>
  <c r="AQ47" i="25"/>
  <c r="AK51" i="25"/>
  <c r="AK53" i="25" s="1"/>
  <c r="AQ42" i="25"/>
  <c r="AX39" i="25"/>
  <c r="AN67" i="25"/>
  <c r="BA53" i="25"/>
  <c r="BA61" i="25" l="1"/>
  <c r="AK65" i="25" s="1"/>
  <c r="AP65" i="25" s="1"/>
  <c r="AP71" i="25" s="1"/>
  <c r="E66" i="25"/>
  <c r="AO61" i="25"/>
  <c r="AQ21" i="25"/>
  <c r="AQ33" i="25"/>
  <c r="AK61" i="25"/>
  <c r="AX33" i="25"/>
  <c r="AY23" i="25"/>
  <c r="AY33" i="25" s="1"/>
  <c r="E68" i="25" s="1"/>
  <c r="AX47" i="25"/>
  <c r="AQ51" i="25"/>
  <c r="AQ53" i="25" s="1"/>
  <c r="AX42" i="25"/>
  <c r="AY39" i="25"/>
  <c r="AY42" i="25" s="1"/>
  <c r="AX21" i="25"/>
  <c r="AY12" i="25"/>
  <c r="AY21" i="25" s="1"/>
  <c r="AK71" i="25" l="1"/>
  <c r="AQ61" i="25"/>
  <c r="E67" i="25"/>
  <c r="AY47" i="25"/>
  <c r="AX51" i="25"/>
  <c r="AX53" i="25" s="1"/>
  <c r="AX61" i="25" s="1"/>
  <c r="AY51" i="25" l="1"/>
  <c r="AY53" i="25" s="1"/>
  <c r="AY61" i="25" s="1"/>
  <c r="AY63" i="25" s="1"/>
  <c r="E64" i="25" l="1"/>
  <c r="E69" i="25" s="1"/>
  <c r="AW25" i="21" l="1"/>
  <c r="AV78" i="21" l="1"/>
  <c r="AV83" i="21" s="1"/>
  <c r="AQ78" i="21" l="1"/>
  <c r="G13" i="12" l="1"/>
  <c r="H13" i="12" s="1"/>
  <c r="D17" i="10"/>
  <c r="F17" i="9"/>
  <c r="E17" i="9"/>
  <c r="H9" i="9"/>
  <c r="H10" i="12"/>
  <c r="G10" i="12"/>
  <c r="P10" i="12" s="1"/>
  <c r="R10" i="12" s="1"/>
  <c r="P13" i="12" l="1"/>
  <c r="H9" i="11" l="1"/>
  <c r="E33" i="9"/>
  <c r="E18" i="12" l="1"/>
  <c r="F18" i="12"/>
  <c r="J10" i="12"/>
  <c r="F36" i="12"/>
  <c r="E36" i="12"/>
  <c r="G35" i="12"/>
  <c r="G34" i="12"/>
  <c r="G33" i="12"/>
  <c r="G32" i="12"/>
  <c r="G31" i="12"/>
  <c r="G30" i="12"/>
  <c r="G29" i="12"/>
  <c r="G28" i="12"/>
  <c r="G27" i="12"/>
  <c r="B27" i="12"/>
  <c r="B28" i="12" s="1"/>
  <c r="G26" i="12"/>
  <c r="G17" i="12"/>
  <c r="G16" i="12"/>
  <c r="G15" i="12"/>
  <c r="G14" i="12"/>
  <c r="G12" i="12"/>
  <c r="G11" i="12"/>
  <c r="B11" i="12"/>
  <c r="B12" i="12" s="1"/>
  <c r="H33" i="12" l="1"/>
  <c r="P33" i="12"/>
  <c r="R33" i="12" s="1"/>
  <c r="H34" i="12"/>
  <c r="P34" i="12"/>
  <c r="R34" i="12" s="1"/>
  <c r="H35" i="12"/>
  <c r="P35" i="12"/>
  <c r="R35" i="12" s="1"/>
  <c r="H28" i="12"/>
  <c r="P28" i="12"/>
  <c r="R28" i="12" s="1"/>
  <c r="H32" i="12"/>
  <c r="P32" i="12"/>
  <c r="R32" i="12" s="1"/>
  <c r="H14" i="12"/>
  <c r="P14" i="12"/>
  <c r="R14" i="12" s="1"/>
  <c r="H17" i="12"/>
  <c r="P17" i="12"/>
  <c r="R17" i="12" s="1"/>
  <c r="H26" i="12"/>
  <c r="P26" i="12"/>
  <c r="R26" i="12" s="1"/>
  <c r="H27" i="12"/>
  <c r="P27" i="12"/>
  <c r="R27" i="12" s="1"/>
  <c r="P15" i="12"/>
  <c r="R15" i="12" s="1"/>
  <c r="H30" i="12"/>
  <c r="P30" i="12"/>
  <c r="R30" i="12" s="1"/>
  <c r="H29" i="12"/>
  <c r="P29" i="12"/>
  <c r="R29" i="12" s="1"/>
  <c r="H16" i="12"/>
  <c r="P16" i="12"/>
  <c r="R16" i="12" s="1"/>
  <c r="H31" i="12"/>
  <c r="P31" i="12"/>
  <c r="R31" i="12" s="1"/>
  <c r="E39" i="12"/>
  <c r="H11" i="12"/>
  <c r="P11" i="12"/>
  <c r="H12" i="12"/>
  <c r="P12" i="12"/>
  <c r="R12" i="12" s="1"/>
  <c r="R13" i="12"/>
  <c r="H15" i="12"/>
  <c r="G18" i="12"/>
  <c r="G36" i="12"/>
  <c r="P36" i="12" s="1"/>
  <c r="E33" i="11"/>
  <c r="D33" i="11"/>
  <c r="F32" i="11"/>
  <c r="G32" i="11" s="1"/>
  <c r="F31" i="11"/>
  <c r="G31" i="11" s="1"/>
  <c r="F30" i="11"/>
  <c r="G30" i="11" s="1"/>
  <c r="F29" i="11"/>
  <c r="G29" i="11" s="1"/>
  <c r="F28" i="11"/>
  <c r="G28" i="11" s="1"/>
  <c r="F27" i="11"/>
  <c r="G27" i="11" s="1"/>
  <c r="F26" i="11"/>
  <c r="G26" i="11" s="1"/>
  <c r="F25" i="11"/>
  <c r="G25" i="11" s="1"/>
  <c r="F24" i="11"/>
  <c r="G24" i="11" s="1"/>
  <c r="A24" i="11"/>
  <c r="A25" i="11" s="1"/>
  <c r="F23" i="11"/>
  <c r="G23" i="11" s="1"/>
  <c r="E17" i="11"/>
  <c r="D17" i="11"/>
  <c r="F16" i="11"/>
  <c r="G16" i="11" s="1"/>
  <c r="F15" i="11"/>
  <c r="G15" i="11" s="1"/>
  <c r="F14" i="11"/>
  <c r="G14" i="11" s="1"/>
  <c r="F13" i="11"/>
  <c r="G13" i="11" s="1"/>
  <c r="H13" i="11" s="1"/>
  <c r="F12" i="11"/>
  <c r="G12" i="11" s="1"/>
  <c r="F11" i="11"/>
  <c r="G11" i="11" s="1"/>
  <c r="F10" i="11"/>
  <c r="G10" i="11" s="1"/>
  <c r="A10" i="11"/>
  <c r="A11" i="11" s="1"/>
  <c r="F9" i="11"/>
  <c r="G9" i="11" s="1"/>
  <c r="I9" i="11" s="1"/>
  <c r="E17" i="10"/>
  <c r="D35" i="11" l="1"/>
  <c r="K10" i="12"/>
  <c r="R36" i="12"/>
  <c r="R11" i="12"/>
  <c r="R18" i="12" s="1"/>
  <c r="P18" i="12"/>
  <c r="H18" i="12"/>
  <c r="H28" i="11"/>
  <c r="I28" i="11" s="1"/>
  <c r="K31" i="12" s="1"/>
  <c r="H27" i="11"/>
  <c r="I27" i="11" s="1"/>
  <c r="K30" i="12" s="1"/>
  <c r="H10" i="11"/>
  <c r="I10" i="11" s="1"/>
  <c r="H29" i="11"/>
  <c r="I29" i="11" s="1"/>
  <c r="K32" i="12" s="1"/>
  <c r="H26" i="11"/>
  <c r="I26" i="11" s="1"/>
  <c r="K29" i="12" s="1"/>
  <c r="H23" i="11"/>
  <c r="I23" i="11" s="1"/>
  <c r="K26" i="12" s="1"/>
  <c r="H30" i="11"/>
  <c r="I30" i="11" s="1"/>
  <c r="K33" i="12" s="1"/>
  <c r="H24" i="11"/>
  <c r="I24" i="11" s="1"/>
  <c r="K27" i="12" s="1"/>
  <c r="H32" i="11"/>
  <c r="I32" i="11" s="1"/>
  <c r="K35" i="12" s="1"/>
  <c r="H25" i="11"/>
  <c r="I25" i="11" s="1"/>
  <c r="K28" i="12" s="1"/>
  <c r="H31" i="11"/>
  <c r="H11" i="11"/>
  <c r="I11" i="11" s="1"/>
  <c r="K12" i="12" s="1"/>
  <c r="H15" i="11"/>
  <c r="I15" i="11" s="1"/>
  <c r="K16" i="12" s="1"/>
  <c r="H14" i="11"/>
  <c r="I14" i="11" s="1"/>
  <c r="K15" i="12" s="1"/>
  <c r="H16" i="11"/>
  <c r="I16" i="11" s="1"/>
  <c r="K17" i="12" s="1"/>
  <c r="H12" i="11"/>
  <c r="I12" i="11" s="1"/>
  <c r="K13" i="12" s="1"/>
  <c r="I13" i="11"/>
  <c r="K14" i="12" s="1"/>
  <c r="G17" i="11"/>
  <c r="F17" i="11"/>
  <c r="F33" i="11"/>
  <c r="G33" i="11"/>
  <c r="I17" i="11" l="1"/>
  <c r="H33" i="11"/>
  <c r="K11" i="12"/>
  <c r="K18" i="12" s="1"/>
  <c r="I31" i="11"/>
  <c r="H17" i="11"/>
  <c r="I33" i="11" l="1"/>
  <c r="K34" i="12"/>
  <c r="K36" i="12" s="1"/>
  <c r="E33" i="10"/>
  <c r="D33" i="10"/>
  <c r="F32" i="10"/>
  <c r="G32" i="10" s="1"/>
  <c r="F31" i="10"/>
  <c r="G31" i="10" s="1"/>
  <c r="F30" i="10"/>
  <c r="G30" i="10" s="1"/>
  <c r="F29" i="10"/>
  <c r="G29" i="10" s="1"/>
  <c r="F28" i="10"/>
  <c r="G28" i="10" s="1"/>
  <c r="F27" i="10"/>
  <c r="G27" i="10" s="1"/>
  <c r="F26" i="10"/>
  <c r="G26" i="10" s="1"/>
  <c r="F25" i="10"/>
  <c r="G25" i="10" s="1"/>
  <c r="F24" i="10"/>
  <c r="G24" i="10" s="1"/>
  <c r="A24" i="10"/>
  <c r="A25" i="10" s="1"/>
  <c r="F23" i="10"/>
  <c r="G23" i="10" s="1"/>
  <c r="F16" i="10"/>
  <c r="G16" i="10" s="1"/>
  <c r="F15" i="10"/>
  <c r="G15" i="10" s="1"/>
  <c r="F14" i="10"/>
  <c r="G14" i="10" s="1"/>
  <c r="F13" i="10"/>
  <c r="G13" i="10" s="1"/>
  <c r="F12" i="10"/>
  <c r="G12" i="10" s="1"/>
  <c r="F11" i="10"/>
  <c r="G11" i="10" s="1"/>
  <c r="F10" i="10"/>
  <c r="G10" i="10" s="1"/>
  <c r="A10" i="10"/>
  <c r="A11" i="10" s="1"/>
  <c r="F9" i="10"/>
  <c r="G23" i="9"/>
  <c r="G10" i="9"/>
  <c r="F33" i="9"/>
  <c r="G32" i="9"/>
  <c r="G31" i="9"/>
  <c r="G30" i="9"/>
  <c r="G29" i="9"/>
  <c r="G28" i="9"/>
  <c r="G27" i="9"/>
  <c r="G26" i="9"/>
  <c r="G25" i="9"/>
  <c r="G24" i="9"/>
  <c r="B24" i="9"/>
  <c r="B25" i="9" s="1"/>
  <c r="E35" i="9"/>
  <c r="G16" i="9"/>
  <c r="G15" i="9"/>
  <c r="G14" i="9"/>
  <c r="G13" i="9"/>
  <c r="G12" i="9"/>
  <c r="G11" i="9"/>
  <c r="B10" i="9"/>
  <c r="B11" i="9" s="1"/>
  <c r="G9" i="9"/>
  <c r="I3" i="9"/>
  <c r="F17" i="10" l="1"/>
  <c r="I9" i="9"/>
  <c r="J9" i="9" s="1"/>
  <c r="G17" i="9"/>
  <c r="I11" i="9"/>
  <c r="J11" i="9" s="1"/>
  <c r="K11" i="9" s="1"/>
  <c r="L11" i="9" s="1"/>
  <c r="I12" i="12" s="1"/>
  <c r="H11" i="9"/>
  <c r="I23" i="9"/>
  <c r="J23" i="9" s="1"/>
  <c r="K23" i="9" s="1"/>
  <c r="H23" i="9"/>
  <c r="I24" i="9"/>
  <c r="J24" i="9" s="1"/>
  <c r="K24" i="9" s="1"/>
  <c r="L24" i="9" s="1"/>
  <c r="I27" i="12" s="1"/>
  <c r="H24" i="9"/>
  <c r="I28" i="9"/>
  <c r="J28" i="9" s="1"/>
  <c r="K28" i="9" s="1"/>
  <c r="L28" i="9" s="1"/>
  <c r="I31" i="12" s="1"/>
  <c r="H28" i="9"/>
  <c r="I12" i="9"/>
  <c r="J12" i="9" s="1"/>
  <c r="K12" i="9" s="1"/>
  <c r="L12" i="9" s="1"/>
  <c r="I13" i="12" s="1"/>
  <c r="H12" i="9"/>
  <c r="I32" i="9"/>
  <c r="J32" i="9" s="1"/>
  <c r="K32" i="9" s="1"/>
  <c r="L32" i="9" s="1"/>
  <c r="I35" i="12" s="1"/>
  <c r="H32" i="9"/>
  <c r="I13" i="9"/>
  <c r="J13" i="9" s="1"/>
  <c r="K13" i="9" s="1"/>
  <c r="L13" i="9" s="1"/>
  <c r="I14" i="12" s="1"/>
  <c r="H13" i="9"/>
  <c r="I25" i="9"/>
  <c r="J25" i="9" s="1"/>
  <c r="K25" i="9" s="1"/>
  <c r="L25" i="9" s="1"/>
  <c r="I28" i="12" s="1"/>
  <c r="H25" i="9"/>
  <c r="I16" i="9"/>
  <c r="J16" i="9" s="1"/>
  <c r="K16" i="9" s="1"/>
  <c r="L16" i="9" s="1"/>
  <c r="I17" i="12" s="1"/>
  <c r="H16" i="9"/>
  <c r="I30" i="9"/>
  <c r="J30" i="9" s="1"/>
  <c r="K30" i="9" s="1"/>
  <c r="L30" i="9" s="1"/>
  <c r="I33" i="12" s="1"/>
  <c r="H30" i="9"/>
  <c r="I14" i="9"/>
  <c r="J14" i="9" s="1"/>
  <c r="K14" i="9" s="1"/>
  <c r="L14" i="9" s="1"/>
  <c r="I15" i="12" s="1"/>
  <c r="H14" i="9"/>
  <c r="I26" i="9"/>
  <c r="J26" i="9" s="1"/>
  <c r="K26" i="9" s="1"/>
  <c r="L26" i="9" s="1"/>
  <c r="I29" i="12" s="1"/>
  <c r="H26" i="9"/>
  <c r="H10" i="9"/>
  <c r="I10" i="9"/>
  <c r="I15" i="9"/>
  <c r="J15" i="9" s="1"/>
  <c r="K15" i="9" s="1"/>
  <c r="L15" i="9" s="1"/>
  <c r="I16" i="12" s="1"/>
  <c r="H15" i="9"/>
  <c r="I27" i="9"/>
  <c r="J27" i="9" s="1"/>
  <c r="K27" i="9" s="1"/>
  <c r="L27" i="9" s="1"/>
  <c r="I30" i="12" s="1"/>
  <c r="H27" i="9"/>
  <c r="I29" i="9"/>
  <c r="J29" i="9" s="1"/>
  <c r="K29" i="9" s="1"/>
  <c r="L29" i="9" s="1"/>
  <c r="I32" i="12" s="1"/>
  <c r="H29" i="9"/>
  <c r="D35" i="10"/>
  <c r="I31" i="9"/>
  <c r="J31" i="9" s="1"/>
  <c r="K31" i="9" s="1"/>
  <c r="L31" i="9" s="1"/>
  <c r="I34" i="12" s="1"/>
  <c r="H31" i="9"/>
  <c r="F33" i="10"/>
  <c r="G17" i="10"/>
  <c r="G33" i="9"/>
  <c r="G9" i="4"/>
  <c r="K9" i="4" s="1"/>
  <c r="E35" i="4"/>
  <c r="G16" i="4"/>
  <c r="G15" i="4"/>
  <c r="R15" i="4" s="1"/>
  <c r="T15" i="4" s="1"/>
  <c r="S35" i="4"/>
  <c r="L35" i="4"/>
  <c r="F35" i="4"/>
  <c r="G33" i="4"/>
  <c r="G32" i="4"/>
  <c r="R32" i="4" s="1"/>
  <c r="T32" i="4" s="1"/>
  <c r="G31" i="4"/>
  <c r="K31" i="4" s="1"/>
  <c r="G30" i="4"/>
  <c r="G29" i="4"/>
  <c r="G28" i="4"/>
  <c r="K28" i="4" s="1"/>
  <c r="G27" i="4"/>
  <c r="G26" i="4"/>
  <c r="G25" i="4"/>
  <c r="B25" i="4"/>
  <c r="B26" i="4" s="1"/>
  <c r="G24" i="4"/>
  <c r="S18" i="4"/>
  <c r="L18" i="4"/>
  <c r="F18" i="4"/>
  <c r="E18" i="4"/>
  <c r="G14" i="4"/>
  <c r="K14" i="4" s="1"/>
  <c r="G13" i="4"/>
  <c r="G12" i="4"/>
  <c r="G11" i="4"/>
  <c r="R11" i="4" s="1"/>
  <c r="T11" i="4" s="1"/>
  <c r="G10" i="4"/>
  <c r="R10" i="4" s="1"/>
  <c r="T10" i="4" s="1"/>
  <c r="B10" i="4"/>
  <c r="B11" i="4" s="1"/>
  <c r="J4" i="4"/>
  <c r="I4" i="4"/>
  <c r="H4" i="4"/>
  <c r="J3" i="4"/>
  <c r="I3" i="4"/>
  <c r="H3" i="4"/>
  <c r="H27" i="10" l="1"/>
  <c r="I27" i="10" s="1"/>
  <c r="J27" i="10" s="1"/>
  <c r="J30" i="12" s="1"/>
  <c r="L30" i="12" s="1"/>
  <c r="M30" i="12" s="1"/>
  <c r="N30" i="12" s="1"/>
  <c r="H31" i="10"/>
  <c r="I31" i="10" s="1"/>
  <c r="J31" i="10" s="1"/>
  <c r="J34" i="12" s="1"/>
  <c r="J31" i="4"/>
  <c r="R9" i="4"/>
  <c r="T9" i="4" s="1"/>
  <c r="H31" i="4"/>
  <c r="I33" i="9"/>
  <c r="H17" i="9"/>
  <c r="I17" i="9"/>
  <c r="K9" i="9"/>
  <c r="L9" i="9" s="1"/>
  <c r="I10" i="12" s="1"/>
  <c r="L10" i="12" s="1"/>
  <c r="M10" i="12" s="1"/>
  <c r="N10" i="12" s="1"/>
  <c r="J10" i="9"/>
  <c r="K10" i="9" s="1"/>
  <c r="L10" i="9" s="1"/>
  <c r="H36" i="12"/>
  <c r="H33" i="9"/>
  <c r="H15" i="10"/>
  <c r="I15" i="10" s="1"/>
  <c r="J15" i="10" s="1"/>
  <c r="J16" i="12" s="1"/>
  <c r="L16" i="12" s="1"/>
  <c r="M16" i="12" s="1"/>
  <c r="N16" i="12" s="1"/>
  <c r="H14" i="10"/>
  <c r="I14" i="10" s="1"/>
  <c r="J14" i="10" s="1"/>
  <c r="J15" i="12" s="1"/>
  <c r="L15" i="12" s="1"/>
  <c r="M15" i="12" s="1"/>
  <c r="N15" i="12" s="1"/>
  <c r="H28" i="10"/>
  <c r="I28" i="10" s="1"/>
  <c r="J28" i="10" s="1"/>
  <c r="J31" i="12" s="1"/>
  <c r="L31" i="12" s="1"/>
  <c r="M31" i="12" s="1"/>
  <c r="N31" i="12" s="1"/>
  <c r="H32" i="10"/>
  <c r="I32" i="10" s="1"/>
  <c r="J32" i="10" s="1"/>
  <c r="J35" i="12" s="1"/>
  <c r="L35" i="12" s="1"/>
  <c r="M35" i="12" s="1"/>
  <c r="N35" i="12" s="1"/>
  <c r="H13" i="10"/>
  <c r="I13" i="10" s="1"/>
  <c r="J13" i="10" s="1"/>
  <c r="J14" i="12" s="1"/>
  <c r="L14" i="12" s="1"/>
  <c r="M14" i="12" s="1"/>
  <c r="N14" i="12" s="1"/>
  <c r="H25" i="10"/>
  <c r="I25" i="10" s="1"/>
  <c r="J25" i="10" s="1"/>
  <c r="J28" i="12" s="1"/>
  <c r="L28" i="12" s="1"/>
  <c r="M28" i="12" s="1"/>
  <c r="N28" i="12" s="1"/>
  <c r="H26" i="10"/>
  <c r="I26" i="10" s="1"/>
  <c r="J26" i="10" s="1"/>
  <c r="J29" i="12" s="1"/>
  <c r="L29" i="12" s="1"/>
  <c r="M29" i="12" s="1"/>
  <c r="N29" i="12" s="1"/>
  <c r="H12" i="10"/>
  <c r="I12" i="10" s="1"/>
  <c r="J12" i="10" s="1"/>
  <c r="J13" i="12" s="1"/>
  <c r="H11" i="10"/>
  <c r="I11" i="10" s="1"/>
  <c r="J11" i="10" s="1"/>
  <c r="J12" i="12" s="1"/>
  <c r="L12" i="12" s="1"/>
  <c r="M12" i="12" s="1"/>
  <c r="N12" i="12" s="1"/>
  <c r="H16" i="10"/>
  <c r="I16" i="10" s="1"/>
  <c r="J16" i="10" s="1"/>
  <c r="J17" i="12" s="1"/>
  <c r="L17" i="12" s="1"/>
  <c r="M17" i="12" s="1"/>
  <c r="N17" i="12" s="1"/>
  <c r="H29" i="10"/>
  <c r="I29" i="10" s="1"/>
  <c r="J29" i="10" s="1"/>
  <c r="J32" i="12" s="1"/>
  <c r="L32" i="12" s="1"/>
  <c r="M32" i="12" s="1"/>
  <c r="N32" i="12" s="1"/>
  <c r="H30" i="10"/>
  <c r="I30" i="10" s="1"/>
  <c r="J30" i="10" s="1"/>
  <c r="J33" i="12" s="1"/>
  <c r="L33" i="12" s="1"/>
  <c r="M33" i="12" s="1"/>
  <c r="N33" i="12" s="1"/>
  <c r="H24" i="10"/>
  <c r="I24" i="10" s="1"/>
  <c r="J24" i="10" s="1"/>
  <c r="J27" i="12" s="1"/>
  <c r="L27" i="12" s="1"/>
  <c r="M27" i="12" s="1"/>
  <c r="N27" i="12" s="1"/>
  <c r="K33" i="9"/>
  <c r="L23" i="9"/>
  <c r="I26" i="12" s="1"/>
  <c r="I36" i="12" s="1"/>
  <c r="J33" i="9"/>
  <c r="G33" i="10"/>
  <c r="J16" i="4"/>
  <c r="H16" i="4"/>
  <c r="I9" i="4"/>
  <c r="J24" i="4"/>
  <c r="R16" i="4"/>
  <c r="T16" i="4" s="1"/>
  <c r="I15" i="4"/>
  <c r="J15" i="4"/>
  <c r="K16" i="4"/>
  <c r="K15" i="4"/>
  <c r="H15" i="4"/>
  <c r="I16" i="4"/>
  <c r="J25" i="4"/>
  <c r="R28" i="4"/>
  <c r="T28" i="4" s="1"/>
  <c r="J30" i="4"/>
  <c r="J33" i="4"/>
  <c r="J26" i="4"/>
  <c r="J29" i="4"/>
  <c r="J9" i="4"/>
  <c r="J12" i="4"/>
  <c r="R31" i="4"/>
  <c r="T31" i="4" s="1"/>
  <c r="H28" i="4"/>
  <c r="H14" i="4"/>
  <c r="R14" i="4"/>
  <c r="T14" i="4" s="1"/>
  <c r="J27" i="4"/>
  <c r="J13" i="4"/>
  <c r="E37" i="4"/>
  <c r="J10" i="4"/>
  <c r="J11" i="4"/>
  <c r="K12" i="4"/>
  <c r="H13" i="4"/>
  <c r="R13" i="4"/>
  <c r="T13" i="4" s="1"/>
  <c r="I14" i="4"/>
  <c r="K24" i="4"/>
  <c r="K25" i="4"/>
  <c r="K26" i="4"/>
  <c r="H27" i="4"/>
  <c r="R27" i="4"/>
  <c r="T27" i="4" s="1"/>
  <c r="I28" i="4"/>
  <c r="K29" i="4"/>
  <c r="H30" i="4"/>
  <c r="R30" i="4"/>
  <c r="T30" i="4" s="1"/>
  <c r="I31" i="4"/>
  <c r="J32" i="4"/>
  <c r="K33" i="4"/>
  <c r="I10" i="4"/>
  <c r="I11" i="4"/>
  <c r="K13" i="4"/>
  <c r="K30" i="4"/>
  <c r="I32" i="4"/>
  <c r="K10" i="4"/>
  <c r="K11" i="4"/>
  <c r="H12" i="4"/>
  <c r="R12" i="4"/>
  <c r="T12" i="4" s="1"/>
  <c r="I13" i="4"/>
  <c r="J14" i="4"/>
  <c r="H24" i="4"/>
  <c r="R24" i="4"/>
  <c r="T24" i="4" s="1"/>
  <c r="H25" i="4"/>
  <c r="R25" i="4"/>
  <c r="T25" i="4" s="1"/>
  <c r="H26" i="4"/>
  <c r="R26" i="4"/>
  <c r="T26" i="4" s="1"/>
  <c r="I27" i="4"/>
  <c r="J28" i="4"/>
  <c r="H29" i="4"/>
  <c r="R29" i="4"/>
  <c r="T29" i="4" s="1"/>
  <c r="I30" i="4"/>
  <c r="K32" i="4"/>
  <c r="H33" i="4"/>
  <c r="R33" i="4"/>
  <c r="T33" i="4" s="1"/>
  <c r="G35" i="4"/>
  <c r="G18" i="4"/>
  <c r="K27" i="4"/>
  <c r="H9" i="4"/>
  <c r="H10" i="4"/>
  <c r="H11" i="4"/>
  <c r="I12" i="4"/>
  <c r="I24" i="4"/>
  <c r="I25" i="4"/>
  <c r="I26" i="4"/>
  <c r="I29" i="4"/>
  <c r="H32" i="4"/>
  <c r="I33" i="4"/>
  <c r="J17" i="9" l="1"/>
  <c r="M31" i="4"/>
  <c r="N31" i="4" s="1"/>
  <c r="O31" i="4" s="1"/>
  <c r="P31" i="4" s="1"/>
  <c r="K17" i="9"/>
  <c r="M15" i="4"/>
  <c r="N15" i="4" s="1"/>
  <c r="O15" i="4" s="1"/>
  <c r="P15" i="4" s="1"/>
  <c r="L13" i="12"/>
  <c r="M13" i="12" s="1"/>
  <c r="N13" i="12" s="1"/>
  <c r="M10" i="4"/>
  <c r="N10" i="4" s="1"/>
  <c r="O10" i="4" s="1"/>
  <c r="P10" i="4" s="1"/>
  <c r="L17" i="9"/>
  <c r="I11" i="12"/>
  <c r="L34" i="12"/>
  <c r="H10" i="10"/>
  <c r="I10" i="10" s="1"/>
  <c r="L33" i="9"/>
  <c r="H23" i="10"/>
  <c r="M25" i="4"/>
  <c r="N25" i="4" s="1"/>
  <c r="O25" i="4" s="1"/>
  <c r="P25" i="4" s="1"/>
  <c r="M16" i="4"/>
  <c r="N16" i="4" s="1"/>
  <c r="O16" i="4" s="1"/>
  <c r="P16" i="4" s="1"/>
  <c r="M26" i="4"/>
  <c r="N26" i="4" s="1"/>
  <c r="O26" i="4" s="1"/>
  <c r="P26" i="4" s="1"/>
  <c r="M27" i="4"/>
  <c r="N27" i="4" s="1"/>
  <c r="O27" i="4" s="1"/>
  <c r="P27" i="4" s="1"/>
  <c r="I18" i="4"/>
  <c r="M13" i="4"/>
  <c r="N13" i="4" s="1"/>
  <c r="O13" i="4" s="1"/>
  <c r="P13" i="4" s="1"/>
  <c r="M29" i="4"/>
  <c r="N29" i="4" s="1"/>
  <c r="O29" i="4" s="1"/>
  <c r="P29" i="4" s="1"/>
  <c r="J35" i="4"/>
  <c r="M9" i="4"/>
  <c r="M11" i="4"/>
  <c r="N11" i="4" s="1"/>
  <c r="O11" i="4" s="1"/>
  <c r="P11" i="4" s="1"/>
  <c r="M14" i="4"/>
  <c r="N14" i="4" s="1"/>
  <c r="O14" i="4" s="1"/>
  <c r="P14" i="4" s="1"/>
  <c r="J18" i="4"/>
  <c r="M30" i="4"/>
  <c r="N30" i="4" s="1"/>
  <c r="O30" i="4" s="1"/>
  <c r="P30" i="4" s="1"/>
  <c r="M32" i="4"/>
  <c r="N32" i="4" s="1"/>
  <c r="O32" i="4" s="1"/>
  <c r="P32" i="4" s="1"/>
  <c r="M33" i="4"/>
  <c r="N33" i="4" s="1"/>
  <c r="O33" i="4" s="1"/>
  <c r="P33" i="4" s="1"/>
  <c r="M12" i="4"/>
  <c r="N12" i="4" s="1"/>
  <c r="O12" i="4" s="1"/>
  <c r="P12" i="4" s="1"/>
  <c r="H35" i="4"/>
  <c r="T35" i="4"/>
  <c r="K35" i="4"/>
  <c r="R18" i="4"/>
  <c r="M28" i="4"/>
  <c r="N28" i="4" s="1"/>
  <c r="O28" i="4" s="1"/>
  <c r="P28" i="4" s="1"/>
  <c r="R35" i="4"/>
  <c r="T18" i="4"/>
  <c r="I35" i="4"/>
  <c r="K18" i="4"/>
  <c r="H18" i="4"/>
  <c r="M24" i="4"/>
  <c r="I18" i="12" l="1"/>
  <c r="M34" i="12"/>
  <c r="I23" i="10"/>
  <c r="H33" i="10"/>
  <c r="H17" i="10"/>
  <c r="M18" i="4"/>
  <c r="N9" i="4"/>
  <c r="N18" i="4" s="1"/>
  <c r="N24" i="4"/>
  <c r="M35" i="4"/>
  <c r="N34" i="12" l="1"/>
  <c r="J10" i="10"/>
  <c r="J17" i="10" s="1"/>
  <c r="I17" i="10"/>
  <c r="I33" i="10"/>
  <c r="J23" i="10"/>
  <c r="O9" i="4"/>
  <c r="P9" i="4" s="1"/>
  <c r="P18" i="4" s="1"/>
  <c r="O24" i="4"/>
  <c r="N35" i="4"/>
  <c r="J26" i="12" l="1"/>
  <c r="J33" i="10"/>
  <c r="J11" i="12"/>
  <c r="O18" i="4"/>
  <c r="O35" i="4"/>
  <c r="P24" i="4"/>
  <c r="P35" i="4" s="1"/>
  <c r="J36" i="12" l="1"/>
  <c r="L26" i="12"/>
  <c r="J18" i="12"/>
  <c r="L11" i="12"/>
  <c r="L18" i="12" s="1"/>
  <c r="M26" i="12" l="1"/>
  <c r="L36" i="12"/>
  <c r="L39" i="12" s="1"/>
  <c r="M11" i="12"/>
  <c r="N26" i="12" l="1"/>
  <c r="N36" i="12" s="1"/>
  <c r="M36" i="12"/>
  <c r="N11" i="12"/>
  <c r="N18" i="12" s="1"/>
  <c r="M18" i="12"/>
  <c r="A29" i="33" l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12" i="33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N54" i="21"/>
  <c r="BL54" i="21" s="1"/>
  <c r="AN53" i="21"/>
  <c r="AR53" i="21" s="1"/>
  <c r="AN51" i="21"/>
  <c r="BL51" i="21" s="1"/>
  <c r="AN50" i="21"/>
  <c r="BL50" i="21" s="1"/>
  <c r="AN52" i="21"/>
  <c r="BL52" i="21" s="1"/>
  <c r="AN48" i="21"/>
  <c r="BL48" i="21" s="1"/>
  <c r="AN49" i="21"/>
  <c r="AT49" i="21" s="1"/>
  <c r="AN47" i="21"/>
  <c r="AR47" i="21" s="1"/>
  <c r="AN46" i="21"/>
  <c r="BL46" i="21" s="1"/>
  <c r="AN45" i="21"/>
  <c r="AR45" i="21" s="1"/>
  <c r="AN26" i="21"/>
  <c r="AR26" i="21" s="1"/>
  <c r="AN35" i="21"/>
  <c r="BL35" i="21" s="1"/>
  <c r="AN43" i="21"/>
  <c r="AV43" i="21" s="1"/>
  <c r="AN40" i="21"/>
  <c r="AR40" i="21" s="1"/>
  <c r="AN39" i="21"/>
  <c r="AT39" i="21" s="1"/>
  <c r="AN42" i="21"/>
  <c r="AT42" i="21" s="1"/>
  <c r="AZ56" i="21"/>
  <c r="AZ65" i="21" s="1"/>
  <c r="AN38" i="21"/>
  <c r="BL38" i="21" s="1"/>
  <c r="AN44" i="21"/>
  <c r="BL44" i="21" s="1"/>
  <c r="AN17" i="21"/>
  <c r="AV17" i="21" s="1"/>
  <c r="AN24" i="21"/>
  <c r="BL16" i="21"/>
  <c r="AN27" i="21"/>
  <c r="AV27" i="21" s="1"/>
  <c r="AN32" i="21"/>
  <c r="AN33" i="21"/>
  <c r="BL33" i="21" s="1"/>
  <c r="AN29" i="21"/>
  <c r="BL29" i="21" s="1"/>
  <c r="AN31" i="21"/>
  <c r="BL31" i="21" s="1"/>
  <c r="AN21" i="21"/>
  <c r="AT21" i="21" s="1"/>
  <c r="AN36" i="21"/>
  <c r="AN20" i="21"/>
  <c r="BL20" i="21" s="1"/>
  <c r="AN34" i="21"/>
  <c r="BL34" i="21" s="1"/>
  <c r="AN30" i="21"/>
  <c r="BL30" i="21" s="1"/>
  <c r="AN22" i="21"/>
  <c r="AV22" i="21" s="1"/>
  <c r="AN15" i="21"/>
  <c r="AV15" i="21" s="1"/>
  <c r="AN23" i="21"/>
  <c r="AR23" i="21" s="1"/>
  <c r="AN13" i="21"/>
  <c r="AV13" i="21" s="1"/>
  <c r="AN25" i="21"/>
  <c r="AR25" i="21" s="1"/>
  <c r="AN14" i="21"/>
  <c r="AV54" i="21" l="1"/>
  <c r="AR21" i="21"/>
  <c r="AN70" i="21"/>
  <c r="AR13" i="21"/>
  <c r="AR20" i="21"/>
  <c r="AT43" i="21"/>
  <c r="AT26" i="21"/>
  <c r="AV46" i="21"/>
  <c r="AR29" i="21"/>
  <c r="BL17" i="21"/>
  <c r="BL75" i="21" s="1"/>
  <c r="AV26" i="21"/>
  <c r="AX26" i="21" s="1"/>
  <c r="AT46" i="21"/>
  <c r="AN75" i="21"/>
  <c r="AT38" i="21"/>
  <c r="AR44" i="21"/>
  <c r="AV40" i="21"/>
  <c r="AT54" i="21"/>
  <c r="AV31" i="21"/>
  <c r="AR30" i="21"/>
  <c r="AR31" i="21"/>
  <c r="AR33" i="21"/>
  <c r="AR27" i="21"/>
  <c r="AR16" i="21"/>
  <c r="AR17" i="21"/>
  <c r="AT33" i="21"/>
  <c r="AR38" i="21"/>
  <c r="AV38" i="21"/>
  <c r="AV42" i="21"/>
  <c r="AT40" i="21"/>
  <c r="AT48" i="21"/>
  <c r="AR50" i="21"/>
  <c r="AT27" i="21"/>
  <c r="BL39" i="21"/>
  <c r="BL70" i="21" s="1"/>
  <c r="AT35" i="21"/>
  <c r="AT45" i="21"/>
  <c r="AT47" i="21"/>
  <c r="AR48" i="21"/>
  <c r="AT53" i="21"/>
  <c r="AV29" i="21"/>
  <c r="AV39" i="21"/>
  <c r="AV35" i="21"/>
  <c r="BL45" i="21"/>
  <c r="BL47" i="21"/>
  <c r="AV48" i="21"/>
  <c r="AV53" i="21"/>
  <c r="AT14" i="21"/>
  <c r="AV14" i="21"/>
  <c r="BL14" i="21"/>
  <c r="AR14" i="21"/>
  <c r="BL13" i="21"/>
  <c r="AN68" i="21"/>
  <c r="AT15" i="21"/>
  <c r="AT13" i="21"/>
  <c r="AV32" i="21"/>
  <c r="AR32" i="21"/>
  <c r="AT32" i="21"/>
  <c r="BL32" i="21"/>
  <c r="BL23" i="21"/>
  <c r="AV23" i="21"/>
  <c r="AT23" i="21"/>
  <c r="AT22" i="21"/>
  <c r="AR22" i="21"/>
  <c r="AV36" i="21"/>
  <c r="BL36" i="21"/>
  <c r="AR36" i="21"/>
  <c r="BL24" i="21"/>
  <c r="AT24" i="21"/>
  <c r="AR24" i="21"/>
  <c r="AV24" i="21"/>
  <c r="BL15" i="21"/>
  <c r="AN74" i="21"/>
  <c r="AV25" i="21"/>
  <c r="AX25" i="21" s="1"/>
  <c r="BI25" i="21" s="1"/>
  <c r="BJ25" i="21" s="1"/>
  <c r="BL25" i="21"/>
  <c r="AN69" i="21"/>
  <c r="AN73" i="21"/>
  <c r="AR15" i="21"/>
  <c r="AV34" i="21"/>
  <c r="AR34" i="21"/>
  <c r="AT34" i="21"/>
  <c r="AT36" i="21"/>
  <c r="BL22" i="21"/>
  <c r="AT52" i="21"/>
  <c r="AV52" i="21"/>
  <c r="AR52" i="21"/>
  <c r="AV51" i="21"/>
  <c r="AT51" i="21"/>
  <c r="AR51" i="21"/>
  <c r="AT44" i="21"/>
  <c r="AT20" i="21"/>
  <c r="AT31" i="21"/>
  <c r="BL21" i="21"/>
  <c r="AV33" i="21"/>
  <c r="BL27" i="21"/>
  <c r="AV30" i="21"/>
  <c r="AT17" i="21"/>
  <c r="AT16" i="21"/>
  <c r="AR42" i="21"/>
  <c r="BL42" i="21"/>
  <c r="AR39" i="21"/>
  <c r="BL40" i="21"/>
  <c r="AR43" i="21"/>
  <c r="BL43" i="21"/>
  <c r="AR35" i="21"/>
  <c r="BL26" i="21"/>
  <c r="AV45" i="21"/>
  <c r="AR46" i="21"/>
  <c r="AV47" i="21"/>
  <c r="AR49" i="21"/>
  <c r="AV50" i="21"/>
  <c r="AT50" i="21"/>
  <c r="BL49" i="21"/>
  <c r="BL53" i="21"/>
  <c r="AR54" i="21"/>
  <c r="AV20" i="21"/>
  <c r="AN76" i="21"/>
  <c r="AT29" i="21"/>
  <c r="AT30" i="21"/>
  <c r="AV16" i="21"/>
  <c r="AV44" i="21"/>
  <c r="AV49" i="21"/>
  <c r="AV21" i="21"/>
  <c r="I17" i="37" l="1"/>
  <c r="B18" i="37" s="1"/>
  <c r="B19" i="37" s="1"/>
  <c r="B20" i="37" s="1"/>
  <c r="B21" i="37" s="1"/>
  <c r="AT75" i="21"/>
  <c r="AX21" i="21"/>
  <c r="BI21" i="21" s="1"/>
  <c r="AX40" i="21"/>
  <c r="AX46" i="21"/>
  <c r="BI46" i="21" s="1"/>
  <c r="BJ46" i="21" s="1"/>
  <c r="AX45" i="21"/>
  <c r="BI45" i="21" s="1"/>
  <c r="BJ45" i="21" s="1"/>
  <c r="AX42" i="21"/>
  <c r="BI42" i="21" s="1"/>
  <c r="BJ42" i="21" s="1"/>
  <c r="AX48" i="21"/>
  <c r="BI48" i="21" s="1"/>
  <c r="BJ48" i="21" s="1"/>
  <c r="AX31" i="21"/>
  <c r="AX30" i="21"/>
  <c r="AX54" i="21"/>
  <c r="BI54" i="21" s="1"/>
  <c r="BJ54" i="21" s="1"/>
  <c r="AX43" i="21"/>
  <c r="BI43" i="21" s="1"/>
  <c r="BJ43" i="21" s="1"/>
  <c r="AX53" i="21"/>
  <c r="BI53" i="21" s="1"/>
  <c r="BJ53" i="21" s="1"/>
  <c r="AX20" i="21"/>
  <c r="AX33" i="21"/>
  <c r="BI33" i="21" s="1"/>
  <c r="BJ33" i="21" s="1"/>
  <c r="AX35" i="21"/>
  <c r="BI35" i="21" s="1"/>
  <c r="BJ35" i="21" s="1"/>
  <c r="AX39" i="21"/>
  <c r="AX17" i="21"/>
  <c r="BI17" i="21" s="1"/>
  <c r="BJ17" i="21" s="1"/>
  <c r="AX29" i="21"/>
  <c r="BI29" i="21" s="1"/>
  <c r="BJ29" i="21" s="1"/>
  <c r="AU74" i="21"/>
  <c r="BL74" i="21"/>
  <c r="AX34" i="21"/>
  <c r="AV56" i="21"/>
  <c r="AV65" i="21" s="1"/>
  <c r="AX50" i="21"/>
  <c r="BI50" i="21" s="1"/>
  <c r="BJ50" i="21" s="1"/>
  <c r="AX23" i="21"/>
  <c r="BI23" i="21" s="1"/>
  <c r="BJ23" i="21" s="1"/>
  <c r="AX22" i="21"/>
  <c r="AX38" i="21"/>
  <c r="BI38" i="21" s="1"/>
  <c r="BJ38" i="21" s="1"/>
  <c r="AX27" i="21"/>
  <c r="BI27" i="21" s="1"/>
  <c r="BJ27" i="21" s="1"/>
  <c r="AS72" i="21"/>
  <c r="AX15" i="21"/>
  <c r="BI15" i="21" s="1"/>
  <c r="BJ15" i="21" s="1"/>
  <c r="AR80" i="21"/>
  <c r="AR81" i="21" s="1"/>
  <c r="BL69" i="21"/>
  <c r="BL68" i="21"/>
  <c r="AU73" i="21"/>
  <c r="AU72" i="21"/>
  <c r="AX49" i="21"/>
  <c r="BI49" i="21" s="1"/>
  <c r="AX16" i="21"/>
  <c r="BI16" i="21" s="1"/>
  <c r="BJ16" i="21" s="1"/>
  <c r="AX52" i="21"/>
  <c r="BI52" i="21" s="1"/>
  <c r="BJ52" i="21" s="1"/>
  <c r="AX47" i="21"/>
  <c r="BI47" i="21" s="1"/>
  <c r="BJ47" i="21" s="1"/>
  <c r="AT74" i="21"/>
  <c r="AX13" i="21"/>
  <c r="BI13" i="21" s="1"/>
  <c r="BJ13" i="21" s="1"/>
  <c r="AS75" i="21"/>
  <c r="BL76" i="21"/>
  <c r="AX51" i="21"/>
  <c r="BI51" i="21" s="1"/>
  <c r="BJ51" i="21" s="1"/>
  <c r="AX44" i="21"/>
  <c r="BI44" i="21" s="1"/>
  <c r="BJ44" i="21" s="1"/>
  <c r="AU75" i="21"/>
  <c r="AX24" i="21"/>
  <c r="AX32" i="21"/>
  <c r="BI32" i="21" s="1"/>
  <c r="BJ32" i="21" s="1"/>
  <c r="AT72" i="21"/>
  <c r="AX14" i="21"/>
  <c r="BI14" i="21" s="1"/>
  <c r="BJ14" i="21" s="1"/>
  <c r="AX36" i="21"/>
  <c r="BI36" i="21" s="1"/>
  <c r="BJ36" i="21" s="1"/>
  <c r="BL73" i="21"/>
  <c r="AS74" i="21"/>
  <c r="BJ21" i="21" l="1"/>
  <c r="BQ21" i="21" s="1"/>
  <c r="L28" i="37"/>
  <c r="AW74" i="21"/>
  <c r="K15" i="37"/>
  <c r="AU78" i="21"/>
  <c r="AW75" i="21"/>
  <c r="AS81" i="21"/>
  <c r="AR83" i="21"/>
  <c r="AS80" i="21"/>
  <c r="AW72" i="21"/>
  <c r="O28" i="37" l="1"/>
  <c r="O41" i="37" s="1"/>
  <c r="L31" i="37"/>
  <c r="P31" i="37" s="1"/>
  <c r="M28" i="37"/>
  <c r="S29" i="37"/>
  <c r="T29" i="37" s="1"/>
  <c r="L32" i="37"/>
  <c r="Q32" i="37" s="1"/>
  <c r="N28" i="37"/>
  <c r="O51" i="37" s="1"/>
  <c r="L29" i="37"/>
  <c r="O29" i="37" s="1"/>
  <c r="L30" i="37"/>
  <c r="N30" i="37" s="1"/>
  <c r="P28" i="37"/>
  <c r="Q28" i="37"/>
  <c r="AS82" i="21"/>
  <c r="O45" i="37" l="1"/>
  <c r="O46" i="37" s="1"/>
  <c r="BE18" i="21" s="1"/>
  <c r="O37" i="37"/>
  <c r="BE40" i="21" s="1"/>
  <c r="BI40" i="21" s="1"/>
  <c r="BJ40" i="21" s="1"/>
  <c r="Q51" i="37"/>
  <c r="BE34" i="21"/>
  <c r="BI34" i="21" s="1"/>
  <c r="BJ34" i="21" s="1"/>
  <c r="Q31" i="37"/>
  <c r="N31" i="37"/>
  <c r="M31" i="37"/>
  <c r="O31" i="37"/>
  <c r="P29" i="37"/>
  <c r="O32" i="37"/>
  <c r="N29" i="37"/>
  <c r="M29" i="37"/>
  <c r="P32" i="37"/>
  <c r="Q30" i="37"/>
  <c r="M32" i="37"/>
  <c r="N32" i="37"/>
  <c r="M30" i="37"/>
  <c r="O30" i="37"/>
  <c r="Q29" i="37"/>
  <c r="P30" i="37"/>
  <c r="BI31" i="21"/>
  <c r="BJ31" i="21" s="1"/>
  <c r="O42" i="37"/>
  <c r="BE26" i="21" s="1"/>
  <c r="BI26" i="21" s="1"/>
  <c r="BJ26" i="21" s="1"/>
  <c r="Q37" i="37" l="1"/>
  <c r="Q53" i="37" s="1"/>
  <c r="BE20" i="21"/>
  <c r="BI20" i="21" s="1"/>
  <c r="BJ20" i="21" s="1"/>
  <c r="BE24" i="21"/>
  <c r="BI24" i="21" s="1"/>
  <c r="BJ24" i="21" s="1"/>
  <c r="BE22" i="21"/>
  <c r="BI22" i="21" s="1"/>
  <c r="BJ22" i="21" s="1"/>
  <c r="BH71" i="21" s="1"/>
  <c r="BE39" i="21"/>
  <c r="BI39" i="21" s="1"/>
  <c r="BJ39" i="21" s="1"/>
  <c r="BE30" i="21"/>
  <c r="BI30" i="21" s="1"/>
  <c r="BJ30" i="21" s="1"/>
  <c r="BE19" i="21"/>
  <c r="BI19" i="21" s="1"/>
  <c r="BJ19" i="21" s="1"/>
  <c r="BI18" i="21"/>
  <c r="BH70" i="21" l="1"/>
  <c r="BH84" i="21" s="1"/>
  <c r="BE56" i="21"/>
  <c r="BE65" i="21" s="1"/>
  <c r="BJ18" i="21"/>
  <c r="BE57" i="21"/>
  <c r="BE66" i="21"/>
  <c r="AC72" i="21"/>
  <c r="AC78" i="21" s="1"/>
  <c r="AC56" i="21"/>
  <c r="AC65" i="21" s="1"/>
  <c r="R56" i="21" l="1"/>
  <c r="R65" i="21" s="1"/>
  <c r="R72" i="21"/>
  <c r="R78" i="21" s="1"/>
  <c r="AM56" i="21" l="1"/>
  <c r="AM72" i="21"/>
  <c r="AM78" i="21" s="1"/>
  <c r="AM65" i="21" l="1"/>
  <c r="BL12" i="21"/>
  <c r="AR12" i="21"/>
  <c r="AN56" i="21"/>
  <c r="AN57" i="21" s="1"/>
  <c r="AT12" i="21"/>
  <c r="AN72" i="21"/>
  <c r="AN78" i="21" s="1"/>
  <c r="AX12" i="21" l="1"/>
  <c r="AR56" i="21"/>
  <c r="AR65" i="21" s="1"/>
  <c r="AS73" i="21"/>
  <c r="BL72" i="21"/>
  <c r="BL78" i="21" s="1"/>
  <c r="BL56" i="21"/>
  <c r="AT73" i="21"/>
  <c r="AT78" i="21" s="1"/>
  <c r="AT56" i="21"/>
  <c r="AT65" i="21" s="1"/>
  <c r="AN80" i="21"/>
  <c r="AN65" i="21"/>
  <c r="AW73" i="21" l="1"/>
  <c r="AS78" i="21"/>
  <c r="BL65" i="21"/>
  <c r="AR70" i="21"/>
  <c r="BI12" i="21"/>
  <c r="AX56" i="21"/>
  <c r="AX65" i="21" s="1"/>
  <c r="AR78" i="21" l="1"/>
  <c r="AW70" i="21"/>
  <c r="AW78" i="21" s="1"/>
  <c r="BI56" i="21"/>
  <c r="BI65" i="21" s="1"/>
  <c r="BJ12" i="21"/>
  <c r="BH69" i="21" l="1"/>
  <c r="BJ56" i="21"/>
  <c r="BJ65" i="21" s="1"/>
  <c r="BH85" i="21" l="1"/>
  <c r="BH86" i="21" s="1"/>
  <c r="BH72" i="21"/>
  <c r="BH81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Lesly Tello</author>
    <author>Recursos Humanos</author>
  </authors>
  <commentList>
    <comment ref="AV12" authorId="0" shapeId="0" xr:uid="{A8801D35-BDA2-4643-BA9C-D1B46EF92E2F}">
      <text>
        <r>
          <rPr>
            <sz val="9"/>
            <color indexed="81"/>
            <rFont val="Tahoma"/>
            <family val="2"/>
          </rPr>
          <t>SE MODIFICO SUELDO ASEGURABLE 
TENIA QUE SER 12 672,65</t>
        </r>
      </text>
    </comment>
    <comment ref="N16" authorId="1" shapeId="0" xr:uid="{12CA41C4-1125-469C-8E33-52840A3C6F84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1 al 06</t>
        </r>
      </text>
    </comment>
    <comment ref="N18" authorId="1" shapeId="0" xr:uid="{2C90ED05-D095-4E59-A120-34AE5C803A33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13/07</t>
        </r>
      </text>
    </comment>
    <comment ref="BJ21" authorId="1" shapeId="0" xr:uid="{3EB21AD7-90D5-457A-8148-001C46272998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se le debe 82.61 del mes pasado 
</t>
        </r>
        <r>
          <rPr>
            <b/>
            <sz val="9"/>
            <color indexed="81"/>
            <rFont val="Tahoma"/>
            <family val="2"/>
          </rPr>
          <t>PAGAR 1539.66</t>
        </r>
      </text>
    </comment>
    <comment ref="N22" authorId="1" shapeId="0" xr:uid="{10E5328C-6AFB-44D4-A106-649D4CA586EA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13 AL 20</t>
        </r>
      </text>
    </comment>
    <comment ref="N25" authorId="1" shapeId="0" xr:uid="{78C8219D-1FB7-4171-B4CD-192C5477B748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27 al 31</t>
        </r>
      </text>
    </comment>
    <comment ref="N26" authorId="1" shapeId="0" xr:uid="{0A9AA7C3-6FB6-4CDA-B375-8403D152CF3C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16/07</t>
        </r>
      </text>
    </comment>
    <comment ref="N27" authorId="1" shapeId="0" xr:uid="{BB6E9344-F129-4174-B429-79590BEABD7F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25 al 31</t>
        </r>
      </text>
    </comment>
    <comment ref="N30" authorId="1" shapeId="0" xr:uid="{EA03B100-DC5C-4397-821E-2F2C52D2D21A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Del 06 de julio hasta el 13 de julio</t>
        </r>
      </text>
    </comment>
    <comment ref="N31" authorId="1" shapeId="0" xr:uid="{EB4468EB-33D6-46B6-A2AF-6FB33AC12245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20 al 31</t>
        </r>
      </text>
    </comment>
    <comment ref="N33" authorId="1" shapeId="0" xr:uid="{6908E147-784E-4696-BB5D-14D7211207F6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SE DECLARA LO DE MAYO</t>
        </r>
      </text>
    </comment>
    <comment ref="N34" authorId="1" shapeId="0" xr:uid="{162546B6-0505-437F-B01F-427738D20AA5}">
      <text>
        <r>
          <rPr>
            <b/>
            <sz val="9"/>
            <color indexed="81"/>
            <rFont val="Tahoma"/>
            <family val="2"/>
          </rPr>
          <t>01.07 HASTA 07.07</t>
        </r>
      </text>
    </comment>
    <comment ref="N37" authorId="1" shapeId="0" xr:uid="{DB4F6C98-1C86-419A-AE87-2F7785A60486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21 AL 31</t>
        </r>
      </text>
    </comment>
    <comment ref="N40" authorId="1" shapeId="0" xr:uid="{DE415455-E2A0-4C78-B94E-21A4C56B2F89}">
      <text>
        <r>
          <rPr>
            <b/>
            <sz val="9"/>
            <color indexed="81"/>
            <rFont val="Tahoma"/>
            <family val="2"/>
          </rPr>
          <t>24 AL 30</t>
        </r>
      </text>
    </comment>
    <comment ref="N43" authorId="1" shapeId="0" xr:uid="{29E98F9F-C59C-43D3-A44B-8F7191BE6242}">
      <text>
        <r>
          <rPr>
            <b/>
            <sz val="9"/>
            <color indexed="81"/>
            <rFont val="Tahoma"/>
            <family val="2"/>
          </rPr>
          <t>Toma del 27/07 hasta 02/08/2027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Giovanna Martinez</author>
    <author>Lesly Tello</author>
  </authors>
  <commentList>
    <comment ref="D6" authorId="0" shapeId="0" xr:uid="{5B3BC8A3-6F98-48C9-8C96-68299AD04B63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01.05.2026 incremento</t>
        </r>
      </text>
    </comment>
    <comment ref="D7" authorId="0" shapeId="0" xr:uid="{0CEA3334-27FA-4452-BEE3-F0B3BD2B0162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01.05.2026 incremento 
</t>
        </r>
      </text>
    </comment>
    <comment ref="D10" authorId="0" shapeId="0" xr:uid="{AC0D2E12-692E-48FB-BC8C-080187632054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01.05.2026 incremento 
</t>
        </r>
      </text>
    </comment>
    <comment ref="D11" authorId="0" shapeId="0" xr:uid="{25AF1CF8-C6E0-47C3-99E4-F1D99D112814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01.05.2026 incremento 
</t>
        </r>
      </text>
    </comment>
    <comment ref="D13" authorId="0" shapeId="0" xr:uid="{52F5BA85-95F6-4CD3-8367-3B97F11B63FC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01.05.2026 incremento 
</t>
        </r>
      </text>
    </comment>
    <comment ref="D14" authorId="0" shapeId="0" xr:uid="{BE1A70AD-AF6D-4842-9ADE-1761584D9AEB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01.05.2026 incremento 
</t>
        </r>
      </text>
    </comment>
    <comment ref="D15" authorId="0" shapeId="0" xr:uid="{E30905E8-350F-4643-98AC-6DDFBDE879D8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01.05.2026 incremento 
</t>
        </r>
      </text>
    </comment>
    <comment ref="D16" authorId="0" shapeId="0" xr:uid="{C74361AB-1A10-4B8C-B96C-3D679218F701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01.05.2026 incremento 
</t>
        </r>
      </text>
    </comment>
    <comment ref="D17" authorId="0" shapeId="0" xr:uid="{D759210A-2C19-4945-A7D3-1C7082596C03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01.05.2026 incremento 
</t>
        </r>
      </text>
    </comment>
    <comment ref="D19" authorId="1" shapeId="0" xr:uid="{D5A1A24B-DC66-4A71-9142-0CF659D14346}">
      <text>
        <r>
          <rPr>
            <b/>
            <sz val="9"/>
            <color indexed="81"/>
            <rFont val="Tahoma"/>
            <family val="2"/>
          </rPr>
          <t>Lesly Tello:</t>
        </r>
        <r>
          <rPr>
            <sz val="9"/>
            <color indexed="81"/>
            <rFont val="Tahoma"/>
            <family val="2"/>
          </rPr>
          <t xml:space="preserve">
INCREMENTO SUELDO A 2,800 01-05-25
incremento ss 01.05.26</t>
        </r>
      </text>
    </comment>
    <comment ref="D21" authorId="0" shapeId="0" xr:uid="{A78CF5F4-433B-47C7-A86A-D7D30A849D01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01.05.2026 incremento 
</t>
        </r>
      </text>
    </comment>
    <comment ref="D24" authorId="0" shapeId="0" xr:uid="{F9C6DB44-9D52-4A42-9545-F1BE9E177D2C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se modifica apartir del 01.04.2025
incremento 01.05.26</t>
        </r>
      </text>
    </comment>
    <comment ref="D25" authorId="0" shapeId="0" xr:uid="{B9270852-FCD9-4E27-9D98-C16A44AE4D4E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incremento ss al 01.05.26
</t>
        </r>
      </text>
    </comment>
    <comment ref="D26" authorId="0" shapeId="0" xr:uid="{2CF28C28-699D-4B12-99DD-CA5F25F898B3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incremento ss al 01.05.26
</t>
        </r>
      </text>
    </comment>
    <comment ref="D27" authorId="1" shapeId="0" xr:uid="{101A814F-9156-46B5-B0B1-870A839E7F17}">
      <text>
        <r>
          <rPr>
            <b/>
            <sz val="9"/>
            <color indexed="81"/>
            <rFont val="Tahoma"/>
            <family val="2"/>
          </rPr>
          <t>Lesly Tello:</t>
        </r>
        <r>
          <rPr>
            <sz val="9"/>
            <color indexed="81"/>
            <rFont val="Tahoma"/>
            <family val="2"/>
          </rPr>
          <t xml:space="preserve">
INCREMENTO A S/ 2,500  01-05-26
</t>
        </r>
      </text>
    </comment>
    <comment ref="D28" authorId="1" shapeId="0" xr:uid="{6047BF83-291C-4581-8E11-0FCBD5B9CE86}">
      <text>
        <r>
          <rPr>
            <b/>
            <sz val="9"/>
            <color indexed="81"/>
            <rFont val="Tahoma"/>
            <family val="2"/>
          </rPr>
          <t>Lesly Tello:</t>
        </r>
        <r>
          <rPr>
            <sz val="9"/>
            <color indexed="81"/>
            <rFont val="Tahoma"/>
            <family val="2"/>
          </rPr>
          <t xml:space="preserve">
INCREMENTO A S/ 2,500  01-06-25
</t>
        </r>
      </text>
    </comment>
    <comment ref="D29" authorId="0" shapeId="0" xr:uid="{BE4D1471-08B5-4AC1-A300-9826B271FDBB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INCREMENTO 01.04.2026
01.05.2026 se incrementa</t>
        </r>
      </text>
    </comment>
    <comment ref="D34" authorId="0" shapeId="0" xr:uid="{C3D4F98E-63E3-4508-ABE1-1D0667ECDC8D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incremento ss 01.05.26</t>
        </r>
      </text>
    </comment>
    <comment ref="D35" authorId="0" shapeId="0" xr:uid="{A651B923-416E-4F01-B47B-C197D8E41331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incremento ss 01.05.26</t>
        </r>
      </text>
    </comment>
    <comment ref="D36" authorId="0" shapeId="0" xr:uid="{D3D8F719-7E6B-4DC5-8DF4-F6FCAC23647C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incremento ss 01.05.26</t>
        </r>
      </text>
    </comment>
    <comment ref="D38" authorId="0" shapeId="0" xr:uid="{E0E45A99-D40A-434F-889C-3B1F58E74272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incremento ss 01.05.26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Lesly Tello</author>
  </authors>
  <commentList>
    <comment ref="D23" authorId="0" shapeId="0" xr:uid="{8AD254C3-249F-40FE-945B-CDC5D857DA4F}">
      <text>
        <r>
          <rPr>
            <b/>
            <sz val="9"/>
            <color indexed="81"/>
            <rFont val="Tahoma"/>
            <family val="2"/>
          </rPr>
          <t>Lesly Tello:</t>
        </r>
        <r>
          <rPr>
            <sz val="9"/>
            <color indexed="81"/>
            <rFont val="Tahoma"/>
            <family val="2"/>
          </rPr>
          <t xml:space="preserve">
NUEVA TARIFA A PARTIR DE JUNIO
SE ACTUALIZA </t>
        </r>
      </text>
    </comment>
    <comment ref="D46" authorId="0" shapeId="0" xr:uid="{FA5B08B8-B893-4795-8ADF-439AA043EBBC}">
      <text>
        <r>
          <rPr>
            <b/>
            <sz val="9"/>
            <color indexed="81"/>
            <rFont val="Tahoma"/>
            <family val="2"/>
          </rPr>
          <t>Lesly Tello:</t>
        </r>
        <r>
          <rPr>
            <sz val="9"/>
            <color indexed="81"/>
            <rFont val="Tahoma"/>
            <family val="2"/>
          </rPr>
          <t xml:space="preserve">
NUEVA TARIFA A PARTIR DE JUNIO
SE ACTUALIZA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Giovanna Martinez</author>
    <author>Lesly Tello</author>
  </authors>
  <commentList>
    <comment ref="D6" authorId="0" shapeId="0" xr:uid="{409363F2-3E15-4A57-AE63-8D5F618F070E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01.05.2026 incremento</t>
        </r>
      </text>
    </comment>
    <comment ref="D7" authorId="0" shapeId="0" xr:uid="{03E40717-10ED-4817-8648-6743A871DB17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01.05.2026 incremento 
</t>
        </r>
      </text>
    </comment>
    <comment ref="D10" authorId="0" shapeId="0" xr:uid="{7A29D2CE-3184-4414-9B5A-1F76FA05AF6A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01.05.2026 incremento 
</t>
        </r>
      </text>
    </comment>
    <comment ref="D11" authorId="0" shapeId="0" xr:uid="{C65C43F5-6575-42D1-9F8B-05679CE517A8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01.05.2026 incremento 
</t>
        </r>
      </text>
    </comment>
    <comment ref="D13" authorId="0" shapeId="0" xr:uid="{9647ACF8-3F0A-42C0-AD37-63A588676EB6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01.05.2026 incremento 
</t>
        </r>
      </text>
    </comment>
    <comment ref="D14" authorId="0" shapeId="0" xr:uid="{1779AE3A-02B2-4BAA-B2B8-11B22D90D0D4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01.05.2026 incremento 
</t>
        </r>
      </text>
    </comment>
    <comment ref="D15" authorId="0" shapeId="0" xr:uid="{AE6236BF-97A4-4BFA-A1FD-E53AF2D19A58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01.05.2026 incremento 
</t>
        </r>
      </text>
    </comment>
    <comment ref="D16" authorId="0" shapeId="0" xr:uid="{55D96B37-07BA-4030-B1E5-105B445BF98F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01.05.2026 incremento 
</t>
        </r>
      </text>
    </comment>
    <comment ref="D17" authorId="0" shapeId="0" xr:uid="{1DC8C430-84C9-492C-9F5D-3FC4FF44FD59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01.05.2026 incremento 
</t>
        </r>
      </text>
    </comment>
    <comment ref="D18" authorId="1" shapeId="0" xr:uid="{D4E88581-2850-433B-B6B9-A267AF8B8D4D}">
      <text>
        <r>
          <rPr>
            <b/>
            <sz val="9"/>
            <color indexed="81"/>
            <rFont val="Tahoma"/>
            <family val="2"/>
          </rPr>
          <t>Lesly Tello:</t>
        </r>
        <r>
          <rPr>
            <sz val="9"/>
            <color indexed="81"/>
            <rFont val="Tahoma"/>
            <family val="2"/>
          </rPr>
          <t xml:space="preserve">
INCREMENTO SUELDO 01-05-25 S/ 2,800.00</t>
        </r>
      </text>
    </comment>
    <comment ref="D20" authorId="1" shapeId="0" xr:uid="{9102AF46-0551-49EE-B16A-F0205FBD1A0A}">
      <text>
        <r>
          <rPr>
            <b/>
            <sz val="9"/>
            <color indexed="81"/>
            <rFont val="Tahoma"/>
            <family val="2"/>
          </rPr>
          <t>Lesly Tello:</t>
        </r>
        <r>
          <rPr>
            <sz val="9"/>
            <color indexed="81"/>
            <rFont val="Tahoma"/>
            <family val="2"/>
          </rPr>
          <t xml:space="preserve">
INCREMENTO SUELDO A 2,800 01-05-25
incremento ss 01.05.26</t>
        </r>
      </text>
    </comment>
    <comment ref="D22" authorId="0" shapeId="0" xr:uid="{DE81448F-1FF2-4ED3-B7C2-41E14DAD68D4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01.05.2026 incremento 
</t>
        </r>
      </text>
    </comment>
    <comment ref="D25" authorId="0" shapeId="0" xr:uid="{3788AB9A-95DE-4883-8274-E29065ED48AE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se modifica apartir del 01.04.2025
incremento 01.05.26</t>
        </r>
      </text>
    </comment>
    <comment ref="D26" authorId="0" shapeId="0" xr:uid="{9B7DB014-794C-4E94-819E-B68D7AEC4D43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incremento ss al 01.05.26
</t>
        </r>
      </text>
    </comment>
    <comment ref="D27" authorId="0" shapeId="0" xr:uid="{83A1566C-97C4-42EC-87ED-F5D228D5F62D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incremento ss al 01.05.26
</t>
        </r>
      </text>
    </comment>
    <comment ref="D28" authorId="1" shapeId="0" xr:uid="{ACCD803B-BFF1-4A62-A176-F5A8DB6C2F23}">
      <text>
        <r>
          <rPr>
            <b/>
            <sz val="9"/>
            <color indexed="81"/>
            <rFont val="Tahoma"/>
            <family val="2"/>
          </rPr>
          <t>Lesly Tello:</t>
        </r>
        <r>
          <rPr>
            <sz val="9"/>
            <color indexed="81"/>
            <rFont val="Tahoma"/>
            <family val="2"/>
          </rPr>
          <t xml:space="preserve">
INCREMENTO A S/ 2,500  01-05-26
</t>
        </r>
      </text>
    </comment>
    <comment ref="D29" authorId="1" shapeId="0" xr:uid="{8BFDE6E1-04B9-489F-97A5-419692F2C20A}">
      <text>
        <r>
          <rPr>
            <b/>
            <sz val="9"/>
            <color indexed="81"/>
            <rFont val="Tahoma"/>
            <family val="2"/>
          </rPr>
          <t>Lesly Tello:</t>
        </r>
        <r>
          <rPr>
            <sz val="9"/>
            <color indexed="81"/>
            <rFont val="Tahoma"/>
            <family val="2"/>
          </rPr>
          <t xml:space="preserve">
INCREMENTO A S/ 2,500  01-06-25
</t>
        </r>
      </text>
    </comment>
    <comment ref="D30" authorId="0" shapeId="0" xr:uid="{43E01EDD-5DE3-4468-9DD2-5972E3829914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INCREMENTO 01.04.2026
01.05.2026 se incrementa</t>
        </r>
      </text>
    </comment>
    <comment ref="D35" authorId="0" shapeId="0" xr:uid="{D15031B4-FEE4-4741-BBDD-C543832930BA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incremento ss 01.05.26</t>
        </r>
      </text>
    </comment>
    <comment ref="D36" authorId="0" shapeId="0" xr:uid="{DC9A1B89-B02A-4DA8-AEF4-95A7C8D3983A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incremento ss 01.05.26</t>
        </r>
      </text>
    </comment>
    <comment ref="D37" authorId="0" shapeId="0" xr:uid="{9BDBE70D-3A86-43A5-8460-AFC82A5B3365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incremento ss 01.05.26</t>
        </r>
      </text>
    </comment>
    <comment ref="D39" authorId="0" shapeId="0" xr:uid="{9F92B0EE-7F00-4116-8894-90F6D5B18B0B}">
      <text>
        <r>
          <rPr>
            <b/>
            <sz val="9"/>
            <color indexed="81"/>
            <rFont val="Tahoma"/>
            <family val="2"/>
          </rPr>
          <t>Giovanna Martinez:</t>
        </r>
        <r>
          <rPr>
            <sz val="9"/>
            <color indexed="81"/>
            <rFont val="Tahoma"/>
            <family val="2"/>
          </rPr>
          <t xml:space="preserve">
incremento ss 01.05.26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Elisa Lobo Q.</author>
    <author>Carmen Ysabel Rodriguez Chimpay</author>
  </authors>
  <commentList>
    <comment ref="BC1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Elisa Lobo Q.:</t>
        </r>
        <r>
          <rPr>
            <sz val="9"/>
            <color indexed="81"/>
            <rFont val="Tahoma"/>
            <family val="2"/>
          </rPr>
          <t xml:space="preserve">
DESCANSA DOMINGOS EN SEMANA
</t>
        </r>
      </text>
    </comment>
    <comment ref="AE14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 xml:space="preserve">Carmen Ysabel Rodriguez Chimpay:
</t>
        </r>
        <r>
          <rPr>
            <sz val="9"/>
            <color indexed="81"/>
            <rFont val="Tahoma"/>
            <family val="2"/>
          </rPr>
          <t>se consideró 1 pago adicional en junio por feriado</t>
        </r>
      </text>
    </comment>
    <comment ref="T18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Horas extras del 01, 02, 09, 16, 23,30 del 06/2024
</t>
        </r>
      </text>
    </comment>
    <comment ref="U18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Horas extras del 01-02/06/2024 13 horas</t>
        </r>
      </text>
    </comment>
    <comment ref="V18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feriado del 09/06/24
</t>
        </r>
      </text>
    </comment>
    <comment ref="V23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Feriado del 09/06/2024</t>
        </r>
      </text>
    </comment>
    <comment ref="AU23" authorId="1" shapeId="0" xr:uid="{00000000-0006-0000-0400-000007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Termina el préstamo de S/3000 soles ahora en julio</t>
        </r>
      </text>
    </comment>
    <comment ref="V25" authorId="1" shapeId="0" xr:uid="{00000000-0006-0000-0400-000008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Feriado del 09/06/2024</t>
        </r>
      </text>
    </comment>
    <comment ref="AE26" authorId="1" shapeId="0" xr:uid="{00000000-0006-0000-0400-000009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se consideró 1 pago adicional en junio por feriado.</t>
        </r>
      </text>
    </comment>
    <comment ref="AU27" authorId="1" shapeId="0" xr:uid="{00000000-0006-0000-0400-00000A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descuento S/300 los 31 hasta el 30/09/2024
</t>
        </r>
      </text>
    </comment>
    <comment ref="V30" authorId="1" shapeId="0" xr:uid="{00000000-0006-0000-0400-00000B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Feriado del 09/06/2024</t>
        </r>
      </text>
    </comment>
    <comment ref="V31" authorId="1" shapeId="0" xr:uid="{00000000-0006-0000-0400-00000C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Feriado del 09/06/2024</t>
        </r>
      </text>
    </comment>
    <comment ref="V35" authorId="1" shapeId="0" xr:uid="{00000000-0006-0000-0400-00000D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Feriado del 07/06/2024</t>
        </r>
      </text>
    </comment>
    <comment ref="AU36" authorId="1" shapeId="0" xr:uid="{00000000-0006-0000-0400-00000E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Termina el 31/08/2028</t>
        </r>
      </text>
    </comment>
    <comment ref="V48" authorId="1" shapeId="0" xr:uid="{00000000-0006-0000-0400-00000F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Feriado 29/06/2024</t>
        </r>
      </text>
    </comment>
    <comment ref="Q49" authorId="1" shapeId="0" xr:uid="{00000000-0006-0000-0400-000010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Inició labores el 01/07/2024</t>
        </r>
      </text>
    </comment>
    <comment ref="Q50" authorId="1" shapeId="0" xr:uid="{00000000-0006-0000-0400-000011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Inició labores el 11/07/2024
Sueldo bruto: S/1200</t>
        </r>
      </text>
    </comment>
    <comment ref="AU56" authorId="1" shapeId="0" xr:uid="{00000000-0006-0000-0400-000012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termina en agosto del 2025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672420-E65B-4216-9207-D696EB1271AB}" keepAlive="1" name="Consulta - archivo (3)" description="Conexión a la consulta 'archivo (3)' en el libro." type="5" refreshedVersion="0" background="1">
    <dbPr connection="Provider=Microsoft.Mashup.OleDb.1;Data Source=$Workbook$;Location=&quot;archivo (3)&quot;;Extended Properties=&quot;&quot;" command="SELECT * FROM [archivo (3)]"/>
  </connection>
</connections>
</file>

<file path=xl/sharedStrings.xml><?xml version="1.0" encoding="utf-8"?>
<sst xmlns="http://schemas.openxmlformats.org/spreadsheetml/2006/main" count="3439" uniqueCount="923">
  <si>
    <t xml:space="preserve">CÁLCULO DE COSTO MENSUAL DE PERSONAL EN PLANILLA MYPE </t>
  </si>
  <si>
    <t>↓</t>
  </si>
  <si>
    <t>N°</t>
  </si>
  <si>
    <t>CARGO</t>
  </si>
  <si>
    <t>DATOS PERSONALES</t>
  </si>
  <si>
    <t>BASICO</t>
  </si>
  <si>
    <t>ASIG. FAMILIAR</t>
  </si>
  <si>
    <t>REMUN.
IMPONIBLE</t>
  </si>
  <si>
    <t xml:space="preserve">GRATIFICACIONES   Julio y  Diciembre </t>
  </si>
  <si>
    <t>CTS</t>
  </si>
  <si>
    <t>VACACIONES</t>
  </si>
  <si>
    <t>ESSALUD</t>
  </si>
  <si>
    <t>COSTO MENSUAL</t>
  </si>
  <si>
    <t>COSTO DIARIO</t>
  </si>
  <si>
    <t>COSTO POR HORA</t>
  </si>
  <si>
    <t>COSTO POR MIN</t>
  </si>
  <si>
    <t>AFP/ONP</t>
  </si>
  <si>
    <t>RTA 5TA</t>
  </si>
  <si>
    <t>NETO</t>
  </si>
  <si>
    <t>MOVILIDAD</t>
  </si>
  <si>
    <t>MOZO</t>
  </si>
  <si>
    <t>MEZA ARCIA ALEJANDRO JOSE</t>
  </si>
  <si>
    <t>COCINERA</t>
  </si>
  <si>
    <t>BRETONECHE DIAPIS ANA LUCIA</t>
  </si>
  <si>
    <t>COCINERO</t>
  </si>
  <si>
    <t>ARANA CAMPIAN THALIA MISHEL</t>
  </si>
  <si>
    <r>
      <t>JEFA DE</t>
    </r>
    <r>
      <rPr>
        <sz val="11"/>
        <color rgb="FF000000"/>
        <rFont val="Calibri"/>
        <family val="2"/>
      </rPr>
      <t> BARRA</t>
    </r>
  </si>
  <si>
    <t>LLANTOY LLAMOCCA GRACE MELANY</t>
  </si>
  <si>
    <t>AYUDANTE DE COCINA</t>
  </si>
  <si>
    <t>REYNA TORO FLORDELUCERO MYLIN</t>
  </si>
  <si>
    <t>ASISTENTE DE LOGISTICA</t>
  </si>
  <si>
    <t>MAMANI HUAMANI YAMIR JOSE</t>
  </si>
  <si>
    <t>JEFE DE COCINA</t>
  </si>
  <si>
    <t>CHUNGA VILLAR PEDRO GIOMAR</t>
  </si>
  <si>
    <t>ASIN VINCES VICTOR ANDRES</t>
  </si>
  <si>
    <t>TOTALES PLANILLA -</t>
  </si>
  <si>
    <t>CHEF EJECUTIVO</t>
  </si>
  <si>
    <t>DANIEL BENITES SEBAN  (*RGL)</t>
  </si>
  <si>
    <t>BARMAN JEFE</t>
  </si>
  <si>
    <t>FERNANDEZ RUIZ JENNER JOEL</t>
  </si>
  <si>
    <t xml:space="preserve">JEFE DE SALON </t>
  </si>
  <si>
    <t>MORALES GONZALES CARLOS DANIEL</t>
  </si>
  <si>
    <t xml:space="preserve">BARMAN </t>
  </si>
  <si>
    <t>VERA VILLALOBOS ALDA ARECELY</t>
  </si>
  <si>
    <t>BARMAN</t>
  </si>
  <si>
    <t>PARIONA YUPA YERSON ALDAHIR</t>
  </si>
  <si>
    <t>SINTI SANTIVAÑEZ JEAN PAUL</t>
  </si>
  <si>
    <t>SOTERO ROMAN JULIO MARTIN</t>
  </si>
  <si>
    <t>ANDRICH PAREDES RODRIGO ALBERTO</t>
  </si>
  <si>
    <t>ANDRICH PAREDES VALERIA  ALEJANDRA</t>
  </si>
  <si>
    <t>RELACIÓN DE PERSONAL LA MARIPOSARIO</t>
  </si>
  <si>
    <t>ANA LUCIA BRETONECHE DIAPIS</t>
  </si>
  <si>
    <t>YAMIR JOSE MAMANI HUAMANI</t>
  </si>
  <si>
    <t>JOSE LUIS LOPEZ TOVAR</t>
  </si>
  <si>
    <t>CALIXTO VIECENTE BLAS</t>
  </si>
  <si>
    <t>PEDRO GIOMAR CHUNGA VILLAR</t>
  </si>
  <si>
    <t>ALDA ARECELY VERA VILLALOBOS</t>
  </si>
  <si>
    <t>ANGIRBER AGBRIEL CARARQUEL HERNANDEZ</t>
  </si>
  <si>
    <t>SUSY MILAGRO ALEJOS ARDELAS</t>
  </si>
  <si>
    <t>FERNANDO MOYA HUAMANI</t>
  </si>
  <si>
    <t>DARIO TELLO FLORES</t>
  </si>
  <si>
    <t>Al mes de devengue 2025-02</t>
  </si>
  <si>
    <t>AFP</t>
  </si>
  <si>
    <t>Comisión</t>
  </si>
  <si>
    <t>Prima de</t>
  </si>
  <si>
    <t>Porcentaje de aporte obligatorio al Fondo de Pensiones (%)</t>
  </si>
  <si>
    <t>Remuneración Máxima Asegurable (S/.)</t>
  </si>
  <si>
    <r>
      <t>Fija (S/). </t>
    </r>
    <r>
      <rPr>
        <b/>
        <vertAlign val="superscript"/>
        <sz val="7"/>
        <color rgb="FF688EB7"/>
        <rFont val="Trebuchet MS"/>
        <family val="2"/>
      </rPr>
      <t>/2</t>
    </r>
  </si>
  <si>
    <t>Variable (%)</t>
  </si>
  <si>
    <r>
      <t>Seguros (%) </t>
    </r>
    <r>
      <rPr>
        <b/>
        <vertAlign val="superscript"/>
        <sz val="7"/>
        <color rgb="FF688EB7"/>
        <rFont val="Trebuchet MS"/>
        <family val="2"/>
      </rPr>
      <t>/3</t>
    </r>
  </si>
  <si>
    <t>HABITAT</t>
  </si>
  <si>
    <t>INTEGRA</t>
  </si>
  <si>
    <t>PRIMA</t>
  </si>
  <si>
    <t>PROFUTURO</t>
  </si>
  <si>
    <t>* Comisiones descontadas sobre la Remuneración Bruta. No se considera descuentos por permanencia puesto que tales descuentos no afectan las retenciones del empleador.</t>
  </si>
  <si>
    <t>1/ Las comisiones y primas retenidas correspondientes al mes de devengue "t" deben pagarse dentro de los 5 primeros días útiles del mes "t+1".</t>
  </si>
  <si>
    <t>2/ A partir de Enero de 1997 se eliminó el cobro de Comisión Fija.</t>
  </si>
  <si>
    <t>3/ Porcentaje a descontar sobre la Remuneración Bruta hasta el límite determinado por la Remuneración Máxima Asegurable (art. 67° del Título VII del Compendio de Normas reglamentarias del SPP).</t>
  </si>
  <si>
    <t>Al mes de devengue 2025-03</t>
  </si>
  <si>
    <t>Al mes de devengue 2025-04</t>
  </si>
  <si>
    <t>Al mes de devengue 2025-05</t>
  </si>
  <si>
    <t>Al mes de devengue 2025-06</t>
  </si>
  <si>
    <t>Al mes de devengue 2025-07</t>
  </si>
  <si>
    <t>Al mes de devengue 2025-08</t>
  </si>
  <si>
    <t>Mes de devengue :</t>
  </si>
  <si>
    <t>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</si>
  <si>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>Al mes de devengue 2025-09 </t>
    </r>
    <r>
      <rPr>
        <b/>
        <vertAlign val="superscript"/>
        <sz val="11"/>
        <color rgb="FF044F85"/>
        <rFont val="Trebuchet MS"/>
        <family val="2"/>
      </rPr>
      <t>1/</t>
    </r>
  </si>
  <si>
    <t>COMISIÓN</t>
  </si>
  <si>
    <t>PRIMA DE</t>
  </si>
  <si>
    <t>APORTE OBLIGATORIO AL FONDO DE PENSIONES</t>
  </si>
  <si>
    <t>REMUNERACIÓN MÁXIMA ASEGURABLE</t>
  </si>
  <si>
    <t>SOBRE FLUJO</t>
  </si>
  <si>
    <t>ANUAL SOBRE</t>
  </si>
  <si>
    <r>
      <t>SEGUROS (%) </t>
    </r>
    <r>
      <rPr>
        <b/>
        <vertAlign val="superscript"/>
        <sz val="12"/>
        <color rgb="FFFFFFFF"/>
        <rFont val="OpenSans-Bold"/>
      </rPr>
      <t>3/</t>
    </r>
  </si>
  <si>
    <t>(% Remuneración Bruta Mensual)</t>
  </si>
  <si>
    <t>SALDO</t>
  </si>
  <si>
    <t>1,47%</t>
  </si>
  <si>
    <t>1,25%</t>
  </si>
  <si>
    <t>1,37%</t>
  </si>
  <si>
    <t>10,00%</t>
  </si>
  <si>
    <t>1,55%</t>
  </si>
  <si>
    <t>0,78%</t>
  </si>
  <si>
    <t>1,60%</t>
  </si>
  <si>
    <t>1,69%</t>
  </si>
  <si>
    <t>0,68%</t>
  </si>
  <si>
    <t>1/ Las comisiones sobre la remuneración y las primas retenidas correspondientes a un determinado mes deben pagarse dentro de los 5 primeros dÍas útiles del mes siguiente.</t>
  </si>
  <si>
    <t>3/ Porcentaje a descontar sobre la Remuneración Bruta hasta el límite determinado por el Reglamentode la Ley del SPP(Remuneración Máxima Asegurable Art. 67° del Título VII del Compendio de Normas reglamentarias del SPP).</t>
  </si>
  <si>
    <t>*** A partir de Febrero de 2023, el componente de flujo de la Comisión Mixta es 0%, resultando únicamente en Comisión anulado sobre saldo.</t>
  </si>
  <si>
    <r>
      <t>Al mes de devengue 2025-10 </t>
    </r>
    <r>
      <rPr>
        <b/>
        <vertAlign val="superscript"/>
        <sz val="11"/>
        <color rgb="FF044F85"/>
        <rFont val="Trebuchet MS"/>
        <family val="2"/>
      </rPr>
      <t>1/</t>
    </r>
  </si>
  <si>
    <t>12 178,56</t>
  </si>
  <si>
    <t>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</si>
  <si>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>Al mes de devengue 2025-11 </t>
    </r>
    <r>
      <rPr>
        <b/>
        <vertAlign val="superscript"/>
        <sz val="11"/>
        <color rgb="FF044F85"/>
        <rFont val="Trebuchet MS"/>
        <family val="2"/>
      </rPr>
      <t>1/</t>
    </r>
  </si>
  <si>
    <r>
      <t>Al mes de devengue 2025-12 </t>
    </r>
    <r>
      <rPr>
        <b/>
        <vertAlign val="superscript"/>
        <sz val="11"/>
        <color rgb="FF044F85"/>
        <rFont val="Trebuchet MS"/>
        <family val="2"/>
      </rPr>
      <t>1/</t>
    </r>
  </si>
  <si>
    <r>
      <t>Al mes de devengue 2026-01 </t>
    </r>
    <r>
      <rPr>
        <b/>
        <vertAlign val="superscript"/>
        <sz val="11"/>
        <color rgb="FF044F85"/>
        <rFont val="Trebuchet MS"/>
        <family val="2"/>
      </rPr>
      <t>1/</t>
    </r>
  </si>
  <si>
    <t>12 209,11</t>
  </si>
  <si>
    <t>NO DESCARGARON REPORTE</t>
  </si>
  <si>
    <r>
      <t>Al mes de devengue 2026-02 </t>
    </r>
    <r>
      <rPr>
        <b/>
        <vertAlign val="superscript"/>
        <sz val="11"/>
        <color rgb="FF044F85"/>
        <rFont val="Trebuchet MS"/>
        <family val="2"/>
      </rPr>
      <t>1/</t>
    </r>
  </si>
  <si>
    <r>
      <t>Al mes de devengue 2026-03 </t>
    </r>
    <r>
      <rPr>
        <b/>
        <vertAlign val="superscript"/>
        <sz val="11"/>
        <color rgb="FF044F85"/>
        <rFont val="Trebuchet MS"/>
        <family val="2"/>
      </rPr>
      <t>1/</t>
    </r>
  </si>
  <si>
    <t>INDUSTRIAL PROCESS S.R.L.</t>
  </si>
  <si>
    <t>R.U.C.: 20514706302</t>
  </si>
  <si>
    <t>(EXPRESADO EN NUEVOS SOLES)</t>
  </si>
  <si>
    <t>TRABAJADOR</t>
  </si>
  <si>
    <t>DATOS DEL PERSONAL</t>
  </si>
  <si>
    <t>REMUNERACIONES</t>
  </si>
  <si>
    <t>DESCUENTOS</t>
  </si>
  <si>
    <t>TOTAL</t>
  </si>
  <si>
    <t>NETO A</t>
  </si>
  <si>
    <t>APORTACION</t>
  </si>
  <si>
    <t>APELLIDOS</t>
  </si>
  <si>
    <t>FECHA</t>
  </si>
  <si>
    <t>REMUNER.</t>
  </si>
  <si>
    <t>ASIGNAC.</t>
  </si>
  <si>
    <t>COMISION</t>
  </si>
  <si>
    <t>HORAS</t>
  </si>
  <si>
    <t>FERIADOS</t>
  </si>
  <si>
    <t xml:space="preserve">VACACIONES </t>
  </si>
  <si>
    <t>VALES</t>
  </si>
  <si>
    <t>GRATIFIC.</t>
  </si>
  <si>
    <t>BONIF</t>
  </si>
  <si>
    <t>DEVOL</t>
  </si>
  <si>
    <t>UTILIDAD</t>
  </si>
  <si>
    <t>BONO</t>
  </si>
  <si>
    <t>REMUNER</t>
  </si>
  <si>
    <t>REMUNERA.</t>
  </si>
  <si>
    <t>ONP</t>
  </si>
  <si>
    <t>A.F.P.</t>
  </si>
  <si>
    <t>PTMOS</t>
  </si>
  <si>
    <t>SEGURO</t>
  </si>
  <si>
    <t>OTROS</t>
  </si>
  <si>
    <t>RENTA</t>
  </si>
  <si>
    <t>DESCUENT.</t>
  </si>
  <si>
    <t>PAGAR</t>
  </si>
  <si>
    <t>BCO</t>
  </si>
  <si>
    <t>PATERNO</t>
  </si>
  <si>
    <t>DNI, CE</t>
  </si>
  <si>
    <t>DE</t>
  </si>
  <si>
    <t>Y</t>
  </si>
  <si>
    <t>SUELDO BASE</t>
  </si>
  <si>
    <t>ASIG FAM</t>
  </si>
  <si>
    <t>TOTAL DIAS</t>
  </si>
  <si>
    <t>DIAS NO LAB Y/O</t>
  </si>
  <si>
    <t>HRS X DIA</t>
  </si>
  <si>
    <t>TOTAL HRS</t>
  </si>
  <si>
    <t>PERCIBIDA</t>
  </si>
  <si>
    <t>FAMILIAR</t>
  </si>
  <si>
    <t>DEL MES</t>
  </si>
  <si>
    <t>PROMEDIO</t>
  </si>
  <si>
    <t>EXTRAS</t>
  </si>
  <si>
    <t>MOVIL</t>
  </si>
  <si>
    <t>TRUNCAS</t>
  </si>
  <si>
    <t xml:space="preserve">CONSUMO </t>
  </si>
  <si>
    <t>EXTRAOR</t>
  </si>
  <si>
    <t>DESC.</t>
  </si>
  <si>
    <t>BRUTA</t>
  </si>
  <si>
    <t>AFECTA</t>
  </si>
  <si>
    <t>%</t>
  </si>
  <si>
    <t>S/.</t>
  </si>
  <si>
    <t>APORTE</t>
  </si>
  <si>
    <t>TOTAL A.F.P.</t>
  </si>
  <si>
    <t>FALTAS</t>
  </si>
  <si>
    <t>ADELANTO</t>
  </si>
  <si>
    <t>PACIFICO</t>
  </si>
  <si>
    <t>EPS</t>
  </si>
  <si>
    <t>CONSUMO</t>
  </si>
  <si>
    <t>DSCTOS</t>
  </si>
  <si>
    <t>5TA CATEG</t>
  </si>
  <si>
    <t>VIDA LEY</t>
  </si>
  <si>
    <t>PRIVADO</t>
  </si>
  <si>
    <t>DIF</t>
  </si>
  <si>
    <t>A PAGAR</t>
  </si>
  <si>
    <t>NACIMIENTO</t>
  </si>
  <si>
    <t>INGRESO</t>
  </si>
  <si>
    <t>CESE</t>
  </si>
  <si>
    <t>MES</t>
  </si>
  <si>
    <t>VACAC</t>
  </si>
  <si>
    <t>LABOR</t>
  </si>
  <si>
    <t>OBSEQUIO</t>
  </si>
  <si>
    <t>U OTRO</t>
  </si>
  <si>
    <t>OBLIG</t>
  </si>
  <si>
    <t>OBSEQUIOS</t>
  </si>
  <si>
    <t>VTAS</t>
  </si>
  <si>
    <t>ORIHUELA AGUIRRE ERNESTO JULIO</t>
  </si>
  <si>
    <t>GERENTE GENERAL</t>
  </si>
  <si>
    <t>BBVA</t>
  </si>
  <si>
    <t>ADM</t>
  </si>
  <si>
    <t xml:space="preserve">MARTINEZ CASTILLO GIOVANNA RAQUEL </t>
  </si>
  <si>
    <t>JEFE DE ADMINISTRACION</t>
  </si>
  <si>
    <t>SOPORTE</t>
  </si>
  <si>
    <t>SALVADOR ROJAS ELVIS ALFONSO</t>
  </si>
  <si>
    <t>SUPERVISOR DE SOPORTE TECNICO Y MANTENIMINENTO</t>
  </si>
  <si>
    <t>BCP</t>
  </si>
  <si>
    <t xml:space="preserve">LOLI RODRIGUEZ JANIO RICHARD </t>
  </si>
  <si>
    <t>COORDINADOR DE SOPORTE TECNICO</t>
  </si>
  <si>
    <t>LOGISTICA</t>
  </si>
  <si>
    <t>PEREZ CAJAHUANCA ARACELLI IRAIDA</t>
  </si>
  <si>
    <t>COORDINADOR DE LOGISTICA</t>
  </si>
  <si>
    <t>MARKET</t>
  </si>
  <si>
    <t>PORTOCARRERO TAFUR GLORI MAGRI</t>
  </si>
  <si>
    <t>JEFE DE MARKETING Y CALIDAD</t>
  </si>
  <si>
    <t>ECHEVARRIA SOTO  JORGE LUIS</t>
  </si>
  <si>
    <t>COORDINADOR COMERCIAL</t>
  </si>
  <si>
    <t>MONTOYA MEDRANO ANDREA BELEN JOSEPHINE</t>
  </si>
  <si>
    <t>ASISTENTE DE GERENCIA</t>
  </si>
  <si>
    <t>VERGARA BALDEON GEANNINA LIZBETH</t>
  </si>
  <si>
    <t>ESPECIALISTA EN MARKETING</t>
  </si>
  <si>
    <t>ALMACEN</t>
  </si>
  <si>
    <t>CASTILLO ENCARNACION MANUEL LEONIDAS</t>
  </si>
  <si>
    <t>REPARTO</t>
  </si>
  <si>
    <t>QUEVEDO SALAS LUIS ALBERTO</t>
  </si>
  <si>
    <t>EJECUTIVO COMERCIAL</t>
  </si>
  <si>
    <t>PORTOCARRERO GOMEZ MARIA DEICY</t>
  </si>
  <si>
    <t>42544684</t>
  </si>
  <si>
    <t>LIMPIEZA</t>
  </si>
  <si>
    <t>CONTA</t>
  </si>
  <si>
    <t>AREVALO ILATOMA ALBERTO</t>
  </si>
  <si>
    <t>47291951</t>
  </si>
  <si>
    <t>ASISTENTE CONTABLE</t>
  </si>
  <si>
    <t>PROYECTO</t>
  </si>
  <si>
    <t>SEGURA CHAVESTA CHRISTIAN GUILLERMO</t>
  </si>
  <si>
    <t>72544254</t>
  </si>
  <si>
    <t>ANALISTA DE PROYECTOS</t>
  </si>
  <si>
    <t>LOBO QUISPE ELISA FIORELLA</t>
  </si>
  <si>
    <t>43415173</t>
  </si>
  <si>
    <t>RIOS HOLSEN JAIME JUNIOR</t>
  </si>
  <si>
    <t>48335342</t>
  </si>
  <si>
    <t>ESTRADA SANTOS JUAN MIGUEL</t>
  </si>
  <si>
    <t>INGENIERIA COMERCIAL</t>
  </si>
  <si>
    <t>SALCEDO RIVAS DANIEL ALONSO</t>
  </si>
  <si>
    <t>ENCARGADO AREA DE ALMACEN</t>
  </si>
  <si>
    <t>PORTOCARRERO TAFUR MARIA LOIDI</t>
  </si>
  <si>
    <t>AUXILIAR DE ALMACEN</t>
  </si>
  <si>
    <t>ZEVALLOS DELGADO LUIS EDUARDO</t>
  </si>
  <si>
    <t>INGENIERIO TECNICO EN EL AREA DE VARIADORES</t>
  </si>
  <si>
    <t>BALLLESTEROS DI SERI MARIA PAULA</t>
  </si>
  <si>
    <t>09877161</t>
  </si>
  <si>
    <t>ASISTENTE ADMINISTRATIVO</t>
  </si>
  <si>
    <t>OCAMPO ORTEGA JEAN PAUL</t>
  </si>
  <si>
    <t>73231901</t>
  </si>
  <si>
    <t>ASISTENTE DE SOPORTE TECNICO</t>
  </si>
  <si>
    <t>OLIVOS SAAVEDRA LANDHERT ANDERSON</t>
  </si>
  <si>
    <t>73885455</t>
  </si>
  <si>
    <t>YUPANQUI SAMANIEGO RENATO LUIS</t>
  </si>
  <si>
    <t xml:space="preserve">73952223 </t>
  </si>
  <si>
    <t>10/09/200</t>
  </si>
  <si>
    <t>ASISTENTE DE ALMACEN</t>
  </si>
  <si>
    <t>TUCTO PEREZ CESAR ANTONIO</t>
  </si>
  <si>
    <t xml:space="preserve"> 46452115</t>
  </si>
  <si>
    <t>AREVALO VELA CESAR ANTONIO</t>
  </si>
  <si>
    <t>71114663</t>
  </si>
  <si>
    <t>SICCHA ARCE LUIS FRANCISCO</t>
  </si>
  <si>
    <t>JIMENEZ PUYEN LUIS ANTONIO</t>
  </si>
  <si>
    <t>ESPECIALISTA EN  GESTION Y SST</t>
  </si>
  <si>
    <t>SILVA SANTISTEBAN RONAL JHUNIOR</t>
  </si>
  <si>
    <t>ELGUERA SOTO LUCERO ESTEFANIA</t>
  </si>
  <si>
    <t>ASISTENTE LOGISTICA</t>
  </si>
  <si>
    <t>ESTACIO CAYETANO FRANK BRIAN</t>
  </si>
  <si>
    <t xml:space="preserve">EJECUTIVO COMERCIAL </t>
  </si>
  <si>
    <t>SALAZAR VELASQUEZ HECTOR ALEXANDER</t>
  </si>
  <si>
    <t>41995632</t>
  </si>
  <si>
    <t>CHOFER DE REPARTO</t>
  </si>
  <si>
    <t>RICRA DAVALOS GIUSSEPPE RENATO</t>
  </si>
  <si>
    <t xml:space="preserve">ASISTENTE DE VENTAS </t>
  </si>
  <si>
    <t>DIAZ ESCALANTE LUIS MIGUEL DAVID</t>
  </si>
  <si>
    <t>HIPOLITO GUANILO ARNOLD JIMMY</t>
  </si>
  <si>
    <t>AUXILIAR DE SOPORTE</t>
  </si>
  <si>
    <t>MONTOYA MEDRANO VIVIAN MICHELE ALEXANDRA</t>
  </si>
  <si>
    <t>LL.BB.SS</t>
  </si>
  <si>
    <t>MODIFICACIONES EN PLANILLA SEGÚN PAGO</t>
  </si>
  <si>
    <t>K0011</t>
  </si>
  <si>
    <t>CONCEPTOS</t>
  </si>
  <si>
    <t>O.N.P.</t>
  </si>
  <si>
    <t>I.RTA.5</t>
  </si>
  <si>
    <t>TOTALES</t>
  </si>
  <si>
    <t>PAGOS FIN DE MES</t>
  </si>
  <si>
    <t>PAGOS 1RA QUINCENA MES</t>
  </si>
  <si>
    <t>K0012</t>
  </si>
  <si>
    <t>K0013</t>
  </si>
  <si>
    <t>K0021</t>
  </si>
  <si>
    <t>K0022</t>
  </si>
  <si>
    <t>K0023</t>
  </si>
  <si>
    <t>PROYECTOS</t>
  </si>
  <si>
    <t>K0024</t>
  </si>
  <si>
    <t>MARKETING</t>
  </si>
  <si>
    <t>K0025</t>
  </si>
  <si>
    <t>Quantum</t>
  </si>
  <si>
    <t>BASE EPS</t>
  </si>
  <si>
    <t>CREDITO EPS</t>
  </si>
  <si>
    <t>ESSALUD POR PAGAR</t>
  </si>
  <si>
    <t>HORAS EXTRAS</t>
  </si>
  <si>
    <t>74450353</t>
  </si>
  <si>
    <t>46335654</t>
  </si>
  <si>
    <t>07882846</t>
  </si>
  <si>
    <t>73735818</t>
  </si>
  <si>
    <t>47442636</t>
  </si>
  <si>
    <t>ORDOÑEZ JULCA JESUS ORLANDO</t>
  </si>
  <si>
    <t>No</t>
  </si>
  <si>
    <t>año 2026</t>
  </si>
  <si>
    <t>PROMEDIO COMISIONES</t>
  </si>
  <si>
    <t>APELLIDOS Y NOMBRES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</si>
  <si>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</si>
  <si>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</si>
  <si>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</si>
  <si>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</si>
  <si>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</si>
  <si>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</si>
  <si>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</si>
  <si>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</si>
  <si>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</si>
  <si>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</si>
  <si>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</si>
  <si>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</si>
  <si>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ERNESTO ORIHUELA AGUIRRE</t>
  </si>
  <si>
    <t>año 2025</t>
  </si>
  <si>
    <t>VIDAL MELO ALEX FERNANDO</t>
  </si>
  <si>
    <t>CALCULO QUINTA CATEGORIA DEL IMPUESTO A LA RENTA - 2025</t>
  </si>
  <si>
    <t>MESES</t>
  </si>
  <si>
    <t>ERNESTO</t>
  </si>
  <si>
    <t>JORGE</t>
  </si>
  <si>
    <t>LUIS</t>
  </si>
  <si>
    <t xml:space="preserve">JUAN </t>
  </si>
  <si>
    <t>CESAR</t>
  </si>
  <si>
    <t>FRANK</t>
  </si>
  <si>
    <t>GUSTAVO</t>
  </si>
  <si>
    <t>MILAGROS</t>
  </si>
  <si>
    <t>ORIHUELA</t>
  </si>
  <si>
    <t>ECHEVARRIA</t>
  </si>
  <si>
    <t>QUEVEDO</t>
  </si>
  <si>
    <t>ESTRADA</t>
  </si>
  <si>
    <t>SICCHA</t>
  </si>
  <si>
    <t>AREVALO</t>
  </si>
  <si>
    <t>ESTACIO</t>
  </si>
  <si>
    <t>FLORES</t>
  </si>
  <si>
    <t>SUELDO + ASIG FAM</t>
  </si>
  <si>
    <t>COMISIONES</t>
  </si>
  <si>
    <t>VACACIONES PROMEDIO</t>
  </si>
  <si>
    <t>UTILIDADES</t>
  </si>
  <si>
    <t>NO SE CONSIDERA EN LA PROYECCION DE RENTA</t>
  </si>
  <si>
    <t>COMISION TRIMESTRAL</t>
  </si>
  <si>
    <t>GRATIFICACION JULIO</t>
  </si>
  <si>
    <t>SEPTIEMBRE</t>
  </si>
  <si>
    <t xml:space="preserve">PROMEDIO DE VACACIONES </t>
  </si>
  <si>
    <t>GRATIFICACION</t>
  </si>
  <si>
    <t>BONO EXTRAORDINARIO</t>
  </si>
  <si>
    <t>PROMEDIO VACACIONES</t>
  </si>
  <si>
    <t>GRATIFICACION DICIEMBRE</t>
  </si>
  <si>
    <t>VALES PAVO OBSEQUIO</t>
  </si>
  <si>
    <t>TOTAL PERCIBIDO</t>
  </si>
  <si>
    <t>TOTAL REMUNERACIONES</t>
  </si>
  <si>
    <t>DEDUCCION 7UITS</t>
  </si>
  <si>
    <t>BASE IMPONIBLE</t>
  </si>
  <si>
    <t>CALCULO IR 5TA CATEG.</t>
  </si>
  <si>
    <t>Hasta 5 UIT S/ 27,500 (5500 UIT)</t>
  </si>
  <si>
    <t>Por el exceso de 5 UIT S/ 27,500 y hasta 20 UIT 110,000</t>
  </si>
  <si>
    <t>Por el exceso de 20 UIT S/ 110,000 y hasta 35 UIT 192,500</t>
  </si>
  <si>
    <t>Por el exceso de 35 UIT S/ 192,500 y hasta 45 UIT 247,500</t>
  </si>
  <si>
    <t>RETENCIONES</t>
  </si>
  <si>
    <t xml:space="preserve">MAYO </t>
  </si>
  <si>
    <t>RETENCIONES APLICADAS</t>
  </si>
  <si>
    <t>RETENCIONES EXTRAORDINARIAS</t>
  </si>
  <si>
    <t>SALDO A PAGAR</t>
  </si>
  <si>
    <t>CUOTA MENSUAL</t>
  </si>
  <si>
    <t>ULTIMO SS</t>
  </si>
  <si>
    <t>PROM COMIS 3ULT (INCL MES)</t>
  </si>
  <si>
    <t>SS+ PROM COM</t>
  </si>
  <si>
    <t>PROYECCION AL MES</t>
  </si>
  <si>
    <t>RENTA UTILIDAD</t>
  </si>
  <si>
    <t>taxi mañana</t>
  </si>
  <si>
    <t xml:space="preserve">chicos de hoy dia </t>
  </si>
  <si>
    <t>amalia</t>
  </si>
  <si>
    <t>taxi de luis del sabado</t>
  </si>
  <si>
    <t>GIOVANNA</t>
  </si>
  <si>
    <t xml:space="preserve">RIHARD </t>
  </si>
  <si>
    <t>ARACELLI</t>
  </si>
  <si>
    <t>GLORI</t>
  </si>
  <si>
    <t>ELVIS</t>
  </si>
  <si>
    <t xml:space="preserve">GEANNINA </t>
  </si>
  <si>
    <t>FIORELLA</t>
  </si>
  <si>
    <t>ALBERTO</t>
  </si>
  <si>
    <t>CRISTHIAN</t>
  </si>
  <si>
    <t>JAIME</t>
  </si>
  <si>
    <t>BELEN</t>
  </si>
  <si>
    <t xml:space="preserve">LUIS </t>
  </si>
  <si>
    <t>MARTINEZ</t>
  </si>
  <si>
    <t>LOLI</t>
  </si>
  <si>
    <t>ARAIDA</t>
  </si>
  <si>
    <t>PORTOCARRERO</t>
  </si>
  <si>
    <t>SALVADOR</t>
  </si>
  <si>
    <t>VERGARA</t>
  </si>
  <si>
    <t>LOBO</t>
  </si>
  <si>
    <t>SEGURA</t>
  </si>
  <si>
    <t>RIOS</t>
  </si>
  <si>
    <t>JIMENEZ</t>
  </si>
  <si>
    <t>MONTOYA</t>
  </si>
  <si>
    <t>ZEVALLOS</t>
  </si>
  <si>
    <t>NO SE CONSIDERA EN LA PROYECCION</t>
  </si>
  <si>
    <t>COMPRA DE VACACIONES</t>
  </si>
  <si>
    <t>ingresos Glori</t>
  </si>
  <si>
    <t>VALE CONSUMO</t>
  </si>
  <si>
    <t>Anthia</t>
  </si>
  <si>
    <t>sueldo</t>
  </si>
  <si>
    <t>INGRESOS ANTHIA - QUANTUM</t>
  </si>
  <si>
    <t>Gratificacion</t>
  </si>
  <si>
    <t>UTILILIDADES</t>
  </si>
  <si>
    <t>SEGURO LA POSITIVA</t>
  </si>
  <si>
    <t xml:space="preserve">Aporte mensuales </t>
  </si>
  <si>
    <t>de 15 a 44 años hombres</t>
  </si>
  <si>
    <t>Se modifico apartir del 01.01.19</t>
  </si>
  <si>
    <t>de 15 a 44 años mujeres</t>
  </si>
  <si>
    <t>PORCENTAJES</t>
  </si>
  <si>
    <t>SALDO POR DESCONTAR AL TRAB</t>
  </si>
  <si>
    <t>INPROCESS</t>
  </si>
  <si>
    <t>Nº</t>
  </si>
  <si>
    <t>DNI Nº</t>
  </si>
  <si>
    <t>Nº poliza</t>
  </si>
  <si>
    <t>FECHA DE NAC.</t>
  </si>
  <si>
    <t>FECHA DE INGRESO</t>
  </si>
  <si>
    <t>REMUNERACION</t>
  </si>
  <si>
    <t>0 a 12 meses</t>
  </si>
  <si>
    <t>de 13 a 24 meses</t>
  </si>
  <si>
    <t>ASUME INPROCESS</t>
  </si>
  <si>
    <t>GIOVANNA RAQUEL MARTINEZ CASTILLO</t>
  </si>
  <si>
    <t xml:space="preserve">SEGURO PACIFICO </t>
  </si>
  <si>
    <t>GIOVANNA MARTINEZ</t>
  </si>
  <si>
    <t>ARACELLI PEREZ</t>
  </si>
  <si>
    <t>LADY OLAYA</t>
  </si>
  <si>
    <t>MARTINEZ CASTILLO GIOVANNA</t>
  </si>
  <si>
    <t>PEREZ CAJAHUANCA ARACELLI</t>
  </si>
  <si>
    <t>MENSUAL</t>
  </si>
  <si>
    <t>DIAS</t>
  </si>
  <si>
    <t>CALCULO DEL 2.25%</t>
  </si>
  <si>
    <t>NOMBRE DE  LA EMPRESA:</t>
  </si>
  <si>
    <t>INDUSTRIAL PROCESS SRL - IN PROCESS SRL</t>
  </si>
  <si>
    <t xml:space="preserve">FECHA: </t>
  </si>
  <si>
    <t xml:space="preserve">ASESOR COMERCIAL: </t>
  </si>
  <si>
    <t>CAROL CUBA</t>
  </si>
  <si>
    <t>Composición de Grupo</t>
  </si>
  <si>
    <t>Titular Solo</t>
  </si>
  <si>
    <t>Titular con 1 Dependiente</t>
  </si>
  <si>
    <t>DH: CONYUGE, CONVIVIENTE CON UNION DE HECHOS E HIJOS HASTA LOS 18 AÑOS</t>
  </si>
  <si>
    <t>Titular con 2 Dependientes</t>
  </si>
  <si>
    <t>Titular con 3 Dependientes</t>
  </si>
  <si>
    <t>Titular con 4 Dependientes</t>
  </si>
  <si>
    <t>Titular con 5 Dependientes</t>
  </si>
  <si>
    <t>Hijos mayores de 18 años</t>
  </si>
  <si>
    <t>ESSALUD MENSUAL</t>
  </si>
  <si>
    <t>Según población afiliada a la fecha</t>
  </si>
  <si>
    <t>N° Total de Afiliados</t>
  </si>
  <si>
    <t>total de afiliados</t>
  </si>
  <si>
    <t>TITULARES</t>
  </si>
  <si>
    <t>ESSALUD ANUAL</t>
  </si>
  <si>
    <t>Essalud Anual</t>
  </si>
  <si>
    <t>Credito Anual</t>
  </si>
  <si>
    <t>Credito Mensual</t>
  </si>
  <si>
    <t>Credito x Afiliado</t>
  </si>
  <si>
    <t>credito 2.25</t>
  </si>
  <si>
    <t>Facturación</t>
  </si>
  <si>
    <t>Costo sin IGV</t>
  </si>
  <si>
    <t>CREDITO A FAVOR DEL TRABAJADOR</t>
  </si>
  <si>
    <t>Descuento Trab.</t>
  </si>
  <si>
    <t>10 a mas afiliados</t>
  </si>
  <si>
    <t>BASE PEAS</t>
  </si>
  <si>
    <t>BASE ESENCIAL</t>
  </si>
  <si>
    <t>BASE PLUS</t>
  </si>
  <si>
    <t>ADICIONAL 1</t>
  </si>
  <si>
    <t>ADICIONAL 2</t>
  </si>
  <si>
    <t>POR PERSONA</t>
  </si>
  <si>
    <t>Titular</t>
  </si>
  <si>
    <t>Titular mas 1</t>
  </si>
  <si>
    <t>Titular mas 2</t>
  </si>
  <si>
    <t>Titular mas 3</t>
  </si>
  <si>
    <t>Titular mas 4</t>
  </si>
  <si>
    <t>NOTA:  CALCULO REALIZADO EN BASE A LA INFORMACION PROPORCIONADA POR LA EMPRESA.  EL MONTO DEL CRÉDITO PODRÁ VARIAR SEGÚN EL NÚMERO REAL DE TITULARES, SU COMPOSICIÓN FAMILIAR Y EL APORTE A ESSALUD CORRESPONDIENTE.</t>
  </si>
  <si>
    <t>01 TITULAR</t>
  </si>
  <si>
    <t>02 DEPENDIENTES</t>
  </si>
  <si>
    <t>TITULAR</t>
  </si>
  <si>
    <t>TOTAL DESCUENTO</t>
  </si>
  <si>
    <t>IMPORTE</t>
  </si>
  <si>
    <t>AFECTA A</t>
  </si>
  <si>
    <t>INGRESOS</t>
  </si>
  <si>
    <t>DESCUENTOS POR TARDANZA</t>
  </si>
  <si>
    <t>INJUSTIFICADAS</t>
  </si>
  <si>
    <t xml:space="preserve">TOTAL </t>
  </si>
  <si>
    <t>DESCUENTO POR FALTA</t>
  </si>
  <si>
    <t>DESCUENTO POR TARDANZA</t>
  </si>
  <si>
    <t>A</t>
  </si>
  <si>
    <t>IMPUESTO</t>
  </si>
  <si>
    <t>MINUTOS</t>
  </si>
  <si>
    <t>PERMISO</t>
  </si>
  <si>
    <t>DESCONTAR</t>
  </si>
  <si>
    <t xml:space="preserve">SUELDO </t>
  </si>
  <si>
    <t>PLANILLA</t>
  </si>
  <si>
    <t>TASA</t>
  </si>
  <si>
    <t>PERIODO</t>
  </si>
  <si>
    <t>NETA</t>
  </si>
  <si>
    <t>SOPORTE TECNICO Y MANTENIMINENTO</t>
  </si>
  <si>
    <t>COORDINADOR COMERC IAL</t>
  </si>
  <si>
    <t>70036224</t>
  </si>
  <si>
    <t>ASISTENTE LOGISTICO</t>
  </si>
  <si>
    <t>RECEPCIONISTA</t>
  </si>
  <si>
    <t>LUGO YAGUARACUTO JORGE DEYVIS</t>
  </si>
  <si>
    <t>003488571</t>
  </si>
  <si>
    <t>RAMOS ESPEJO JHONN MIGUEL</t>
  </si>
  <si>
    <t>SUPERVISOR DE ALMACEN</t>
  </si>
  <si>
    <t>ASISTENTE VENTAS</t>
  </si>
  <si>
    <t>PRODUCT MANAGER</t>
  </si>
  <si>
    <t>CORREIA DUARTE ALEXANDER</t>
  </si>
  <si>
    <t>001216312</t>
  </si>
  <si>
    <t xml:space="preserve"> 06802763 </t>
  </si>
  <si>
    <t>TORRES VELA JOE RAMIRO</t>
  </si>
  <si>
    <t>CHOFER</t>
  </si>
  <si>
    <t>TECNICO ELECTRICISTA</t>
  </si>
  <si>
    <t xml:space="preserve">AREVALO VELA CESAR ANTONIO </t>
  </si>
  <si>
    <t>SPECIES S.A.C.</t>
  </si>
  <si>
    <t>Nº 20550057451</t>
  </si>
  <si>
    <t>PLANILLA DE REMUNERACIONES MES DE JULIO DEL AÑO 2024</t>
  </si>
  <si>
    <t>(Se considero de adelanto (S/1149)</t>
  </si>
  <si>
    <t>SE PAGO</t>
  </si>
  <si>
    <t>SE DEBIO DE PAGAR</t>
  </si>
  <si>
    <t>NOMBRES</t>
  </si>
  <si>
    <t>CANASTA</t>
  </si>
  <si>
    <t>IMP.RTA.5</t>
  </si>
  <si>
    <t>ADELAN</t>
  </si>
  <si>
    <t>GRATIF</t>
  </si>
  <si>
    <t>PREST</t>
  </si>
  <si>
    <t>DESCUENTO</t>
  </si>
  <si>
    <t>DSCTO</t>
  </si>
  <si>
    <t>MATERNO</t>
  </si>
  <si>
    <t>PRIMER</t>
  </si>
  <si>
    <t>SEGUNDO</t>
  </si>
  <si>
    <t>CUPSS</t>
  </si>
  <si>
    <t>AUTOGENERADO</t>
  </si>
  <si>
    <t>AREA</t>
  </si>
  <si>
    <t>BONIF.</t>
  </si>
  <si>
    <t>OTROS INGRESOS NO COMPU</t>
  </si>
  <si>
    <t>NAVIDEÑA</t>
  </si>
  <si>
    <t>APORTE OBLIG.</t>
  </si>
  <si>
    <t>PRIMA SEGURO</t>
  </si>
  <si>
    <t>JUDICIAL</t>
  </si>
  <si>
    <t xml:space="preserve">PAGO </t>
  </si>
  <si>
    <t>LAB</t>
  </si>
  <si>
    <t>SALIDA</t>
  </si>
  <si>
    <t>1ER</t>
  </si>
  <si>
    <t>BRETONECHE</t>
  </si>
  <si>
    <t>DIAPIS</t>
  </si>
  <si>
    <t>ANA</t>
  </si>
  <si>
    <t>LUCIA</t>
  </si>
  <si>
    <t>636620ABDTP8</t>
  </si>
  <si>
    <t>RESTAURANT</t>
  </si>
  <si>
    <t>MAMANI</t>
  </si>
  <si>
    <t>HUAMANI</t>
  </si>
  <si>
    <t>YAMIR</t>
  </si>
  <si>
    <t>JOSE</t>
  </si>
  <si>
    <t>621701YMHAM9</t>
  </si>
  <si>
    <t>44895694</t>
  </si>
  <si>
    <t>ok</t>
  </si>
  <si>
    <t>VICENTE</t>
  </si>
  <si>
    <t>BLAS</t>
  </si>
  <si>
    <t>CALIXTO</t>
  </si>
  <si>
    <t>CONDUCTOR</t>
  </si>
  <si>
    <t>(Descontar en julio)</t>
  </si>
  <si>
    <t>PINILLOS</t>
  </si>
  <si>
    <t>HIDALGO</t>
  </si>
  <si>
    <t>MARYORI</t>
  </si>
  <si>
    <t>XIMENA</t>
  </si>
  <si>
    <t>670730MPHIA2</t>
  </si>
  <si>
    <t>GUILLEN</t>
  </si>
  <si>
    <t>CERECEDA</t>
  </si>
  <si>
    <t>KATHERINN</t>
  </si>
  <si>
    <t>ELIZABETH</t>
  </si>
  <si>
    <t xml:space="preserve">INTEGRA </t>
  </si>
  <si>
    <t>641760KGCLE7</t>
  </si>
  <si>
    <t xml:space="preserve">CONTABILIDAD </t>
  </si>
  <si>
    <t>ASIST.CONTABLE</t>
  </si>
  <si>
    <t>SALAS</t>
  </si>
  <si>
    <t>SORIA</t>
  </si>
  <si>
    <t>OMAR</t>
  </si>
  <si>
    <t>ANDRES</t>
  </si>
  <si>
    <t>638061OSSAI5</t>
  </si>
  <si>
    <t>MANYARI</t>
  </si>
  <si>
    <t>MATIAS</t>
  </si>
  <si>
    <t>ANTONIO</t>
  </si>
  <si>
    <t>686101MEMRY1</t>
  </si>
  <si>
    <t>MESERO</t>
  </si>
  <si>
    <t>no pago de feriado dia 09.06</t>
  </si>
  <si>
    <t>MIGUEL</t>
  </si>
  <si>
    <t>ANGEL</t>
  </si>
  <si>
    <t>676151MPHIA6</t>
  </si>
  <si>
    <t>OPERARIO DE LIMPIEZA</t>
  </si>
  <si>
    <t>5TO</t>
  </si>
  <si>
    <t>CHUNGA</t>
  </si>
  <si>
    <t>VILLAR</t>
  </si>
  <si>
    <t>PEDRO</t>
  </si>
  <si>
    <t>GIOMAR</t>
  </si>
  <si>
    <t>631631PCVNL0</t>
  </si>
  <si>
    <t>46704451</t>
  </si>
  <si>
    <t>ROOFTOP</t>
  </si>
  <si>
    <t>CARRASQUEL</t>
  </si>
  <si>
    <t>HERNANDEZ</t>
  </si>
  <si>
    <t>ANGIRBER</t>
  </si>
  <si>
    <t>GABRIEL</t>
  </si>
  <si>
    <t>646151ACHRN5</t>
  </si>
  <si>
    <t>004696624</t>
  </si>
  <si>
    <t>SALON</t>
  </si>
  <si>
    <t>JEFE DE BARRA</t>
  </si>
  <si>
    <t>08751792</t>
  </si>
  <si>
    <t>RIVERO</t>
  </si>
  <si>
    <t>GACON</t>
  </si>
  <si>
    <t>VICTOR</t>
  </si>
  <si>
    <t xml:space="preserve">ONP </t>
  </si>
  <si>
    <t>09979245</t>
  </si>
  <si>
    <t>ADMINISTRADOR</t>
  </si>
  <si>
    <t>BARTESAGHI</t>
  </si>
  <si>
    <t>MALAGA</t>
  </si>
  <si>
    <t>RENATO</t>
  </si>
  <si>
    <t>664941RBMTA8</t>
  </si>
  <si>
    <t>71455402</t>
  </si>
  <si>
    <t>CERRON</t>
  </si>
  <si>
    <t>ANTO</t>
  </si>
  <si>
    <t>ALVARO</t>
  </si>
  <si>
    <t>MARCELO</t>
  </si>
  <si>
    <t>669981ACARO4</t>
  </si>
  <si>
    <t>74221679</t>
  </si>
  <si>
    <t>PA</t>
  </si>
  <si>
    <t>MOYA</t>
  </si>
  <si>
    <t>FERNANDO</t>
  </si>
  <si>
    <t>PACHACAMAC</t>
  </si>
  <si>
    <t>EMPLEADO</t>
  </si>
  <si>
    <t>(Feriado del 07.06.24</t>
  </si>
  <si>
    <t>MAR</t>
  </si>
  <si>
    <t>TELLO</t>
  </si>
  <si>
    <t>DARIO</t>
  </si>
  <si>
    <t>MARIPOSARIO</t>
  </si>
  <si>
    <t>SERVICIO DE PERSONAL</t>
  </si>
  <si>
    <t>PSM</t>
  </si>
  <si>
    <t>RODRIGUEZ</t>
  </si>
  <si>
    <t>CHIMPAY</t>
  </si>
  <si>
    <t>CARMEN</t>
  </si>
  <si>
    <t>ISABEL</t>
  </si>
  <si>
    <t>627030CRCRM5</t>
  </si>
  <si>
    <t>CONTABILIDAD</t>
  </si>
  <si>
    <t>ANALIST.CONTABLE</t>
  </si>
  <si>
    <t xml:space="preserve">ZAMORA </t>
  </si>
  <si>
    <t>VELASQUEZ</t>
  </si>
  <si>
    <t xml:space="preserve">ELVIS </t>
  </si>
  <si>
    <t>IVAN</t>
  </si>
  <si>
    <t>652131EZVOA7</t>
  </si>
  <si>
    <t>AUX. CONTABLE</t>
  </si>
  <si>
    <t>ALLCA</t>
  </si>
  <si>
    <t>PABLO</t>
  </si>
  <si>
    <t>DIEGO</t>
  </si>
  <si>
    <t>674491PAMCT2</t>
  </si>
  <si>
    <t>ACOSTA</t>
  </si>
  <si>
    <t>DAMIAN</t>
  </si>
  <si>
    <t>ROBERT</t>
  </si>
  <si>
    <t>ALEXANDER</t>
  </si>
  <si>
    <t>652851RADSI0</t>
  </si>
  <si>
    <t xml:space="preserve">RESTAURANTE </t>
  </si>
  <si>
    <t xml:space="preserve">COCINERO </t>
  </si>
  <si>
    <t>TICACALA</t>
  </si>
  <si>
    <t>HUETE</t>
  </si>
  <si>
    <t>CRISTEL</t>
  </si>
  <si>
    <t>JAZMIN</t>
  </si>
  <si>
    <t>678370CTHAT4</t>
  </si>
  <si>
    <t>COMECA</t>
  </si>
  <si>
    <t>SALAZAR</t>
  </si>
  <si>
    <t>DILAN</t>
  </si>
  <si>
    <t>ANDRIU</t>
  </si>
  <si>
    <t>681573DCSEA4</t>
  </si>
  <si>
    <t>SOTELO</t>
  </si>
  <si>
    <t>LEON</t>
  </si>
  <si>
    <t>640451MSLEN2</t>
  </si>
  <si>
    <t>TALAVERA</t>
  </si>
  <si>
    <t>ABANTO</t>
  </si>
  <si>
    <t xml:space="preserve">MIRIAN </t>
  </si>
  <si>
    <t>AIDA</t>
  </si>
  <si>
    <t>596540MTAAN8</t>
  </si>
  <si>
    <t>CAFETERIA</t>
  </si>
  <si>
    <t>CUBA</t>
  </si>
  <si>
    <t xml:space="preserve">PORTUGAL </t>
  </si>
  <si>
    <t xml:space="preserve">TANIA </t>
  </si>
  <si>
    <t xml:space="preserve">NATIVIDAD </t>
  </si>
  <si>
    <t>643110TCPAT6</t>
  </si>
  <si>
    <t>CHEF PASTELERA</t>
  </si>
  <si>
    <t>ARBULU</t>
  </si>
  <si>
    <t>NAYELI</t>
  </si>
  <si>
    <t>670820NMATU7</t>
  </si>
  <si>
    <t>MESERA</t>
  </si>
  <si>
    <t>TARAP</t>
  </si>
  <si>
    <t>PIZANGO</t>
  </si>
  <si>
    <t>LUMBA</t>
  </si>
  <si>
    <t>JHONELLIN</t>
  </si>
  <si>
    <t>587111RPLAB6</t>
  </si>
  <si>
    <t>TARAPOTO</t>
  </si>
  <si>
    <t>SERVICIO DEL PERSONAL</t>
  </si>
  <si>
    <t xml:space="preserve">MONTO </t>
  </si>
  <si>
    <t>RPSM</t>
  </si>
  <si>
    <t xml:space="preserve">PACHACAMAC / TARAPOTO/ MARIPOSARIO  </t>
  </si>
  <si>
    <t xml:space="preserve">LM 1ER PISO </t>
  </si>
  <si>
    <t>LM 5TO PISO</t>
  </si>
  <si>
    <t>TOTAL A PAGAR</t>
  </si>
  <si>
    <t>ESSALUD 9%</t>
  </si>
  <si>
    <t>BONIFICACION 9%</t>
  </si>
  <si>
    <t>ANUAL</t>
  </si>
  <si>
    <t>JEFA DE BARRA</t>
  </si>
  <si>
    <r>
      <t xml:space="preserve">DANIEL BENITES SEBAN  </t>
    </r>
    <r>
      <rPr>
        <sz val="11"/>
        <color rgb="FFFF0000"/>
        <rFont val="Calibri"/>
        <family val="2"/>
        <scheme val="minor"/>
      </rPr>
      <t>(*RGL)</t>
    </r>
  </si>
  <si>
    <t>PERIODOS : NOV-ABRIL/ MAYO -OCTUBRE</t>
  </si>
  <si>
    <t>CÁLCULO</t>
  </si>
  <si>
    <t>01/6</t>
  </si>
  <si>
    <t>DE GRATIFICA</t>
  </si>
  <si>
    <t xml:space="preserve">CTS </t>
  </si>
  <si>
    <t>JULIO-DIC</t>
  </si>
  <si>
    <t>VACAIONES</t>
  </si>
  <si>
    <t>1ER PISO</t>
  </si>
  <si>
    <t>APORTACIONES</t>
  </si>
  <si>
    <t>COSTO</t>
  </si>
  <si>
    <t>PAGO QUINCENAL MARZO</t>
  </si>
  <si>
    <t>PAGO MENSUAL MARZO</t>
  </si>
  <si>
    <t>VARIACION</t>
  </si>
  <si>
    <t xml:space="preserve">GRATIFICACION </t>
  </si>
  <si>
    <t>ANFITRION</t>
  </si>
  <si>
    <t xml:space="preserve"> </t>
  </si>
  <si>
    <t>5TO PISO</t>
  </si>
  <si>
    <t xml:space="preserve">CHEF </t>
  </si>
  <si>
    <r>
      <t xml:space="preserve">BENITES SEBAN DANIEL </t>
    </r>
    <r>
      <rPr>
        <sz val="11"/>
        <color rgb="FFFF0000"/>
        <rFont val="Calibri"/>
        <family val="2"/>
        <scheme val="minor"/>
      </rPr>
      <t>(*RGL)</t>
    </r>
  </si>
  <si>
    <t>BARMAN JUNIOR</t>
  </si>
  <si>
    <t>TOTAL DEL COSTO</t>
  </si>
  <si>
    <t>TARDAN</t>
  </si>
  <si>
    <t>ZAS</t>
  </si>
  <si>
    <t>PLAN ESENCIAL</t>
  </si>
  <si>
    <t>PLAN PLUS</t>
  </si>
  <si>
    <t>LLBBSS</t>
  </si>
  <si>
    <t>YSABEL</t>
  </si>
  <si>
    <t>RICARDO</t>
  </si>
  <si>
    <t>INTERBANK</t>
  </si>
  <si>
    <t>TOTAL FACTURACION</t>
  </si>
  <si>
    <t>POR</t>
  </si>
  <si>
    <t>REEMB</t>
  </si>
  <si>
    <r>
      <t>Al mes de devengue 2026-04 </t>
    </r>
    <r>
      <rPr>
        <b/>
        <vertAlign val="superscript"/>
        <sz val="11"/>
        <color rgb="FF044F85"/>
        <rFont val="Trebuchet MS"/>
        <family val="2"/>
      </rPr>
      <t>1/</t>
    </r>
  </si>
  <si>
    <t>12 598,91</t>
  </si>
  <si>
    <t>INTERB</t>
  </si>
  <si>
    <t xml:space="preserve">DANIEL </t>
  </si>
  <si>
    <t>SALCEDO</t>
  </si>
  <si>
    <t>MARIA PAULA</t>
  </si>
  <si>
    <t>BALLESTEROS</t>
  </si>
  <si>
    <t>ASISTENTE DE PROYECTOS</t>
  </si>
  <si>
    <t>ALARCON OLIVERA AMBAR TIFFANY</t>
  </si>
  <si>
    <t>BANCHO CANELOS EDSON OMAR AMANCIO</t>
  </si>
  <si>
    <t>-</t>
  </si>
  <si>
    <t>bbva</t>
  </si>
  <si>
    <t>BURGA MUÑOZ HELDER ALEXANDER</t>
  </si>
  <si>
    <t>JUÑO FUENTEZ STEFANIA BRISEIDA</t>
  </si>
  <si>
    <t>QUANTUM</t>
  </si>
  <si>
    <t>PARTNE</t>
  </si>
  <si>
    <t>RR.HH</t>
  </si>
  <si>
    <t>RIVERA CORRALES JUAN EDUARDO</t>
  </si>
  <si>
    <t>MELO HUAMAN CARLOS MANUEL</t>
  </si>
  <si>
    <t>FARFAN LAUREL CIELO CARMIN</t>
  </si>
  <si>
    <t>ORTIZ PAREDES CESAR PAUL</t>
  </si>
  <si>
    <t>ASISTENTE DE RR.HH</t>
  </si>
  <si>
    <t>ASIGNACION
 FAMILIAR</t>
  </si>
  <si>
    <t>Sueldo</t>
  </si>
  <si>
    <t>Dia</t>
  </si>
  <si>
    <t>hora</t>
  </si>
  <si>
    <t>Total</t>
  </si>
  <si>
    <t>FERIADO/ DOMINICAL</t>
  </si>
  <si>
    <t>JEAN PAUL OCAMPO ORTEGA</t>
  </si>
  <si>
    <t>ANDERSON OLIVOS SAAVEDRA</t>
  </si>
  <si>
    <t>RONAL SILVA SANTISTEBAN</t>
  </si>
  <si>
    <t>JIMMY HIPOLITO</t>
  </si>
  <si>
    <t>LUIS ZEVALLOS DELGADO</t>
  </si>
  <si>
    <t>HORAS 
25%</t>
  </si>
  <si>
    <t>HORAS
35%</t>
  </si>
  <si>
    <t>PAGO 25%</t>
  </si>
  <si>
    <t>PAGO 35%</t>
  </si>
  <si>
    <t>PAGO 100%</t>
  </si>
  <si>
    <t>AUXILIAR DE SOPORTE TECNICO</t>
  </si>
  <si>
    <t>CALCULO QUINTA CATEGORIA DEL IMPUESTO A LA RENTA - 2026</t>
  </si>
  <si>
    <t>GIUSSEPPE</t>
  </si>
  <si>
    <t>RICRA</t>
  </si>
  <si>
    <t>FERIADO/DESCANSO</t>
  </si>
  <si>
    <t>.</t>
  </si>
  <si>
    <r>
      <t>Al mes de devengue 2026-07 </t>
    </r>
    <r>
      <rPr>
        <b/>
        <vertAlign val="superscript"/>
        <sz val="11"/>
        <color rgb="FF044F85"/>
        <rFont val="Trebuchet MS"/>
        <family val="2"/>
      </rPr>
      <t>1/</t>
    </r>
  </si>
  <si>
    <t>12 672,65</t>
  </si>
  <si>
    <t>DESCANSO</t>
  </si>
  <si>
    <t>MEDICO</t>
  </si>
  <si>
    <t>DESCA.</t>
  </si>
  <si>
    <t>INDE.</t>
  </si>
  <si>
    <t>PAREDES CHAMOCHUMBI ANA GABRIEL</t>
  </si>
  <si>
    <t>RXH</t>
  </si>
  <si>
    <t>Luis Lavi</t>
  </si>
  <si>
    <t>19101207696093</t>
  </si>
  <si>
    <t>PLANILLA DE REMUNERACIONES MES DE JULIO 2026</t>
  </si>
  <si>
    <t>AUXILIAR ADMINISTRATIVO</t>
  </si>
  <si>
    <t>GRATI</t>
  </si>
  <si>
    <t>Emerson</t>
  </si>
  <si>
    <t>DIA</t>
  </si>
  <si>
    <t>19475759659005</t>
  </si>
  <si>
    <t>INDUSTRIAL PROCESS</t>
  </si>
  <si>
    <t>COMPROBANTE</t>
  </si>
  <si>
    <t>Sub-Diario: P</t>
  </si>
  <si>
    <t>Moneda: MN</t>
  </si>
  <si>
    <t>Comprobante: 030001</t>
  </si>
  <si>
    <t>Conversion: S</t>
  </si>
  <si>
    <t>Concepto: PROVISION PLANILLA MES ABRIL 2023</t>
  </si>
  <si>
    <t>Tipo de Cambio: 3.829</t>
  </si>
  <si>
    <t xml:space="preserve">Usuario: </t>
  </si>
  <si>
    <t>LTP</t>
  </si>
  <si>
    <t>IMPORTES</t>
  </si>
  <si>
    <t>Cuenta</t>
  </si>
  <si>
    <t>Descripción Cuenta</t>
  </si>
  <si>
    <t>Anexo</t>
  </si>
  <si>
    <t>Descripcion Anexo</t>
  </si>
  <si>
    <t>CC</t>
  </si>
  <si>
    <t>Debe</t>
  </si>
  <si>
    <t>Haber</t>
  </si>
  <si>
    <t>TD</t>
  </si>
  <si>
    <t>Nro. Doc.</t>
  </si>
  <si>
    <t>Fecha</t>
  </si>
  <si>
    <t>Glosa</t>
  </si>
  <si>
    <t>62101001</t>
  </si>
  <si>
    <t>SUELDOS</t>
  </si>
  <si>
    <t>00</t>
  </si>
  <si>
    <t>003-2025</t>
  </si>
  <si>
    <t>PROVISION PLANILLA MES MARZO 2025</t>
  </si>
  <si>
    <t>62201001</t>
  </si>
  <si>
    <t>ASIGNACION FAMILIAR</t>
  </si>
  <si>
    <t>62201007</t>
  </si>
  <si>
    <t>PLANILLA MOVILIDAD</t>
  </si>
  <si>
    <t>62701001</t>
  </si>
  <si>
    <t>REGIMEN DE PRESTACIONES DE SALUD</t>
  </si>
  <si>
    <t>62101002</t>
  </si>
  <si>
    <t>VENTAS</t>
  </si>
  <si>
    <t>62201002</t>
  </si>
  <si>
    <t>62102002</t>
  </si>
  <si>
    <t>COMISIONES DEL PERIODO</t>
  </si>
  <si>
    <t>62701002</t>
  </si>
  <si>
    <t>62101004</t>
  </si>
  <si>
    <t>62201008</t>
  </si>
  <si>
    <t>14111001</t>
  </si>
  <si>
    <t>PRESTAMOS DE PERSONAL EMPLEADOS M.N.</t>
  </si>
  <si>
    <t>44030334</t>
  </si>
  <si>
    <t>14496</t>
  </si>
  <si>
    <t>012-2024</t>
  </si>
  <si>
    <t>14121001</t>
  </si>
  <si>
    <t>ADELANTO DE REMUNERACION DE PERSONAL M.N</t>
  </si>
  <si>
    <t>10305226</t>
  </si>
  <si>
    <t>09594953</t>
  </si>
  <si>
    <t>41675364</t>
  </si>
  <si>
    <t>44425022</t>
  </si>
  <si>
    <t>43172155</t>
  </si>
  <si>
    <t>45538866</t>
  </si>
  <si>
    <t>71127068</t>
  </si>
  <si>
    <t>46497553</t>
  </si>
  <si>
    <t>25849757</t>
  </si>
  <si>
    <t>42953954</t>
  </si>
  <si>
    <t>45654429</t>
  </si>
  <si>
    <t>73952223</t>
  </si>
  <si>
    <t>46452115</t>
  </si>
  <si>
    <t xml:space="preserve"> TUCTO PEREZ CESAR ANTONIO</t>
  </si>
  <si>
    <t xml:space="preserve"> AREVALO VELA CESAR ANTONIO</t>
  </si>
  <si>
    <t>06802763</t>
  </si>
  <si>
    <t>48461873</t>
  </si>
  <si>
    <t xml:space="preserve">14191001      </t>
  </si>
  <si>
    <t>OTROS CUENTAS POR COBRAR AL PERSONAL</t>
  </si>
  <si>
    <t>20332970411</t>
  </si>
  <si>
    <t>PACIFICO COMPAÑÍA DE SEGUROS</t>
  </si>
  <si>
    <t>01</t>
  </si>
  <si>
    <t>F090-118980</t>
  </si>
  <si>
    <t>F072-5022558</t>
  </si>
  <si>
    <t>F077-384221</t>
  </si>
  <si>
    <t>F072-5022561</t>
  </si>
  <si>
    <t>CONSIDERAR RECIBO ENTEL</t>
  </si>
  <si>
    <t>011-2024</t>
  </si>
  <si>
    <t>40171003</t>
  </si>
  <si>
    <t xml:space="preserve">RENTA DE QUINTA CATEGORIA </t>
  </si>
  <si>
    <t>20131312955</t>
  </si>
  <si>
    <t>SUNAT</t>
  </si>
  <si>
    <t>40311001</t>
  </si>
  <si>
    <t xml:space="preserve">40321001      </t>
  </si>
  <si>
    <t>41701001</t>
  </si>
  <si>
    <t>ADMIN DE FONDOS DE PENN - PRIMA</t>
  </si>
  <si>
    <t>20510398158</t>
  </si>
  <si>
    <t>41701002</t>
  </si>
  <si>
    <t>ADMIN DE FONDOS PENS - INTEGRA</t>
  </si>
  <si>
    <t>20157036794</t>
  </si>
  <si>
    <t>41701003</t>
  </si>
  <si>
    <t>ADMIN DE FONDOS DE PENN - PROFUTURO</t>
  </si>
  <si>
    <t>20142829551</t>
  </si>
  <si>
    <t>41701004</t>
  </si>
  <si>
    <t>ADMIN DE FONDOS PENS - HABITAH</t>
  </si>
  <si>
    <t>20551464971</t>
  </si>
  <si>
    <t>HABITAH</t>
  </si>
  <si>
    <t xml:space="preserve">41101001      </t>
  </si>
  <si>
    <t>75101001</t>
  </si>
  <si>
    <t>INGRESOS EN BENEFICIO DEL TRABAJADOR</t>
  </si>
  <si>
    <t>20514706302</t>
  </si>
  <si>
    <t>41105001</t>
  </si>
  <si>
    <t>VACACIONES POR PAGAR</t>
  </si>
  <si>
    <t>Total:</t>
  </si>
  <si>
    <t>JAVIER</t>
  </si>
  <si>
    <t>PARTN</t>
  </si>
  <si>
    <t>ALBE</t>
  </si>
  <si>
    <t>HONORARIOS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</si>
</sst>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000000000"/>
    <numFmt numFmtId="167" formatCode="0000"/>
    <numFmt numFmtId="168" formatCode="00000000"/>
    <numFmt numFmtId="169" formatCode="0.0"/>
    <numFmt numFmtId="170" formatCode="_ * #,##0_ ;_ * \-#,##0_ ;_ * &quot;-&quot;??_ ;_ @_ "/>
    <numFmt numFmtId="171" formatCode="&quot;S/&quot;#,##0"/>
    <numFmt numFmtId="172" formatCode="dd\-mm\-yy"/>
    <numFmt numFmtId="173" formatCode="&quot;S/.&quot;#,##0.00"/>
    <numFmt numFmtId="174" formatCode="_-[$S/-280A]\ * #,##0.00_-;\-[$S/-280A]\ * #,##0.00_-;_-[$S/-280A]\ * &quot;-&quot;??_-;_-@_-"/>
    <numFmt numFmtId="175" formatCode="&quot;S/. &quot;#,##0.00"/>
    <numFmt numFmtId="176" formatCode="&quot;S/.&quot;\ #,##0.00"/>
    <numFmt numFmtId="177" formatCode="dd\-mm\-yy;@"/>
    <numFmt numFmtId="178" formatCode="_-* #,##0.00\ _€_-;\-* #,##0.00\ _€_-;_-* &quot;-&quot;??\ _€_-;_-@_-"/>
    <numFmt numFmtId="179" formatCode="#,##0.0000"/>
    <numFmt numFmtId="180" formatCode="_ * #,##0.0_ ;_ * \-#,##0.0_ ;_ * &quot;-&quot;??_ ;_ @_ "/>
    <numFmt numFmtId="181" formatCode="#,##0.0_ ;\-#,##0.0\ "/>
  </numFmts>
  <fonts count="1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5"/>
      <name val="Calibri"/>
      <family val="2"/>
    </font>
    <font>
      <sz val="10"/>
      <name val="Calibri"/>
      <family val="2"/>
      <scheme val="minor"/>
    </font>
    <font>
      <sz val="9"/>
      <name val="Arial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  <scheme val="minor"/>
    </font>
    <font>
      <sz val="10"/>
      <color rgb="FF002060"/>
      <name val="Calibri"/>
      <family val="2"/>
    </font>
    <font>
      <b/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70C0"/>
      <name val="Calibri"/>
      <family val="2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3"/>
      <name val="Calibri"/>
      <family val="2"/>
      <scheme val="minor"/>
    </font>
    <font>
      <b/>
      <sz val="13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8" tint="-0.249977111117893"/>
      <name val="Calibri"/>
      <family val="2"/>
    </font>
    <font>
      <b/>
      <sz val="10"/>
      <color rgb="FFFFC000"/>
      <name val="Calibri"/>
      <family val="2"/>
    </font>
    <font>
      <sz val="8"/>
      <name val="Calibri"/>
      <family val="2"/>
      <scheme val="minor"/>
    </font>
    <font>
      <b/>
      <sz val="10"/>
      <color rgb="FF0070C0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0070C0"/>
      <name val="Calibri"/>
      <family val="2"/>
    </font>
    <font>
      <b/>
      <sz val="10"/>
      <color theme="8" tint="-0.249977111117893"/>
      <name val="Calibri"/>
      <family val="2"/>
    </font>
    <font>
      <sz val="16"/>
      <name val="Calibri"/>
      <family val="2"/>
    </font>
    <font>
      <sz val="18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0"/>
      <color theme="5" tint="-0.249977111117893"/>
      <name val="Calibri"/>
      <family val="2"/>
    </font>
    <font>
      <b/>
      <sz val="10"/>
      <color rgb="FF00B050"/>
      <name val="Calibri"/>
      <family val="2"/>
    </font>
    <font>
      <sz val="10"/>
      <color rgb="FF7D1EB2"/>
      <name val="Calibri"/>
      <family val="2"/>
    </font>
    <font>
      <sz val="10"/>
      <color rgb="FF7D1EB2"/>
      <name val="Calibri"/>
      <family val="2"/>
      <scheme val="minor"/>
    </font>
    <font>
      <b/>
      <sz val="10"/>
      <color rgb="FF7D1EB2"/>
      <name val="Calibri"/>
      <family val="2"/>
    </font>
    <font>
      <sz val="10"/>
      <color theme="5" tint="-0.249977111117893"/>
      <name val="Calibri"/>
      <family val="2"/>
    </font>
    <font>
      <sz val="10"/>
      <name val="Formata Regular"/>
    </font>
    <font>
      <sz val="10"/>
      <name val="Formata Regular"/>
      <family val="2"/>
    </font>
    <font>
      <sz val="10"/>
      <name val="Century Gothic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8"/>
      <color rgb="FF688EB7"/>
      <name val="Trebuchet MS"/>
      <family val="2"/>
    </font>
    <font>
      <b/>
      <sz val="7"/>
      <color rgb="FF688EB7"/>
      <name val="Trebuchet MS"/>
      <family val="2"/>
    </font>
    <font>
      <b/>
      <vertAlign val="superscript"/>
      <sz val="7"/>
      <color rgb="FF688EB7"/>
      <name val="Trebuchet MS"/>
      <family val="2"/>
    </font>
    <font>
      <sz val="7"/>
      <color rgb="FF457AB2"/>
      <name val="Arial"/>
      <family val="2"/>
    </font>
    <font>
      <sz val="8"/>
      <color rgb="FF696969"/>
      <name val="Trebuchet MS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</font>
    <font>
      <sz val="8"/>
      <name val="Arial"/>
      <family val="2"/>
    </font>
    <font>
      <sz val="9"/>
      <color indexed="1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9"/>
      <name val="Ebrima"/>
    </font>
    <font>
      <sz val="9"/>
      <name val="Ebrima"/>
    </font>
    <font>
      <b/>
      <sz val="8"/>
      <name val="Ebrima"/>
    </font>
    <font>
      <b/>
      <sz val="10"/>
      <color theme="1"/>
      <name val="Calibri"/>
      <family val="2"/>
      <scheme val="minor"/>
    </font>
    <font>
      <b/>
      <sz val="9"/>
      <color rgb="FF00B050"/>
      <name val="Ebrima"/>
    </font>
    <font>
      <b/>
      <sz val="8"/>
      <color rgb="FFFF0000"/>
      <name val="Ebrima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u/>
      <sz val="9"/>
      <name val="Arial"/>
      <family val="2"/>
    </font>
    <font>
      <sz val="9"/>
      <color rgb="FFEE0000"/>
      <name val="Arial"/>
      <family val="2"/>
    </font>
    <font>
      <b/>
      <sz val="9"/>
      <color rgb="FFEE0000"/>
      <name val="Arial"/>
      <family val="2"/>
    </font>
    <font>
      <b/>
      <sz val="11"/>
      <color rgb="FF044F85"/>
      <name val="Merriweather-Bold"/>
    </font>
    <font>
      <sz val="14"/>
      <color rgb="FF000000"/>
      <name val="Times New Roman"/>
      <family val="1"/>
    </font>
    <font>
      <b/>
      <sz val="11"/>
      <color rgb="FF044F85"/>
      <name val="Trebuchet MS"/>
      <family val="2"/>
    </font>
    <font>
      <b/>
      <vertAlign val="superscript"/>
      <sz val="11"/>
      <color rgb="FF044F85"/>
      <name val="Trebuchet MS"/>
      <family val="2"/>
    </font>
    <font>
      <b/>
      <sz val="12"/>
      <color rgb="FFFFFFFF"/>
      <name val="OpenSans-Bold"/>
    </font>
    <font>
      <b/>
      <sz val="7.5"/>
      <color rgb="FFFFFFFF"/>
      <name val="OpenSans-SemiBold"/>
    </font>
    <font>
      <b/>
      <vertAlign val="superscript"/>
      <sz val="12"/>
      <color rgb="FFFFFFFF"/>
      <name val="OpenSans-Bold"/>
    </font>
    <font>
      <sz val="11"/>
      <color rgb="FF585B63"/>
      <name val="OpenSans-Regular"/>
    </font>
    <font>
      <sz val="8"/>
      <color rgb="FF696969"/>
      <name val="OpenSans-Regular"/>
    </font>
    <font>
      <b/>
      <sz val="11"/>
      <color rgb="FFFF0000"/>
      <name val="OpenSans-Regular"/>
    </font>
    <font>
      <b/>
      <sz val="9"/>
      <color rgb="FFC00000"/>
      <name val="Ebrima"/>
    </font>
    <font>
      <b/>
      <sz val="11"/>
      <color rgb="FFFF0000"/>
      <name val="Arial"/>
      <family val="2"/>
    </font>
    <font>
      <sz val="11"/>
      <color rgb="FF0070C0"/>
      <name val="Arial"/>
      <family val="2"/>
    </font>
    <font>
      <sz val="11"/>
      <color rgb="FF0070C0"/>
      <name val="Calibri"/>
      <family val="2"/>
    </font>
    <font>
      <b/>
      <sz val="9"/>
      <color rgb="FFC00000"/>
      <name val="Arial"/>
      <family val="2"/>
    </font>
    <font>
      <b/>
      <sz val="11"/>
      <color rgb="FF585B63"/>
      <name val="OpenSans-Regular"/>
    </font>
    <font>
      <u val="doubleAccounting"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CCEC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theme="5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rgb="FFFFFF00"/>
        <bgColor indexed="26"/>
      </patternFill>
    </fill>
    <fill>
      <patternFill patternType="solid">
        <fgColor rgb="FFFF0000"/>
        <bgColor indexed="26"/>
      </patternFill>
    </fill>
    <fill>
      <patternFill patternType="solid">
        <fgColor theme="0"/>
        <bgColor indexed="15"/>
      </patternFill>
    </fill>
    <fill>
      <patternFill patternType="solid">
        <fgColor rgb="FF00B0F0"/>
        <bgColor indexed="15"/>
      </patternFill>
    </fill>
    <fill>
      <patternFill patternType="solid">
        <fgColor rgb="FF00B0F0"/>
        <bgColor indexed="26"/>
      </patternFill>
    </fill>
    <fill>
      <patternFill patternType="solid">
        <fgColor theme="9" tint="0.39997558519241921"/>
        <bgColor indexed="26"/>
      </patternFill>
    </fill>
    <fill>
      <patternFill patternType="solid">
        <fgColor theme="7" tint="0.79998168889431442"/>
        <b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686868"/>
        <bgColor indexed="64"/>
      </patternFill>
    </fill>
    <fill>
      <patternFill patternType="solid">
        <fgColor rgb="FF00369D"/>
        <bgColor indexed="64"/>
      </patternFill>
    </fill>
    <fill>
      <patternFill patternType="solid">
        <fgColor rgb="FF1FC3B3"/>
        <bgColor indexed="64"/>
      </patternFill>
    </fill>
    <fill>
      <patternFill patternType="solid">
        <fgColor rgb="FFBEBAB9"/>
        <bgColor indexed="64"/>
      </patternFill>
    </fill>
    <fill>
      <patternFill patternType="solid">
        <fgColor rgb="FFE5F5FF"/>
        <bgColor indexed="64"/>
      </patternFill>
    </fill>
    <fill>
      <patternFill patternType="solid">
        <fgColor theme="0" tint="-4.9989318521683403E-2"/>
        <bgColor indexed="64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E5ECF4"/>
      </right>
      <top/>
      <bottom style="medium">
        <color rgb="FFE5ECF4"/>
      </bottom>
      <diagonal/>
    </border>
    <border>
      <left/>
      <right style="medium">
        <color rgb="FFE5ECF4"/>
      </right>
      <top/>
      <bottom/>
      <diagonal/>
    </border>
    <border>
      <left style="medium">
        <color rgb="FFE5ECF4"/>
      </left>
      <right/>
      <top style="medium">
        <color rgb="FFE5ECF4"/>
      </top>
      <bottom/>
      <diagonal/>
    </border>
    <border>
      <left/>
      <right/>
      <top style="medium">
        <color rgb="FFE5ECF4"/>
      </top>
      <bottom/>
      <diagonal/>
    </border>
    <border>
      <left/>
      <right style="medium">
        <color rgb="FFE5ECF4"/>
      </right>
      <top style="medium">
        <color rgb="FFE5ECF4"/>
      </top>
      <bottom/>
      <diagonal/>
    </border>
    <border>
      <left style="medium">
        <color rgb="FFE5ECF4"/>
      </left>
      <right style="medium">
        <color rgb="FFE5ECF4"/>
      </right>
      <top/>
      <bottom/>
      <diagonal/>
    </border>
    <border>
      <left style="medium">
        <color rgb="FFE5ECF4"/>
      </left>
      <right style="medium">
        <color rgb="FFE5ECF4"/>
      </right>
      <top/>
      <bottom style="medium">
        <color rgb="FFE5ECF4"/>
      </bottom>
      <diagonal/>
    </border>
    <border>
      <left style="medium">
        <color rgb="FFE5ECF4"/>
      </left>
      <right/>
      <top/>
      <bottom/>
      <diagonal/>
    </border>
    <border>
      <left style="medium">
        <color rgb="FFE5ECF4"/>
      </left>
      <right/>
      <top/>
      <bottom style="medium">
        <color rgb="FFE5ECF4"/>
      </bottom>
      <diagonal/>
    </border>
    <border>
      <left/>
      <right/>
      <top/>
      <bottom style="medium">
        <color rgb="FFE5ECF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rgb="FFDFDFDF"/>
      </left>
      <right style="medium">
        <color rgb="FFFFFFFF"/>
      </right>
      <top style="medium">
        <color rgb="FFDFDFDF"/>
      </top>
      <bottom/>
      <diagonal/>
    </border>
    <border>
      <left style="medium">
        <color rgb="FFDFDFDF"/>
      </left>
      <right style="medium">
        <color rgb="FFFFFFFF"/>
      </right>
      <top/>
      <bottom/>
      <diagonal/>
    </border>
    <border>
      <left style="medium">
        <color rgb="FFDFDFDF"/>
      </left>
      <right style="medium">
        <color rgb="FFFFFFFF"/>
      </right>
      <top/>
      <bottom style="medium">
        <color rgb="FFDFDFDF"/>
      </bottom>
      <diagonal/>
    </border>
    <border>
      <left style="medium">
        <color rgb="FFDFDFD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DFDFDF"/>
      </left>
      <right style="medium">
        <color rgb="FFDFDFDF"/>
      </right>
      <top style="medium">
        <color rgb="FFDFDFDF"/>
      </top>
      <bottom style="medium">
        <color rgb="FFDFDFDF"/>
      </bottom>
      <diagonal/>
    </border>
    <border>
      <left style="medium">
        <color rgb="FFDFDFDF"/>
      </left>
      <right style="medium">
        <color rgb="FFDFDFDF"/>
      </right>
      <top style="medium">
        <color rgb="FFDFDFDF"/>
      </top>
      <bottom/>
      <diagonal/>
    </border>
    <border>
      <left style="medium">
        <color rgb="FFDFDFDF"/>
      </left>
      <right style="medium">
        <color rgb="FFDFDFDF"/>
      </right>
      <top/>
      <bottom/>
      <diagonal/>
    </border>
    <border>
      <left style="medium">
        <color rgb="FFDFDFDF"/>
      </left>
      <right style="medium">
        <color rgb="FFDFDFDF"/>
      </right>
      <top/>
      <bottom style="medium">
        <color rgb="FFDFDFDF"/>
      </bottom>
      <diagonal/>
    </border>
    <border>
      <left style="medium">
        <color rgb="FFDFDFDF"/>
      </left>
      <right/>
      <top style="medium">
        <color rgb="FFDFDFDF"/>
      </top>
      <bottom style="medium">
        <color rgb="FFDFDFDF"/>
      </bottom>
      <diagonal/>
    </border>
    <border>
      <left/>
      <right/>
      <top style="medium">
        <color rgb="FFDFDFDF"/>
      </top>
      <bottom style="medium">
        <color rgb="FFDFDFDF"/>
      </bottom>
      <diagonal/>
    </border>
    <border>
      <left/>
      <right style="medium">
        <color rgb="FFDFDFDF"/>
      </right>
      <top style="medium">
        <color rgb="FFDFDFDF"/>
      </top>
      <bottom style="medium">
        <color rgb="FFDFDFD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DFDFDF"/>
      </left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8">
    <xf numFmtId="0" fontId="0" fillId="0" borderId="0"/>
    <xf numFmtId="9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4" fillId="0" borderId="0"/>
    <xf numFmtId="0" fontId="4" fillId="0" borderId="0"/>
    <xf numFmtId="164" fontId="23" fillId="0" borderId="0" applyFont="0" applyFill="0" applyBorder="0" applyAlignment="0" applyProtection="0"/>
    <xf numFmtId="0" fontId="23" fillId="0" borderId="0"/>
    <xf numFmtId="164" fontId="1" fillId="0" borderId="0" applyFont="0" applyFill="0" applyBorder="0" applyAlignment="0" applyProtection="0"/>
    <xf numFmtId="0" fontId="55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1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88" fillId="0" borderId="0" applyNumberFormat="0" applyFill="0" applyBorder="0" applyAlignment="0" applyProtection="0"/>
  </cellStyleXfs>
  <cellXfs count="1565">
    <xf numFmtId="0" fontId="0" fillId="0" borderId="0" xfId="0"/>
    <xf numFmtId="0" fontId="5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6" fillId="0" borderId="0" xfId="2" applyFont="1" applyAlignment="1">
      <alignment horizontal="center"/>
    </xf>
    <xf numFmtId="0" fontId="7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0" fontId="5" fillId="0" borderId="0" xfId="2" applyFont="1"/>
    <xf numFmtId="0" fontId="8" fillId="0" borderId="0" xfId="0" applyFont="1" applyAlignment="1">
      <alignment horizontal="left"/>
    </xf>
    <xf numFmtId="0" fontId="6" fillId="0" borderId="0" xfId="2" applyFont="1"/>
    <xf numFmtId="4" fontId="6" fillId="0" borderId="0" xfId="2" applyNumberFormat="1" applyFont="1"/>
    <xf numFmtId="10" fontId="6" fillId="0" borderId="0" xfId="2" applyNumberFormat="1" applyFont="1"/>
    <xf numFmtId="0" fontId="9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4" fontId="5" fillId="0" borderId="0" xfId="2" applyNumberFormat="1" applyFont="1"/>
    <xf numFmtId="10" fontId="5" fillId="0" borderId="0" xfId="2" applyNumberFormat="1" applyFont="1"/>
    <xf numFmtId="0" fontId="5" fillId="0" borderId="6" xfId="2" applyFont="1" applyBorder="1" applyAlignment="1">
      <alignment horizontal="center"/>
    </xf>
    <xf numFmtId="0" fontId="5" fillId="0" borderId="6" xfId="2" applyFont="1" applyBorder="1"/>
    <xf numFmtId="14" fontId="5" fillId="0" borderId="6" xfId="5" applyNumberFormat="1" applyFont="1" applyFill="1" applyBorder="1" applyAlignment="1" applyProtection="1">
      <alignment horizontal="center"/>
      <protection locked="0"/>
    </xf>
    <xf numFmtId="14" fontId="5" fillId="0" borderId="6" xfId="5" applyNumberFormat="1" applyFont="1" applyFill="1" applyBorder="1" applyAlignment="1" applyProtection="1">
      <alignment horizontal="left"/>
      <protection locked="0"/>
    </xf>
    <xf numFmtId="167" fontId="5" fillId="0" borderId="6" xfId="5" applyNumberFormat="1" applyFont="1" applyFill="1" applyBorder="1" applyAlignment="1" applyProtection="1">
      <alignment horizontal="left"/>
      <protection locked="0"/>
    </xf>
    <xf numFmtId="4" fontId="5" fillId="0" borderId="6" xfId="2" applyNumberFormat="1" applyFont="1" applyBorder="1"/>
    <xf numFmtId="4" fontId="12" fillId="0" borderId="6" xfId="2" applyNumberFormat="1" applyFont="1" applyBorder="1"/>
    <xf numFmtId="9" fontId="5" fillId="0" borderId="6" xfId="2" applyNumberFormat="1" applyFont="1" applyBorder="1" applyAlignment="1">
      <alignment horizontal="center"/>
    </xf>
    <xf numFmtId="10" fontId="5" fillId="0" borderId="6" xfId="2" applyNumberFormat="1" applyFont="1" applyBorder="1"/>
    <xf numFmtId="1" fontId="5" fillId="0" borderId="6" xfId="2" applyNumberFormat="1" applyFont="1" applyBorder="1"/>
    <xf numFmtId="49" fontId="5" fillId="0" borderId="6" xfId="2" applyNumberFormat="1" applyFont="1" applyBorder="1" applyAlignment="1">
      <alignment horizontal="center"/>
    </xf>
    <xf numFmtId="4" fontId="6" fillId="0" borderId="9" xfId="2" applyNumberFormat="1" applyFont="1" applyBorder="1"/>
    <xf numFmtId="0" fontId="12" fillId="0" borderId="0" xfId="2" applyFont="1" applyAlignment="1">
      <alignment horizontal="center"/>
    </xf>
    <xf numFmtId="0" fontId="12" fillId="0" borderId="6" xfId="2" applyFont="1" applyBorder="1" applyAlignment="1">
      <alignment horizontal="center"/>
    </xf>
    <xf numFmtId="0" fontId="12" fillId="0" borderId="6" xfId="2" applyFont="1" applyBorder="1"/>
    <xf numFmtId="166" fontId="12" fillId="0" borderId="6" xfId="2" applyNumberFormat="1" applyFont="1" applyBorder="1" applyAlignment="1">
      <alignment horizontal="center"/>
    </xf>
    <xf numFmtId="14" fontId="12" fillId="0" borderId="6" xfId="5" applyNumberFormat="1" applyFont="1" applyFill="1" applyBorder="1" applyAlignment="1" applyProtection="1">
      <alignment horizontal="center"/>
      <protection locked="0"/>
    </xf>
    <xf numFmtId="14" fontId="12" fillId="0" borderId="6" xfId="5" applyNumberFormat="1" applyFont="1" applyFill="1" applyBorder="1" applyAlignment="1" applyProtection="1">
      <alignment horizontal="left"/>
      <protection locked="0"/>
    </xf>
    <xf numFmtId="167" fontId="12" fillId="0" borderId="6" xfId="5" applyNumberFormat="1" applyFont="1" applyFill="1" applyBorder="1" applyAlignment="1" applyProtection="1">
      <alignment horizontal="left"/>
      <protection locked="0"/>
    </xf>
    <xf numFmtId="164" fontId="12" fillId="0" borderId="6" xfId="3" applyFont="1" applyFill="1" applyBorder="1"/>
    <xf numFmtId="9" fontId="12" fillId="0" borderId="6" xfId="2" applyNumberFormat="1" applyFont="1" applyBorder="1" applyAlignment="1">
      <alignment horizontal="center"/>
    </xf>
    <xf numFmtId="10" fontId="12" fillId="0" borderId="6" xfId="2" applyNumberFormat="1" applyFont="1" applyBorder="1"/>
    <xf numFmtId="1" fontId="12" fillId="0" borderId="6" xfId="2" applyNumberFormat="1" applyFont="1" applyBorder="1"/>
    <xf numFmtId="0" fontId="12" fillId="0" borderId="0" xfId="2" applyFont="1"/>
    <xf numFmtId="168" fontId="5" fillId="0" borderId="6" xfId="2" applyNumberFormat="1" applyFont="1" applyBorder="1" applyAlignment="1">
      <alignment horizontal="center"/>
    </xf>
    <xf numFmtId="164" fontId="5" fillId="0" borderId="0" xfId="3" applyFont="1" applyFill="1"/>
    <xf numFmtId="164" fontId="5" fillId="0" borderId="6" xfId="3" applyFont="1" applyFill="1" applyBorder="1"/>
    <xf numFmtId="4" fontId="5" fillId="0" borderId="6" xfId="2" applyNumberFormat="1" applyFont="1" applyBorder="1" applyAlignment="1">
      <alignment horizontal="right"/>
    </xf>
    <xf numFmtId="4" fontId="15" fillId="0" borderId="6" xfId="2" applyNumberFormat="1" applyFont="1" applyBorder="1"/>
    <xf numFmtId="4" fontId="5" fillId="0" borderId="8" xfId="2" applyNumberFormat="1" applyFont="1" applyBorder="1"/>
    <xf numFmtId="9" fontId="5" fillId="0" borderId="8" xfId="2" applyNumberFormat="1" applyFont="1" applyBorder="1" applyAlignment="1">
      <alignment horizontal="center"/>
    </xf>
    <xf numFmtId="10" fontId="5" fillId="0" borderId="8" xfId="2" applyNumberFormat="1" applyFont="1" applyBorder="1"/>
    <xf numFmtId="4" fontId="6" fillId="0" borderId="6" xfId="2" applyNumberFormat="1" applyFont="1" applyBorder="1"/>
    <xf numFmtId="4" fontId="12" fillId="0" borderId="8" xfId="2" applyNumberFormat="1" applyFont="1" applyBorder="1"/>
    <xf numFmtId="0" fontId="6" fillId="0" borderId="6" xfId="2" applyFont="1" applyBorder="1" applyAlignment="1">
      <alignment horizontal="center"/>
    </xf>
    <xf numFmtId="4" fontId="5" fillId="0" borderId="10" xfId="2" applyNumberFormat="1" applyFont="1" applyBorder="1"/>
    <xf numFmtId="4" fontId="5" fillId="0" borderId="11" xfId="2" applyNumberFormat="1" applyFont="1" applyBorder="1"/>
    <xf numFmtId="0" fontId="5" fillId="0" borderId="8" xfId="2" applyFont="1" applyBorder="1" applyAlignment="1">
      <alignment horizontal="center"/>
    </xf>
    <xf numFmtId="0" fontId="5" fillId="0" borderId="8" xfId="2" applyFont="1" applyBorder="1"/>
    <xf numFmtId="168" fontId="5" fillId="0" borderId="8" xfId="2" applyNumberFormat="1" applyFont="1" applyBorder="1" applyAlignment="1">
      <alignment horizontal="center"/>
    </xf>
    <xf numFmtId="14" fontId="5" fillId="0" borderId="8" xfId="5" applyNumberFormat="1" applyFont="1" applyFill="1" applyBorder="1" applyAlignment="1" applyProtection="1">
      <alignment horizontal="center"/>
      <protection locked="0"/>
    </xf>
    <xf numFmtId="14" fontId="5" fillId="0" borderId="8" xfId="5" applyNumberFormat="1" applyFont="1" applyFill="1" applyBorder="1" applyAlignment="1" applyProtection="1">
      <alignment horizontal="left"/>
      <protection locked="0"/>
    </xf>
    <xf numFmtId="1" fontId="6" fillId="0" borderId="12" xfId="2" applyNumberFormat="1" applyFont="1" applyBorder="1"/>
    <xf numFmtId="4" fontId="6" fillId="0" borderId="9" xfId="2" applyNumberFormat="1" applyFont="1" applyBorder="1" applyAlignment="1">
      <alignment horizontal="center"/>
    </xf>
    <xf numFmtId="4" fontId="5" fillId="0" borderId="1" xfId="2" applyNumberFormat="1" applyFont="1" applyBorder="1"/>
    <xf numFmtId="4" fontId="6" fillId="0" borderId="8" xfId="2" applyNumberFormat="1" applyFont="1" applyBorder="1"/>
    <xf numFmtId="0" fontId="21" fillId="0" borderId="0" xfId="0" applyFont="1" applyAlignment="1">
      <alignment horizontal="center" vertical="center"/>
    </xf>
    <xf numFmtId="14" fontId="22" fillId="0" borderId="13" xfId="0" applyNumberFormat="1" applyFont="1" applyBorder="1" applyAlignment="1">
      <alignment vertical="center"/>
    </xf>
    <xf numFmtId="0" fontId="22" fillId="0" borderId="0" xfId="0" applyFont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/>
    </xf>
    <xf numFmtId="4" fontId="24" fillId="3" borderId="0" xfId="8" quotePrefix="1" applyNumberFormat="1" applyFont="1" applyFill="1" applyBorder="1" applyAlignment="1">
      <alignment horizontal="center" vertical="center"/>
    </xf>
    <xf numFmtId="0" fontId="24" fillId="3" borderId="0" xfId="0" applyFont="1" applyFill="1" applyAlignment="1">
      <alignment vertical="center"/>
    </xf>
    <xf numFmtId="0" fontId="25" fillId="3" borderId="0" xfId="0" applyFont="1" applyFill="1" applyAlignment="1">
      <alignment vertical="center"/>
    </xf>
    <xf numFmtId="0" fontId="26" fillId="3" borderId="0" xfId="0" applyFont="1" applyFill="1" applyAlignment="1">
      <alignment vertical="center"/>
    </xf>
    <xf numFmtId="10" fontId="27" fillId="3" borderId="0" xfId="0" applyNumberFormat="1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9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4" fontId="21" fillId="0" borderId="0" xfId="8" quotePrefix="1" applyNumberFormat="1" applyFont="1" applyFill="1" applyBorder="1" applyAlignment="1">
      <alignment horizontal="center" vertical="center"/>
    </xf>
    <xf numFmtId="10" fontId="3" fillId="0" borderId="0" xfId="1" applyNumberFormat="1" applyFont="1" applyFill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" fontId="22" fillId="4" borderId="1" xfId="0" applyNumberFormat="1" applyFont="1" applyFill="1" applyBorder="1" applyAlignment="1">
      <alignment horizontal="center" vertical="center" wrapText="1"/>
    </xf>
    <xf numFmtId="1" fontId="22" fillId="4" borderId="6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" fontId="22" fillId="4" borderId="8" xfId="0" applyNumberFormat="1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horizontal="left" vertical="center"/>
    </xf>
    <xf numFmtId="0" fontId="21" fillId="0" borderId="9" xfId="9" applyFont="1" applyBorder="1" applyAlignment="1">
      <alignment horizontal="left" vertical="center"/>
    </xf>
    <xf numFmtId="164" fontId="22" fillId="0" borderId="9" xfId="8" applyFont="1" applyFill="1" applyBorder="1" applyAlignment="1">
      <alignment horizontal="center" vertical="center"/>
    </xf>
    <xf numFmtId="164" fontId="21" fillId="0" borderId="9" xfId="8" applyFont="1" applyFill="1" applyBorder="1" applyAlignment="1">
      <alignment horizontal="center" vertical="center"/>
    </xf>
    <xf numFmtId="3" fontId="21" fillId="0" borderId="9" xfId="8" applyNumberFormat="1" applyFont="1" applyFill="1" applyBorder="1" applyAlignment="1">
      <alignment horizontal="center" vertical="center"/>
    </xf>
    <xf numFmtId="4" fontId="21" fillId="0" borderId="9" xfId="0" applyNumberFormat="1" applyFont="1" applyBorder="1" applyAlignment="1">
      <alignment horizontal="center" vertical="center"/>
    </xf>
    <xf numFmtId="4" fontId="21" fillId="0" borderId="2" xfId="0" applyNumberFormat="1" applyFont="1" applyBorder="1" applyAlignment="1">
      <alignment horizontal="center" vertical="center"/>
    </xf>
    <xf numFmtId="4" fontId="21" fillId="0" borderId="8" xfId="0" applyNumberFormat="1" applyFont="1" applyBorder="1" applyAlignment="1">
      <alignment horizontal="center" vertical="center"/>
    </xf>
    <xf numFmtId="4" fontId="30" fillId="0" borderId="15" xfId="0" applyNumberFormat="1" applyFont="1" applyBorder="1" applyAlignment="1">
      <alignment horizontal="center" vertical="center"/>
    </xf>
    <xf numFmtId="4" fontId="21" fillId="0" borderId="4" xfId="0" applyNumberFormat="1" applyFont="1" applyBorder="1" applyAlignment="1">
      <alignment horizontal="center" vertical="center"/>
    </xf>
    <xf numFmtId="4" fontId="22" fillId="0" borderId="9" xfId="0" applyNumberFormat="1" applyFont="1" applyBorder="1" applyAlignment="1">
      <alignment horizontal="center" vertical="center"/>
    </xf>
    <xf numFmtId="4" fontId="22" fillId="0" borderId="2" xfId="0" applyNumberFormat="1" applyFont="1" applyBorder="1" applyAlignment="1">
      <alignment horizontal="center" vertical="center"/>
    </xf>
    <xf numFmtId="0" fontId="21" fillId="0" borderId="1" xfId="9" applyFont="1" applyBorder="1" applyAlignment="1">
      <alignment horizontal="left"/>
    </xf>
    <xf numFmtId="0" fontId="21" fillId="0" borderId="9" xfId="9" applyFont="1" applyBorder="1" applyAlignment="1">
      <alignment horizontal="left" wrapText="1"/>
    </xf>
    <xf numFmtId="164" fontId="22" fillId="0" borderId="8" xfId="8" applyFont="1" applyFill="1" applyBorder="1" applyAlignment="1">
      <alignment horizontal="center" vertical="center"/>
    </xf>
    <xf numFmtId="4" fontId="21" fillId="0" borderId="9" xfId="8" applyNumberFormat="1" applyFont="1" applyFill="1" applyBorder="1" applyAlignment="1">
      <alignment horizontal="center" vertical="center"/>
    </xf>
    <xf numFmtId="4" fontId="21" fillId="0" borderId="0" xfId="0" applyNumberFormat="1" applyFont="1" applyAlignment="1">
      <alignment vertical="center"/>
    </xf>
    <xf numFmtId="0" fontId="21" fillId="0" borderId="2" xfId="9" applyFont="1" applyBorder="1" applyAlignment="1">
      <alignment horizontal="left"/>
    </xf>
    <xf numFmtId="0" fontId="21" fillId="0" borderId="9" xfId="9" applyFont="1" applyBorder="1" applyAlignment="1">
      <alignment horizontal="left"/>
    </xf>
    <xf numFmtId="4" fontId="30" fillId="0" borderId="16" xfId="0" applyNumberFormat="1" applyFont="1" applyBorder="1" applyAlignment="1">
      <alignment horizontal="center" vertical="center"/>
    </xf>
    <xf numFmtId="4" fontId="22" fillId="0" borderId="4" xfId="0" applyNumberFormat="1" applyFont="1" applyBorder="1" applyAlignment="1">
      <alignment horizontal="center" vertical="center"/>
    </xf>
    <xf numFmtId="0" fontId="21" fillId="0" borderId="17" xfId="9" applyFont="1" applyBorder="1" applyAlignment="1">
      <alignment horizontal="left"/>
    </xf>
    <xf numFmtId="164" fontId="22" fillId="0" borderId="6" xfId="8" applyFont="1" applyFill="1" applyBorder="1" applyAlignment="1">
      <alignment horizontal="center" vertical="center"/>
    </xf>
    <xf numFmtId="164" fontId="21" fillId="0" borderId="6" xfId="8" applyFont="1" applyFill="1" applyBorder="1" applyAlignment="1">
      <alignment horizontal="center" vertical="center"/>
    </xf>
    <xf numFmtId="4" fontId="21" fillId="0" borderId="6" xfId="8" applyNumberFormat="1" applyFont="1" applyFill="1" applyBorder="1" applyAlignment="1">
      <alignment horizontal="center" vertical="center"/>
    </xf>
    <xf numFmtId="4" fontId="21" fillId="0" borderId="6" xfId="0" applyNumberFormat="1" applyFont="1" applyBorder="1" applyAlignment="1">
      <alignment horizontal="center" vertical="center"/>
    </xf>
    <xf numFmtId="4" fontId="21" fillId="0" borderId="1" xfId="0" applyNumberFormat="1" applyFont="1" applyBorder="1" applyAlignment="1">
      <alignment horizontal="center" vertical="center"/>
    </xf>
    <xf numFmtId="4" fontId="21" fillId="0" borderId="17" xfId="0" applyNumberFormat="1" applyFont="1" applyBorder="1" applyAlignment="1">
      <alignment horizontal="center" vertical="center"/>
    </xf>
    <xf numFmtId="4" fontId="21" fillId="0" borderId="5" xfId="0" applyNumberFormat="1" applyFont="1" applyBorder="1" applyAlignment="1">
      <alignment horizontal="center" vertical="center"/>
    </xf>
    <xf numFmtId="4" fontId="22" fillId="0" borderId="1" xfId="0" applyNumberFormat="1" applyFont="1" applyBorder="1" applyAlignment="1">
      <alignment horizontal="center" vertical="center"/>
    </xf>
    <xf numFmtId="4" fontId="22" fillId="0" borderId="17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" borderId="18" xfId="0" applyFont="1" applyFill="1" applyBorder="1" applyAlignment="1">
      <alignment vertical="center"/>
    </xf>
    <xf numFmtId="0" fontId="22" fillId="2" borderId="19" xfId="0" applyFont="1" applyFill="1" applyBorder="1" applyAlignment="1">
      <alignment horizontal="right" vertical="center"/>
    </xf>
    <xf numFmtId="3" fontId="22" fillId="2" borderId="20" xfId="0" applyNumberFormat="1" applyFont="1" applyFill="1" applyBorder="1" applyAlignment="1">
      <alignment horizontal="center" vertical="center"/>
    </xf>
    <xf numFmtId="3" fontId="30" fillId="2" borderId="20" xfId="0" applyNumberFormat="1" applyFont="1" applyFill="1" applyBorder="1" applyAlignment="1">
      <alignment horizontal="center" vertical="center"/>
    </xf>
    <xf numFmtId="4" fontId="22" fillId="2" borderId="20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vertical="center"/>
    </xf>
    <xf numFmtId="3" fontId="21" fillId="0" borderId="0" xfId="0" applyNumberFormat="1" applyFont="1" applyAlignment="1">
      <alignment vertical="center"/>
    </xf>
    <xf numFmtId="3" fontId="21" fillId="0" borderId="0" xfId="0" applyNumberFormat="1" applyFont="1" applyAlignment="1">
      <alignment horizontal="center" vertical="center"/>
    </xf>
    <xf numFmtId="0" fontId="21" fillId="0" borderId="1" xfId="9" applyFont="1" applyBorder="1" applyAlignment="1">
      <alignment horizontal="left" wrapText="1"/>
    </xf>
    <xf numFmtId="2" fontId="21" fillId="0" borderId="0" xfId="0" applyNumberFormat="1" applyFont="1" applyAlignment="1">
      <alignment vertical="center"/>
    </xf>
    <xf numFmtId="10" fontId="1" fillId="0" borderId="0" xfId="1" applyNumberFormat="1" applyFont="1" applyFill="1" applyAlignment="1">
      <alignment horizontal="center" vertical="center"/>
    </xf>
    <xf numFmtId="2" fontId="29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0" fillId="0" borderId="0" xfId="0" applyAlignment="1">
      <alignment vertical="center"/>
    </xf>
    <xf numFmtId="0" fontId="22" fillId="7" borderId="18" xfId="0" applyFont="1" applyFill="1" applyBorder="1" applyAlignment="1">
      <alignment vertical="center"/>
    </xf>
    <xf numFmtId="0" fontId="22" fillId="7" borderId="19" xfId="0" applyFont="1" applyFill="1" applyBorder="1" applyAlignment="1">
      <alignment horizontal="right" vertical="center"/>
    </xf>
    <xf numFmtId="170" fontId="22" fillId="7" borderId="20" xfId="10" applyNumberFormat="1" applyFont="1" applyFill="1" applyBorder="1" applyAlignment="1">
      <alignment horizontal="center" vertical="center"/>
    </xf>
    <xf numFmtId="3" fontId="22" fillId="7" borderId="20" xfId="0" applyNumberFormat="1" applyFont="1" applyFill="1" applyBorder="1" applyAlignment="1">
      <alignment horizontal="center" vertical="center"/>
    </xf>
    <xf numFmtId="0" fontId="22" fillId="6" borderId="9" xfId="0" applyFont="1" applyFill="1" applyBorder="1" applyAlignment="1">
      <alignment horizontal="center" vertical="center"/>
    </xf>
    <xf numFmtId="1" fontId="22" fillId="6" borderId="9" xfId="0" applyNumberFormat="1" applyFont="1" applyFill="1" applyBorder="1" applyAlignment="1">
      <alignment horizontal="center" vertical="center" wrapText="1"/>
    </xf>
    <xf numFmtId="164" fontId="33" fillId="0" borderId="9" xfId="8" applyFont="1" applyFill="1" applyBorder="1" applyAlignment="1">
      <alignment horizontal="center" vertical="center"/>
    </xf>
    <xf numFmtId="10" fontId="0" fillId="0" borderId="0" xfId="1" applyNumberFormat="1" applyFont="1" applyFill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horizontal="center" vertical="center"/>
    </xf>
    <xf numFmtId="2" fontId="21" fillId="0" borderId="9" xfId="0" applyNumberFormat="1" applyFont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3" fontId="22" fillId="7" borderId="18" xfId="0" applyNumberFormat="1" applyFont="1" applyFill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1" fillId="0" borderId="2" xfId="0" applyFont="1" applyBorder="1" applyAlignment="1">
      <alignment vertical="center"/>
    </xf>
    <xf numFmtId="0" fontId="0" fillId="0" borderId="9" xfId="0" applyBorder="1"/>
    <xf numFmtId="4" fontId="0" fillId="0" borderId="9" xfId="0" applyNumberFormat="1" applyBorder="1" applyAlignment="1">
      <alignment horizontal="center"/>
    </xf>
    <xf numFmtId="49" fontId="22" fillId="6" borderId="9" xfId="0" applyNumberFormat="1" applyFont="1" applyFill="1" applyBorder="1" applyAlignment="1">
      <alignment horizontal="center" vertical="center"/>
    </xf>
    <xf numFmtId="4" fontId="0" fillId="0" borderId="2" xfId="0" applyNumberFormat="1" applyBorder="1" applyAlignment="1">
      <alignment horizontal="center"/>
    </xf>
    <xf numFmtId="9" fontId="22" fillId="6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5" fillId="0" borderId="0" xfId="2" applyFont="1" applyAlignment="1">
      <alignment wrapText="1"/>
    </xf>
    <xf numFmtId="0" fontId="6" fillId="0" borderId="0" xfId="2" applyFont="1" applyAlignment="1">
      <alignment wrapText="1"/>
    </xf>
    <xf numFmtId="0" fontId="13" fillId="0" borderId="0" xfId="2" applyFont="1" applyAlignment="1">
      <alignment wrapText="1"/>
    </xf>
    <xf numFmtId="0" fontId="22" fillId="7" borderId="20" xfId="0" applyFont="1" applyFill="1" applyBorder="1" applyAlignment="1">
      <alignment horizontal="right" vertical="center"/>
    </xf>
    <xf numFmtId="4" fontId="0" fillId="8" borderId="2" xfId="0" applyNumberFormat="1" applyFill="1" applyBorder="1" applyAlignment="1">
      <alignment horizontal="center"/>
    </xf>
    <xf numFmtId="4" fontId="0" fillId="8" borderId="9" xfId="0" applyNumberFormat="1" applyFill="1" applyBorder="1" applyAlignment="1">
      <alignment horizontal="center"/>
    </xf>
    <xf numFmtId="171" fontId="22" fillId="7" borderId="20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20" xfId="0" applyBorder="1"/>
    <xf numFmtId="164" fontId="0" fillId="0" borderId="9" xfId="10" applyFont="1" applyBorder="1"/>
    <xf numFmtId="164" fontId="0" fillId="0" borderId="9" xfId="0" applyNumberFormat="1" applyBorder="1"/>
    <xf numFmtId="164" fontId="20" fillId="0" borderId="8" xfId="8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" xfId="9" applyFont="1" applyBorder="1" applyAlignment="1">
      <alignment horizontal="left"/>
    </xf>
    <xf numFmtId="0" fontId="20" fillId="0" borderId="9" xfId="9" applyFont="1" applyBorder="1" applyAlignment="1">
      <alignment horizontal="left" wrapText="1"/>
    </xf>
    <xf numFmtId="164" fontId="20" fillId="0" borderId="9" xfId="8" applyFont="1" applyFill="1" applyBorder="1" applyAlignment="1">
      <alignment horizontal="center" vertical="center"/>
    </xf>
    <xf numFmtId="4" fontId="20" fillId="0" borderId="9" xfId="8" applyNumberFormat="1" applyFont="1" applyFill="1" applyBorder="1" applyAlignment="1">
      <alignment horizontal="center" vertical="center"/>
    </xf>
    <xf numFmtId="4" fontId="20" fillId="0" borderId="2" xfId="0" applyNumberFormat="1" applyFont="1" applyBorder="1" applyAlignment="1">
      <alignment horizontal="center"/>
    </xf>
    <xf numFmtId="4" fontId="20" fillId="0" borderId="9" xfId="0" applyNumberFormat="1" applyFont="1" applyBorder="1" applyAlignment="1">
      <alignment horizontal="center" vertical="center"/>
    </xf>
    <xf numFmtId="4" fontId="20" fillId="0" borderId="9" xfId="0" applyNumberFormat="1" applyFont="1" applyBorder="1" applyAlignment="1">
      <alignment horizontal="center"/>
    </xf>
    <xf numFmtId="4" fontId="20" fillId="8" borderId="2" xfId="0" applyNumberFormat="1" applyFont="1" applyFill="1" applyBorder="1" applyAlignment="1">
      <alignment horizontal="center"/>
    </xf>
    <xf numFmtId="0" fontId="20" fillId="0" borderId="0" xfId="0" applyFont="1"/>
    <xf numFmtId="164" fontId="20" fillId="0" borderId="9" xfId="10" applyFont="1" applyBorder="1"/>
    <xf numFmtId="0" fontId="20" fillId="0" borderId="9" xfId="0" applyFont="1" applyBorder="1"/>
    <xf numFmtId="164" fontId="20" fillId="0" borderId="9" xfId="0" applyNumberFormat="1" applyFont="1" applyBorder="1"/>
    <xf numFmtId="0" fontId="20" fillId="0" borderId="9" xfId="0" applyFont="1" applyBorder="1" applyAlignment="1">
      <alignment horizontal="left" vertical="center"/>
    </xf>
    <xf numFmtId="4" fontId="20" fillId="8" borderId="9" xfId="0" applyNumberFormat="1" applyFont="1" applyFill="1" applyBorder="1" applyAlignment="1">
      <alignment horizontal="center"/>
    </xf>
    <xf numFmtId="164" fontId="1" fillId="0" borderId="9" xfId="10" applyFont="1" applyBorder="1"/>
    <xf numFmtId="0" fontId="5" fillId="0" borderId="9" xfId="2" applyFont="1" applyBorder="1" applyAlignment="1">
      <alignment horizontal="center" wrapText="1"/>
    </xf>
    <xf numFmtId="0" fontId="19" fillId="0" borderId="9" xfId="2" applyFont="1" applyBorder="1" applyAlignment="1">
      <alignment horizontal="center" wrapText="1"/>
    </xf>
    <xf numFmtId="0" fontId="5" fillId="0" borderId="9" xfId="2" applyFont="1" applyBorder="1" applyAlignment="1">
      <alignment wrapText="1"/>
    </xf>
    <xf numFmtId="4" fontId="6" fillId="0" borderId="9" xfId="2" applyNumberFormat="1" applyFont="1" applyBorder="1" applyAlignment="1">
      <alignment wrapText="1"/>
    </xf>
    <xf numFmtId="0" fontId="6" fillId="0" borderId="9" xfId="2" applyFont="1" applyBorder="1" applyAlignment="1">
      <alignment wrapText="1"/>
    </xf>
    <xf numFmtId="4" fontId="37" fillId="0" borderId="9" xfId="2" applyNumberFormat="1" applyFont="1" applyBorder="1" applyAlignment="1">
      <alignment horizontal="center" wrapText="1"/>
    </xf>
    <xf numFmtId="0" fontId="22" fillId="7" borderId="0" xfId="0" applyFont="1" applyFill="1" applyAlignment="1">
      <alignment vertical="center"/>
    </xf>
    <xf numFmtId="0" fontId="22" fillId="7" borderId="0" xfId="0" applyFont="1" applyFill="1" applyAlignment="1">
      <alignment horizontal="right" vertical="center"/>
    </xf>
    <xf numFmtId="170" fontId="22" fillId="7" borderId="0" xfId="10" applyNumberFormat="1" applyFont="1" applyFill="1" applyBorder="1" applyAlignment="1">
      <alignment horizontal="center" vertical="center"/>
    </xf>
    <xf numFmtId="3" fontId="22" fillId="7" borderId="0" xfId="0" applyNumberFormat="1" applyFont="1" applyFill="1" applyAlignment="1">
      <alignment horizontal="center" vertical="center"/>
    </xf>
    <xf numFmtId="14" fontId="5" fillId="0" borderId="0" xfId="5" applyNumberFormat="1" applyFont="1" applyFill="1" applyBorder="1" applyAlignment="1" applyProtection="1">
      <alignment horizontal="center"/>
      <protection locked="0"/>
    </xf>
    <xf numFmtId="14" fontId="5" fillId="0" borderId="0" xfId="5" applyNumberFormat="1" applyFont="1" applyFill="1" applyBorder="1" applyAlignment="1" applyProtection="1">
      <alignment horizontal="left"/>
      <protection locked="0"/>
    </xf>
    <xf numFmtId="164" fontId="5" fillId="0" borderId="0" xfId="3" applyFont="1" applyFill="1" applyAlignment="1">
      <alignment horizontal="center"/>
    </xf>
    <xf numFmtId="9" fontId="6" fillId="0" borderId="8" xfId="4" applyFont="1" applyFill="1" applyBorder="1" applyAlignment="1">
      <alignment horizontal="center"/>
    </xf>
    <xf numFmtId="0" fontId="35" fillId="0" borderId="0" xfId="2" applyFont="1" applyAlignment="1">
      <alignment horizontal="center"/>
    </xf>
    <xf numFmtId="4" fontId="37" fillId="0" borderId="0" xfId="2" applyNumberFormat="1" applyFont="1"/>
    <xf numFmtId="4" fontId="35" fillId="0" borderId="0" xfId="2" applyNumberFormat="1" applyFont="1"/>
    <xf numFmtId="0" fontId="6" fillId="0" borderId="1" xfId="2" applyFont="1" applyBorder="1" applyAlignment="1">
      <alignment horizontal="center"/>
    </xf>
    <xf numFmtId="4" fontId="6" fillId="0" borderId="1" xfId="2" applyNumberFormat="1" applyFont="1" applyBorder="1" applyAlignment="1">
      <alignment horizontal="center"/>
    </xf>
    <xf numFmtId="10" fontId="37" fillId="0" borderId="5" xfId="2" applyNumberFormat="1" applyFont="1" applyBorder="1" applyAlignment="1">
      <alignment horizontal="center"/>
    </xf>
    <xf numFmtId="10" fontId="6" fillId="0" borderId="5" xfId="2" applyNumberFormat="1" applyFont="1" applyBorder="1" applyAlignment="1">
      <alignment horizontal="center"/>
    </xf>
    <xf numFmtId="4" fontId="6" fillId="0" borderId="5" xfId="2" applyNumberFormat="1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5" xfId="2" applyFont="1" applyBorder="1" applyAlignment="1">
      <alignment horizontal="left"/>
    </xf>
    <xf numFmtId="4" fontId="5" fillId="0" borderId="1" xfId="2" applyNumberFormat="1" applyFont="1" applyBorder="1" applyAlignment="1">
      <alignment horizontal="center"/>
    </xf>
    <xf numFmtId="4" fontId="6" fillId="0" borderId="6" xfId="2" applyNumberFormat="1" applyFont="1" applyBorder="1" applyAlignment="1">
      <alignment horizontal="center"/>
    </xf>
    <xf numFmtId="4" fontId="37" fillId="0" borderId="6" xfId="2" applyNumberFormat="1" applyFont="1" applyBorder="1" applyAlignment="1">
      <alignment horizontal="center"/>
    </xf>
    <xf numFmtId="4" fontId="6" fillId="0" borderId="7" xfId="2" applyNumberFormat="1" applyFont="1" applyBorder="1" applyAlignment="1">
      <alignment horizontal="center"/>
    </xf>
    <xf numFmtId="0" fontId="37" fillId="0" borderId="6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6" fillId="0" borderId="8" xfId="2" applyFont="1" applyBorder="1" applyAlignment="1">
      <alignment horizontal="left"/>
    </xf>
    <xf numFmtId="4" fontId="6" fillId="0" borderId="8" xfId="2" applyNumberFormat="1" applyFont="1" applyBorder="1" applyAlignment="1">
      <alignment horizontal="center"/>
    </xf>
    <xf numFmtId="4" fontId="5" fillId="0" borderId="8" xfId="2" applyNumberFormat="1" applyFont="1" applyBorder="1" applyAlignment="1">
      <alignment horizontal="center"/>
    </xf>
    <xf numFmtId="4" fontId="37" fillId="0" borderId="8" xfId="2" applyNumberFormat="1" applyFont="1" applyBorder="1" applyAlignment="1">
      <alignment horizontal="center"/>
    </xf>
    <xf numFmtId="4" fontId="35" fillId="0" borderId="6" xfId="2" applyNumberFormat="1" applyFont="1" applyBorder="1"/>
    <xf numFmtId="4" fontId="12" fillId="0" borderId="21" xfId="2" applyNumberFormat="1" applyFont="1" applyBorder="1"/>
    <xf numFmtId="4" fontId="12" fillId="0" borderId="7" xfId="2" applyNumberFormat="1" applyFont="1" applyBorder="1"/>
    <xf numFmtId="4" fontId="37" fillId="0" borderId="6" xfId="2" applyNumberFormat="1" applyFont="1" applyBorder="1"/>
    <xf numFmtId="14" fontId="35" fillId="0" borderId="6" xfId="5" applyNumberFormat="1" applyFont="1" applyFill="1" applyBorder="1" applyAlignment="1" applyProtection="1">
      <alignment horizontal="center"/>
      <protection locked="0"/>
    </xf>
    <xf numFmtId="14" fontId="35" fillId="0" borderId="6" xfId="5" applyNumberFormat="1" applyFont="1" applyFill="1" applyBorder="1" applyAlignment="1" applyProtection="1">
      <alignment horizontal="left"/>
      <protection locked="0"/>
    </xf>
    <xf numFmtId="0" fontId="35" fillId="0" borderId="0" xfId="2" applyFont="1"/>
    <xf numFmtId="167" fontId="5" fillId="0" borderId="21" xfId="5" applyNumberFormat="1" applyFont="1" applyFill="1" applyBorder="1" applyAlignment="1" applyProtection="1">
      <alignment horizontal="left"/>
      <protection locked="0"/>
    </xf>
    <xf numFmtId="168" fontId="5" fillId="0" borderId="0" xfId="2" applyNumberFormat="1" applyFont="1" applyAlignment="1">
      <alignment horizontal="center"/>
    </xf>
    <xf numFmtId="1" fontId="6" fillId="0" borderId="0" xfId="2" applyNumberFormat="1" applyFont="1"/>
    <xf numFmtId="0" fontId="1" fillId="0" borderId="0" xfId="0" applyFont="1"/>
    <xf numFmtId="4" fontId="39" fillId="0" borderId="6" xfId="2" applyNumberFormat="1" applyFont="1" applyBorder="1"/>
    <xf numFmtId="0" fontId="10" fillId="0" borderId="0" xfId="0" applyFont="1" applyAlignment="1">
      <alignment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6" fillId="0" borderId="6" xfId="2" applyFont="1" applyBorder="1" applyAlignment="1">
      <alignment vertical="center"/>
    </xf>
    <xf numFmtId="0" fontId="6" fillId="0" borderId="8" xfId="2" applyFont="1" applyBorder="1" applyAlignment="1">
      <alignment vertical="center"/>
    </xf>
    <xf numFmtId="0" fontId="10" fillId="0" borderId="0" xfId="2" applyFont="1" applyAlignment="1">
      <alignment vertical="center"/>
    </xf>
    <xf numFmtId="0" fontId="14" fillId="0" borderId="0" xfId="2" applyFont="1" applyAlignment="1">
      <alignment vertical="center"/>
    </xf>
    <xf numFmtId="0" fontId="5" fillId="0" borderId="6" xfId="2" applyFont="1" applyBorder="1" applyAlignment="1">
      <alignment vertical="center"/>
    </xf>
    <xf numFmtId="167" fontId="35" fillId="0" borderId="21" xfId="5" applyNumberFormat="1" applyFont="1" applyFill="1" applyBorder="1" applyAlignment="1" applyProtection="1">
      <alignment horizontal="left"/>
      <protection locked="0"/>
    </xf>
    <xf numFmtId="0" fontId="35" fillId="9" borderId="6" xfId="2" applyFont="1" applyFill="1" applyBorder="1"/>
    <xf numFmtId="0" fontId="5" fillId="9" borderId="6" xfId="2" applyFont="1" applyFill="1" applyBorder="1"/>
    <xf numFmtId="0" fontId="10" fillId="9" borderId="0" xfId="2" applyFont="1" applyFill="1" applyAlignment="1">
      <alignment vertical="center"/>
    </xf>
    <xf numFmtId="0" fontId="5" fillId="9" borderId="6" xfId="2" applyFont="1" applyFill="1" applyBorder="1" applyAlignment="1">
      <alignment horizontal="center"/>
    </xf>
    <xf numFmtId="49" fontId="5" fillId="9" borderId="6" xfId="2" applyNumberFormat="1" applyFont="1" applyFill="1" applyBorder="1" applyAlignment="1">
      <alignment horizontal="center"/>
    </xf>
    <xf numFmtId="14" fontId="5" fillId="9" borderId="6" xfId="5" applyNumberFormat="1" applyFont="1" applyFill="1" applyBorder="1" applyAlignment="1" applyProtection="1">
      <alignment horizontal="center"/>
      <protection locked="0"/>
    </xf>
    <xf numFmtId="14" fontId="5" fillId="9" borderId="6" xfId="5" applyNumberFormat="1" applyFont="1" applyFill="1" applyBorder="1" applyAlignment="1" applyProtection="1">
      <alignment horizontal="left"/>
      <protection locked="0"/>
    </xf>
    <xf numFmtId="167" fontId="5" fillId="9" borderId="6" xfId="5" applyNumberFormat="1" applyFont="1" applyFill="1" applyBorder="1" applyAlignment="1" applyProtection="1">
      <alignment horizontal="left"/>
      <protection locked="0"/>
    </xf>
    <xf numFmtId="4" fontId="5" fillId="9" borderId="6" xfId="2" applyNumberFormat="1" applyFont="1" applyFill="1" applyBorder="1"/>
    <xf numFmtId="4" fontId="39" fillId="9" borderId="6" xfId="2" applyNumberFormat="1" applyFont="1" applyFill="1" applyBorder="1"/>
    <xf numFmtId="9" fontId="12" fillId="9" borderId="6" xfId="2" applyNumberFormat="1" applyFont="1" applyFill="1" applyBorder="1" applyAlignment="1">
      <alignment horizontal="center"/>
    </xf>
    <xf numFmtId="4" fontId="12" fillId="9" borderId="6" xfId="2" applyNumberFormat="1" applyFont="1" applyFill="1" applyBorder="1"/>
    <xf numFmtId="10" fontId="5" fillId="9" borderId="6" xfId="2" applyNumberFormat="1" applyFont="1" applyFill="1" applyBorder="1"/>
    <xf numFmtId="4" fontId="35" fillId="9" borderId="6" xfId="2" applyNumberFormat="1" applyFont="1" applyFill="1" applyBorder="1"/>
    <xf numFmtId="4" fontId="12" fillId="9" borderId="21" xfId="2" applyNumberFormat="1" applyFont="1" applyFill="1" applyBorder="1"/>
    <xf numFmtId="4" fontId="5" fillId="9" borderId="7" xfId="2" applyNumberFormat="1" applyFont="1" applyFill="1" applyBorder="1"/>
    <xf numFmtId="4" fontId="0" fillId="9" borderId="9" xfId="0" applyNumberFormat="1" applyFill="1" applyBorder="1"/>
    <xf numFmtId="0" fontId="5" fillId="9" borderId="0" xfId="2" applyFont="1" applyFill="1" applyAlignment="1">
      <alignment horizontal="center"/>
    </xf>
    <xf numFmtId="4" fontId="6" fillId="0" borderId="26" xfId="2" applyNumberFormat="1" applyFont="1" applyBorder="1"/>
    <xf numFmtId="4" fontId="6" fillId="0" borderId="28" xfId="2" applyNumberFormat="1" applyFont="1" applyBorder="1"/>
    <xf numFmtId="0" fontId="35" fillId="0" borderId="6" xfId="2" applyFont="1" applyBorder="1"/>
    <xf numFmtId="1" fontId="38" fillId="0" borderId="6" xfId="2" applyNumberFormat="1" applyFont="1" applyBorder="1"/>
    <xf numFmtId="4" fontId="5" fillId="0" borderId="21" xfId="2" applyNumberFormat="1" applyFont="1" applyBorder="1"/>
    <xf numFmtId="4" fontId="5" fillId="0" borderId="7" xfId="2" applyNumberFormat="1" applyFont="1" applyBorder="1"/>
    <xf numFmtId="0" fontId="35" fillId="0" borderId="6" xfId="2" applyFont="1" applyBorder="1" applyAlignment="1">
      <alignment horizontal="center"/>
    </xf>
    <xf numFmtId="0" fontId="36" fillId="0" borderId="0" xfId="2" applyFont="1" applyAlignment="1">
      <alignment vertical="center"/>
    </xf>
    <xf numFmtId="168" fontId="35" fillId="0" borderId="6" xfId="2" applyNumberFormat="1" applyFont="1" applyBorder="1" applyAlignment="1">
      <alignment horizontal="center"/>
    </xf>
    <xf numFmtId="9" fontId="35" fillId="0" borderId="6" xfId="2" applyNumberFormat="1" applyFont="1" applyBorder="1" applyAlignment="1">
      <alignment horizontal="center"/>
    </xf>
    <xf numFmtId="9" fontId="5" fillId="0" borderId="0" xfId="2" applyNumberFormat="1" applyFont="1" applyAlignment="1">
      <alignment horizontal="center"/>
    </xf>
    <xf numFmtId="1" fontId="5" fillId="0" borderId="1" xfId="2" applyNumberFormat="1" applyFont="1" applyBorder="1"/>
    <xf numFmtId="4" fontId="35" fillId="0" borderId="8" xfId="2" applyNumberFormat="1" applyFont="1" applyBorder="1"/>
    <xf numFmtId="0" fontId="5" fillId="0" borderId="8" xfId="2" applyFont="1" applyBorder="1" applyAlignment="1">
      <alignment vertical="center"/>
    </xf>
    <xf numFmtId="0" fontId="10" fillId="9" borderId="6" xfId="0" applyFont="1" applyFill="1" applyBorder="1" applyAlignment="1">
      <alignment vertical="center"/>
    </xf>
    <xf numFmtId="168" fontId="5" fillId="9" borderId="6" xfId="2" applyNumberFormat="1" applyFont="1" applyFill="1" applyBorder="1" applyAlignment="1">
      <alignment horizontal="center"/>
    </xf>
    <xf numFmtId="4" fontId="6" fillId="9" borderId="6" xfId="2" applyNumberFormat="1" applyFont="1" applyFill="1" applyBorder="1"/>
    <xf numFmtId="9" fontId="5" fillId="9" borderId="6" xfId="2" applyNumberFormat="1" applyFont="1" applyFill="1" applyBorder="1" applyAlignment="1">
      <alignment horizontal="center"/>
    </xf>
    <xf numFmtId="1" fontId="5" fillId="9" borderId="6" xfId="2" applyNumberFormat="1" applyFont="1" applyFill="1" applyBorder="1"/>
    <xf numFmtId="0" fontId="5" fillId="9" borderId="0" xfId="2" applyFont="1" applyFill="1"/>
    <xf numFmtId="4" fontId="6" fillId="9" borderId="0" xfId="2" applyNumberFormat="1" applyFont="1" applyFill="1"/>
    <xf numFmtId="4" fontId="5" fillId="9" borderId="0" xfId="2" applyNumberFormat="1" applyFont="1" applyFill="1"/>
    <xf numFmtId="0" fontId="0" fillId="9" borderId="0" xfId="0" applyFill="1"/>
    <xf numFmtId="0" fontId="6" fillId="10" borderId="9" xfId="2" applyFont="1" applyFill="1" applyBorder="1" applyAlignment="1">
      <alignment horizontal="center"/>
    </xf>
    <xf numFmtId="0" fontId="33" fillId="10" borderId="9" xfId="0" applyFont="1" applyFill="1" applyBorder="1"/>
    <xf numFmtId="4" fontId="33" fillId="10" borderId="9" xfId="0" applyNumberFormat="1" applyFont="1" applyFill="1" applyBorder="1"/>
    <xf numFmtId="0" fontId="5" fillId="4" borderId="0" xfId="2" applyFont="1" applyFill="1" applyAlignment="1">
      <alignment horizontal="center"/>
    </xf>
    <xf numFmtId="0" fontId="0" fillId="4" borderId="0" xfId="0" applyFill="1"/>
    <xf numFmtId="164" fontId="5" fillId="9" borderId="6" xfId="3" applyFont="1" applyFill="1" applyBorder="1"/>
    <xf numFmtId="0" fontId="5" fillId="9" borderId="0" xfId="2" applyFont="1" applyFill="1" applyAlignment="1">
      <alignment vertical="center"/>
    </xf>
    <xf numFmtId="4" fontId="5" fillId="9" borderId="21" xfId="2" applyNumberFormat="1" applyFont="1" applyFill="1" applyBorder="1"/>
    <xf numFmtId="9" fontId="5" fillId="0" borderId="7" xfId="2" applyNumberFormat="1" applyFont="1" applyBorder="1" applyAlignment="1">
      <alignment horizontal="center"/>
    </xf>
    <xf numFmtId="1" fontId="12" fillId="0" borderId="32" xfId="2" applyNumberFormat="1" applyFont="1" applyBorder="1"/>
    <xf numFmtId="0" fontId="5" fillId="0" borderId="0" xfId="2" applyFont="1" applyAlignment="1">
      <alignment horizontal="left" vertical="center" wrapText="1"/>
    </xf>
    <xf numFmtId="1" fontId="6" fillId="0" borderId="29" xfId="2" applyNumberFormat="1" applyFont="1" applyBorder="1"/>
    <xf numFmtId="1" fontId="12" fillId="0" borderId="31" xfId="2" applyNumberFormat="1" applyFont="1" applyBorder="1"/>
    <xf numFmtId="1" fontId="5" fillId="0" borderId="25" xfId="2" applyNumberFormat="1" applyFont="1" applyBorder="1"/>
    <xf numFmtId="0" fontId="5" fillId="0" borderId="6" xfId="2" applyFont="1" applyBorder="1" applyAlignment="1">
      <alignment horizontal="right"/>
    </xf>
    <xf numFmtId="4" fontId="5" fillId="0" borderId="27" xfId="2" applyNumberFormat="1" applyFont="1" applyBorder="1"/>
    <xf numFmtId="0" fontId="41" fillId="0" borderId="0" xfId="2" applyFont="1" applyAlignment="1">
      <alignment horizontal="center"/>
    </xf>
    <xf numFmtId="0" fontId="41" fillId="0" borderId="6" xfId="2" applyFont="1" applyBorder="1" applyAlignment="1">
      <alignment horizontal="center"/>
    </xf>
    <xf numFmtId="0" fontId="41" fillId="0" borderId="6" xfId="2" applyFont="1" applyBorder="1"/>
    <xf numFmtId="0" fontId="42" fillId="0" borderId="0" xfId="2" applyFont="1" applyAlignment="1">
      <alignment vertical="center"/>
    </xf>
    <xf numFmtId="49" fontId="41" fillId="0" borderId="6" xfId="2" applyNumberFormat="1" applyFont="1" applyBorder="1" applyAlignment="1">
      <alignment horizontal="center"/>
    </xf>
    <xf numFmtId="14" fontId="41" fillId="0" borderId="6" xfId="5" applyNumberFormat="1" applyFont="1" applyFill="1" applyBorder="1" applyAlignment="1" applyProtection="1">
      <alignment horizontal="center"/>
      <protection locked="0"/>
    </xf>
    <xf numFmtId="14" fontId="41" fillId="0" borderId="6" xfId="5" applyNumberFormat="1" applyFont="1" applyFill="1" applyBorder="1" applyAlignment="1" applyProtection="1">
      <alignment horizontal="left"/>
      <protection locked="0"/>
    </xf>
    <xf numFmtId="167" fontId="41" fillId="0" borderId="6" xfId="5" applyNumberFormat="1" applyFont="1" applyFill="1" applyBorder="1" applyAlignment="1" applyProtection="1">
      <alignment horizontal="left"/>
      <protection locked="0"/>
    </xf>
    <xf numFmtId="4" fontId="41" fillId="0" borderId="6" xfId="2" applyNumberFormat="1" applyFont="1" applyBorder="1"/>
    <xf numFmtId="9" fontId="41" fillId="0" borderId="6" xfId="2" applyNumberFormat="1" applyFont="1" applyBorder="1" applyAlignment="1">
      <alignment horizontal="center"/>
    </xf>
    <xf numFmtId="10" fontId="41" fillId="0" borderId="6" xfId="2" applyNumberFormat="1" applyFont="1" applyBorder="1"/>
    <xf numFmtId="4" fontId="43" fillId="0" borderId="0" xfId="2" applyNumberFormat="1" applyFont="1"/>
    <xf numFmtId="0" fontId="41" fillId="0" borderId="0" xfId="2" applyFont="1"/>
    <xf numFmtId="0" fontId="41" fillId="9" borderId="6" xfId="2" applyFont="1" applyFill="1" applyBorder="1"/>
    <xf numFmtId="0" fontId="42" fillId="9" borderId="0" xfId="2" applyFont="1" applyFill="1" applyAlignment="1">
      <alignment vertical="center"/>
    </xf>
    <xf numFmtId="0" fontId="41" fillId="9" borderId="6" xfId="2" applyFont="1" applyFill="1" applyBorder="1" applyAlignment="1">
      <alignment horizontal="center"/>
    </xf>
    <xf numFmtId="49" fontId="41" fillId="9" borderId="6" xfId="2" applyNumberFormat="1" applyFont="1" applyFill="1" applyBorder="1" applyAlignment="1">
      <alignment horizontal="center"/>
    </xf>
    <xf numFmtId="14" fontId="41" fillId="9" borderId="6" xfId="5" applyNumberFormat="1" applyFont="1" applyFill="1" applyBorder="1" applyAlignment="1" applyProtection="1">
      <alignment horizontal="center"/>
      <protection locked="0"/>
    </xf>
    <xf numFmtId="14" fontId="41" fillId="9" borderId="6" xfId="5" applyNumberFormat="1" applyFont="1" applyFill="1" applyBorder="1" applyAlignment="1" applyProtection="1">
      <alignment horizontal="left"/>
      <protection locked="0"/>
    </xf>
    <xf numFmtId="167" fontId="41" fillId="9" borderId="6" xfId="5" applyNumberFormat="1" applyFont="1" applyFill="1" applyBorder="1" applyAlignment="1" applyProtection="1">
      <alignment horizontal="left"/>
      <protection locked="0"/>
    </xf>
    <xf numFmtId="4" fontId="41" fillId="9" borderId="6" xfId="2" applyNumberFormat="1" applyFont="1" applyFill="1" applyBorder="1"/>
    <xf numFmtId="4" fontId="44" fillId="9" borderId="6" xfId="2" applyNumberFormat="1" applyFont="1" applyFill="1" applyBorder="1"/>
    <xf numFmtId="9" fontId="41" fillId="9" borderId="6" xfId="2" applyNumberFormat="1" applyFont="1" applyFill="1" applyBorder="1" applyAlignment="1">
      <alignment horizontal="center"/>
    </xf>
    <xf numFmtId="10" fontId="41" fillId="9" borderId="6" xfId="2" applyNumberFormat="1" applyFont="1" applyFill="1" applyBorder="1"/>
    <xf numFmtId="4" fontId="41" fillId="9" borderId="7" xfId="2" applyNumberFormat="1" applyFont="1" applyFill="1" applyBorder="1"/>
    <xf numFmtId="0" fontId="45" fillId="0" borderId="9" xfId="2" applyFont="1" applyBorder="1"/>
    <xf numFmtId="0" fontId="45" fillId="9" borderId="9" xfId="2" applyFont="1" applyFill="1" applyBorder="1"/>
    <xf numFmtId="0" fontId="46" fillId="2" borderId="9" xfId="0" applyFont="1" applyFill="1" applyBorder="1"/>
    <xf numFmtId="0" fontId="33" fillId="2" borderId="9" xfId="0" applyFont="1" applyFill="1" applyBorder="1" applyAlignment="1">
      <alignment horizontal="center"/>
    </xf>
    <xf numFmtId="0" fontId="6" fillId="2" borderId="9" xfId="2" applyFont="1" applyFill="1" applyBorder="1" applyAlignment="1">
      <alignment horizontal="center"/>
    </xf>
    <xf numFmtId="0" fontId="5" fillId="0" borderId="6" xfId="2" applyFont="1" applyBorder="1" applyAlignment="1">
      <alignment horizontal="left"/>
    </xf>
    <xf numFmtId="3" fontId="5" fillId="0" borderId="6" xfId="2" applyNumberFormat="1" applyFont="1" applyBorder="1"/>
    <xf numFmtId="14" fontId="5" fillId="0" borderId="21" xfId="5" applyNumberFormat="1" applyFont="1" applyFill="1" applyBorder="1" applyAlignment="1" applyProtection="1">
      <alignment horizontal="left"/>
      <protection locked="0"/>
    </xf>
    <xf numFmtId="3" fontId="5" fillId="0" borderId="30" xfId="2" applyNumberFormat="1" applyFont="1" applyBorder="1"/>
    <xf numFmtId="164" fontId="35" fillId="0" borderId="6" xfId="3" applyFont="1" applyFill="1" applyBorder="1"/>
    <xf numFmtId="4" fontId="6" fillId="0" borderId="4" xfId="2" applyNumberFormat="1" applyFont="1" applyBorder="1"/>
    <xf numFmtId="0" fontId="6" fillId="13" borderId="19" xfId="2" applyFont="1" applyFill="1" applyBorder="1" applyAlignment="1">
      <alignment horizontal="center"/>
    </xf>
    <xf numFmtId="0" fontId="6" fillId="13" borderId="23" xfId="2" applyFont="1" applyFill="1" applyBorder="1" applyAlignment="1">
      <alignment horizontal="center"/>
    </xf>
    <xf numFmtId="0" fontId="6" fillId="13" borderId="23" xfId="2" applyFont="1" applyFill="1" applyBorder="1"/>
    <xf numFmtId="0" fontId="16" fillId="13" borderId="19" xfId="2" applyFont="1" applyFill="1" applyBorder="1" applyAlignment="1">
      <alignment vertical="center"/>
    </xf>
    <xf numFmtId="166" fontId="6" fillId="13" borderId="23" xfId="2" applyNumberFormat="1" applyFont="1" applyFill="1" applyBorder="1" applyAlignment="1">
      <alignment horizontal="center"/>
    </xf>
    <xf numFmtId="14" fontId="6" fillId="13" borderId="23" xfId="5" applyNumberFormat="1" applyFont="1" applyFill="1" applyBorder="1" applyAlignment="1" applyProtection="1">
      <alignment horizontal="center"/>
      <protection locked="0"/>
    </xf>
    <xf numFmtId="167" fontId="6" fillId="13" borderId="23" xfId="5" applyNumberFormat="1" applyFont="1" applyFill="1" applyBorder="1" applyAlignment="1" applyProtection="1">
      <alignment horizontal="left"/>
      <protection locked="0"/>
    </xf>
    <xf numFmtId="4" fontId="6" fillId="13" borderId="23" xfId="2" applyNumberFormat="1" applyFont="1" applyFill="1" applyBorder="1"/>
    <xf numFmtId="4" fontId="6" fillId="13" borderId="25" xfId="2" applyNumberFormat="1" applyFont="1" applyFill="1" applyBorder="1"/>
    <xf numFmtId="0" fontId="6" fillId="13" borderId="18" xfId="2" applyFont="1" applyFill="1" applyBorder="1" applyAlignment="1">
      <alignment horizontal="center"/>
    </xf>
    <xf numFmtId="14" fontId="6" fillId="13" borderId="23" xfId="5" applyNumberFormat="1" applyFont="1" applyFill="1" applyBorder="1" applyAlignment="1" applyProtection="1">
      <alignment horizontal="left"/>
      <protection locked="0"/>
    </xf>
    <xf numFmtId="0" fontId="16" fillId="13" borderId="19" xfId="0" applyFont="1" applyFill="1" applyBorder="1" applyAlignment="1">
      <alignment vertical="center"/>
    </xf>
    <xf numFmtId="168" fontId="6" fillId="13" borderId="23" xfId="2" applyNumberFormat="1" applyFont="1" applyFill="1" applyBorder="1" applyAlignment="1">
      <alignment horizontal="center"/>
    </xf>
    <xf numFmtId="4" fontId="6" fillId="13" borderId="24" xfId="2" applyNumberFormat="1" applyFont="1" applyFill="1" applyBorder="1"/>
    <xf numFmtId="4" fontId="6" fillId="13" borderId="22" xfId="2" applyNumberFormat="1" applyFont="1" applyFill="1" applyBorder="1"/>
    <xf numFmtId="4" fontId="6" fillId="13" borderId="19" xfId="2" applyNumberFormat="1" applyFont="1" applyFill="1" applyBorder="1"/>
    <xf numFmtId="4" fontId="6" fillId="13" borderId="26" xfId="2" applyNumberFormat="1" applyFont="1" applyFill="1" applyBorder="1"/>
    <xf numFmtId="9" fontId="6" fillId="13" borderId="22" xfId="2" applyNumberFormat="1" applyFont="1" applyFill="1" applyBorder="1" applyAlignment="1">
      <alignment horizontal="center"/>
    </xf>
    <xf numFmtId="10" fontId="6" fillId="13" borderId="23" xfId="2" applyNumberFormat="1" applyFont="1" applyFill="1" applyBorder="1"/>
    <xf numFmtId="4" fontId="37" fillId="13" borderId="23" xfId="2" applyNumberFormat="1" applyFont="1" applyFill="1" applyBorder="1"/>
    <xf numFmtId="4" fontId="6" fillId="13" borderId="30" xfId="2" applyNumberFormat="1" applyFont="1" applyFill="1" applyBorder="1"/>
    <xf numFmtId="9" fontId="6" fillId="13" borderId="19" xfId="2" applyNumberFormat="1" applyFont="1" applyFill="1" applyBorder="1" applyAlignment="1">
      <alignment horizontal="center"/>
    </xf>
    <xf numFmtId="167" fontId="6" fillId="13" borderId="24" xfId="5" applyNumberFormat="1" applyFont="1" applyFill="1" applyBorder="1" applyAlignment="1" applyProtection="1">
      <alignment horizontal="left"/>
      <protection locked="0"/>
    </xf>
    <xf numFmtId="4" fontId="6" fillId="13" borderId="33" xfId="2" applyNumberFormat="1" applyFont="1" applyFill="1" applyBorder="1"/>
    <xf numFmtId="4" fontId="6" fillId="13" borderId="27" xfId="2" applyNumberFormat="1" applyFont="1" applyFill="1" applyBorder="1"/>
    <xf numFmtId="9" fontId="6" fillId="13" borderId="27" xfId="2" applyNumberFormat="1" applyFont="1" applyFill="1" applyBorder="1" applyAlignment="1">
      <alignment horizontal="center"/>
    </xf>
    <xf numFmtId="10" fontId="6" fillId="13" borderId="27" xfId="2" applyNumberFormat="1" applyFont="1" applyFill="1" applyBorder="1"/>
    <xf numFmtId="4" fontId="5" fillId="0" borderId="38" xfId="2" applyNumberFormat="1" applyFont="1" applyBorder="1"/>
    <xf numFmtId="0" fontId="6" fillId="13" borderId="33" xfId="2" applyFont="1" applyFill="1" applyBorder="1" applyAlignment="1">
      <alignment horizontal="center"/>
    </xf>
    <xf numFmtId="0" fontId="6" fillId="13" borderId="39" xfId="2" applyFont="1" applyFill="1" applyBorder="1" applyAlignment="1">
      <alignment horizontal="center"/>
    </xf>
    <xf numFmtId="0" fontId="6" fillId="13" borderId="27" xfId="2" applyFont="1" applyFill="1" applyBorder="1" applyAlignment="1">
      <alignment horizontal="center"/>
    </xf>
    <xf numFmtId="0" fontId="6" fillId="13" borderId="27" xfId="2" applyFont="1" applyFill="1" applyBorder="1"/>
    <xf numFmtId="0" fontId="16" fillId="13" borderId="39" xfId="2" applyFont="1" applyFill="1" applyBorder="1" applyAlignment="1">
      <alignment vertical="center"/>
    </xf>
    <xf numFmtId="168" fontId="6" fillId="13" borderId="27" xfId="2" applyNumberFormat="1" applyFont="1" applyFill="1" applyBorder="1" applyAlignment="1">
      <alignment horizontal="center"/>
    </xf>
    <xf numFmtId="14" fontId="6" fillId="13" borderId="27" xfId="5" applyNumberFormat="1" applyFont="1" applyFill="1" applyBorder="1" applyAlignment="1" applyProtection="1">
      <alignment horizontal="center"/>
      <protection locked="0"/>
    </xf>
    <xf numFmtId="14" fontId="6" fillId="13" borderId="27" xfId="5" applyNumberFormat="1" applyFont="1" applyFill="1" applyBorder="1" applyAlignment="1" applyProtection="1">
      <alignment horizontal="left"/>
      <protection locked="0"/>
    </xf>
    <xf numFmtId="167" fontId="6" fillId="13" borderId="35" xfId="5" applyNumberFormat="1" applyFont="1" applyFill="1" applyBorder="1" applyAlignment="1" applyProtection="1">
      <alignment horizontal="left"/>
      <protection locked="0"/>
    </xf>
    <xf numFmtId="4" fontId="6" fillId="13" borderId="29" xfId="2" applyNumberFormat="1" applyFont="1" applyFill="1" applyBorder="1"/>
    <xf numFmtId="0" fontId="6" fillId="13" borderId="34" xfId="2" applyFont="1" applyFill="1" applyBorder="1" applyAlignment="1">
      <alignment horizontal="center"/>
    </xf>
    <xf numFmtId="0" fontId="6" fillId="13" borderId="40" xfId="2" applyFont="1" applyFill="1" applyBorder="1" applyAlignment="1">
      <alignment horizontal="center"/>
    </xf>
    <xf numFmtId="0" fontId="6" fillId="13" borderId="30" xfId="2" applyFont="1" applyFill="1" applyBorder="1" applyAlignment="1">
      <alignment horizontal="center"/>
    </xf>
    <xf numFmtId="0" fontId="6" fillId="13" borderId="30" xfId="2" applyFont="1" applyFill="1" applyBorder="1"/>
    <xf numFmtId="0" fontId="16" fillId="13" borderId="40" xfId="2" applyFont="1" applyFill="1" applyBorder="1" applyAlignment="1">
      <alignment vertical="center"/>
    </xf>
    <xf numFmtId="168" fontId="6" fillId="13" borderId="30" xfId="2" applyNumberFormat="1" applyFont="1" applyFill="1" applyBorder="1" applyAlignment="1">
      <alignment horizontal="center"/>
    </xf>
    <xf numFmtId="14" fontId="6" fillId="13" borderId="30" xfId="5" applyNumberFormat="1" applyFont="1" applyFill="1" applyBorder="1" applyAlignment="1" applyProtection="1">
      <alignment horizontal="center"/>
      <protection locked="0"/>
    </xf>
    <xf numFmtId="14" fontId="6" fillId="13" borderId="30" xfId="5" applyNumberFormat="1" applyFont="1" applyFill="1" applyBorder="1" applyAlignment="1" applyProtection="1">
      <alignment horizontal="left"/>
      <protection locked="0"/>
    </xf>
    <xf numFmtId="167" fontId="6" fillId="13" borderId="41" xfId="5" applyNumberFormat="1" applyFont="1" applyFill="1" applyBorder="1" applyAlignment="1" applyProtection="1">
      <alignment horizontal="left"/>
      <protection locked="0"/>
    </xf>
    <xf numFmtId="4" fontId="6" fillId="13" borderId="34" xfId="2" applyNumberFormat="1" applyFont="1" applyFill="1" applyBorder="1"/>
    <xf numFmtId="4" fontId="13" fillId="13" borderId="30" xfId="2" applyNumberFormat="1" applyFont="1" applyFill="1" applyBorder="1"/>
    <xf numFmtId="164" fontId="6" fillId="13" borderId="30" xfId="3" applyFont="1" applyFill="1" applyBorder="1"/>
    <xf numFmtId="9" fontId="6" fillId="13" borderId="30" xfId="2" applyNumberFormat="1" applyFont="1" applyFill="1" applyBorder="1" applyAlignment="1">
      <alignment horizontal="center"/>
    </xf>
    <xf numFmtId="10" fontId="6" fillId="13" borderId="30" xfId="2" applyNumberFormat="1" applyFont="1" applyFill="1" applyBorder="1"/>
    <xf numFmtId="4" fontId="37" fillId="13" borderId="30" xfId="2" applyNumberFormat="1" applyFont="1" applyFill="1" applyBorder="1"/>
    <xf numFmtId="4" fontId="6" fillId="13" borderId="31" xfId="2" applyNumberFormat="1" applyFont="1" applyFill="1" applyBorder="1"/>
    <xf numFmtId="4" fontId="6" fillId="0" borderId="11" xfId="2" applyNumberFormat="1" applyFont="1" applyBorder="1"/>
    <xf numFmtId="4" fontId="6" fillId="11" borderId="23" xfId="2" applyNumberFormat="1" applyFont="1" applyFill="1" applyBorder="1"/>
    <xf numFmtId="4" fontId="37" fillId="11" borderId="23" xfId="2" applyNumberFormat="1" applyFont="1" applyFill="1" applyBorder="1"/>
    <xf numFmtId="4" fontId="6" fillId="11" borderId="25" xfId="2" applyNumberFormat="1" applyFont="1" applyFill="1" applyBorder="1"/>
    <xf numFmtId="0" fontId="6" fillId="11" borderId="18" xfId="2" applyFont="1" applyFill="1" applyBorder="1" applyAlignment="1">
      <alignment horizontal="center"/>
    </xf>
    <xf numFmtId="0" fontId="6" fillId="11" borderId="19" xfId="2" applyFont="1" applyFill="1" applyBorder="1" applyAlignment="1">
      <alignment horizontal="center"/>
    </xf>
    <xf numFmtId="0" fontId="6" fillId="11" borderId="23" xfId="2" applyFont="1" applyFill="1" applyBorder="1" applyAlignment="1">
      <alignment horizontal="center"/>
    </xf>
    <xf numFmtId="0" fontId="6" fillId="11" borderId="23" xfId="2" applyFont="1" applyFill="1" applyBorder="1"/>
    <xf numFmtId="0" fontId="6" fillId="11" borderId="23" xfId="2" applyFont="1" applyFill="1" applyBorder="1" applyAlignment="1">
      <alignment vertical="center"/>
    </xf>
    <xf numFmtId="168" fontId="6" fillId="11" borderId="23" xfId="2" applyNumberFormat="1" applyFont="1" applyFill="1" applyBorder="1" applyAlignment="1">
      <alignment horizontal="center"/>
    </xf>
    <xf numFmtId="14" fontId="6" fillId="11" borderId="23" xfId="5" applyNumberFormat="1" applyFont="1" applyFill="1" applyBorder="1" applyAlignment="1" applyProtection="1">
      <alignment horizontal="center"/>
      <protection locked="0"/>
    </xf>
    <xf numFmtId="14" fontId="6" fillId="11" borderId="23" xfId="5" applyNumberFormat="1" applyFont="1" applyFill="1" applyBorder="1" applyAlignment="1" applyProtection="1">
      <alignment horizontal="left"/>
      <protection locked="0"/>
    </xf>
    <xf numFmtId="167" fontId="6" fillId="11" borderId="23" xfId="5" applyNumberFormat="1" applyFont="1" applyFill="1" applyBorder="1" applyAlignment="1" applyProtection="1">
      <alignment horizontal="left"/>
      <protection locked="0"/>
    </xf>
    <xf numFmtId="0" fontId="6" fillId="13" borderId="23" xfId="2" applyFont="1" applyFill="1" applyBorder="1" applyAlignment="1">
      <alignment vertical="center"/>
    </xf>
    <xf numFmtId="9" fontId="6" fillId="13" borderId="23" xfId="2" applyNumberFormat="1" applyFont="1" applyFill="1" applyBorder="1" applyAlignment="1">
      <alignment horizontal="center"/>
    </xf>
    <xf numFmtId="4" fontId="6" fillId="0" borderId="42" xfId="2" applyNumberFormat="1" applyFont="1" applyBorder="1"/>
    <xf numFmtId="4" fontId="47" fillId="12" borderId="22" xfId="2" applyNumberFormat="1" applyFont="1" applyFill="1" applyBorder="1"/>
    <xf numFmtId="4" fontId="47" fillId="12" borderId="23" xfId="2" applyNumberFormat="1" applyFont="1" applyFill="1" applyBorder="1"/>
    <xf numFmtId="4" fontId="48" fillId="12" borderId="23" xfId="2" applyNumberFormat="1" applyFont="1" applyFill="1" applyBorder="1"/>
    <xf numFmtId="4" fontId="47" fillId="12" borderId="30" xfId="2" applyNumberFormat="1" applyFont="1" applyFill="1" applyBorder="1"/>
    <xf numFmtId="4" fontId="47" fillId="12" borderId="31" xfId="2" applyNumberFormat="1" applyFont="1" applyFill="1" applyBorder="1"/>
    <xf numFmtId="9" fontId="5" fillId="0" borderId="27" xfId="2" applyNumberFormat="1" applyFont="1" applyBorder="1" applyAlignment="1">
      <alignment horizontal="center"/>
    </xf>
    <xf numFmtId="4" fontId="5" fillId="0" borderId="28" xfId="2" applyNumberFormat="1" applyFont="1" applyBorder="1"/>
    <xf numFmtId="164" fontId="12" fillId="0" borderId="0" xfId="3" applyFont="1" applyFill="1" applyAlignment="1">
      <alignment horizontal="left"/>
    </xf>
    <xf numFmtId="164" fontId="5" fillId="0" borderId="7" xfId="3" applyFont="1" applyFill="1" applyBorder="1"/>
    <xf numFmtId="164" fontId="6" fillId="0" borderId="0" xfId="3" applyFont="1" applyFill="1" applyAlignment="1">
      <alignment horizontal="left"/>
    </xf>
    <xf numFmtId="0" fontId="49" fillId="0" borderId="0" xfId="2" applyFont="1" applyAlignment="1">
      <alignment horizontal="center"/>
    </xf>
    <xf numFmtId="0" fontId="49" fillId="0" borderId="6" xfId="2" applyFont="1" applyBorder="1" applyAlignment="1">
      <alignment horizontal="center"/>
    </xf>
    <xf numFmtId="0" fontId="49" fillId="0" borderId="6" xfId="2" applyFont="1" applyBorder="1"/>
    <xf numFmtId="0" fontId="49" fillId="0" borderId="0" xfId="2" applyFont="1" applyAlignment="1">
      <alignment horizontal="left" vertical="center" wrapText="1"/>
    </xf>
    <xf numFmtId="168" fontId="49" fillId="0" borderId="6" xfId="2" applyNumberFormat="1" applyFont="1" applyBorder="1" applyAlignment="1">
      <alignment horizontal="center"/>
    </xf>
    <xf numFmtId="14" fontId="49" fillId="0" borderId="6" xfId="5" applyNumberFormat="1" applyFont="1" applyFill="1" applyBorder="1" applyAlignment="1" applyProtection="1">
      <alignment horizontal="center"/>
      <protection locked="0"/>
    </xf>
    <xf numFmtId="14" fontId="49" fillId="0" borderId="6" xfId="5" applyNumberFormat="1" applyFont="1" applyFill="1" applyBorder="1" applyAlignment="1" applyProtection="1">
      <alignment horizontal="left"/>
      <protection locked="0"/>
    </xf>
    <xf numFmtId="167" fontId="49" fillId="0" borderId="21" xfId="5" applyNumberFormat="1" applyFont="1" applyFill="1" applyBorder="1" applyAlignment="1" applyProtection="1">
      <alignment horizontal="left"/>
      <protection locked="0"/>
    </xf>
    <xf numFmtId="4" fontId="49" fillId="0" borderId="6" xfId="2" applyNumberFormat="1" applyFont="1" applyBorder="1"/>
    <xf numFmtId="4" fontId="49" fillId="0" borderId="0" xfId="2" applyNumberFormat="1" applyFont="1"/>
    <xf numFmtId="4" fontId="49" fillId="0" borderId="7" xfId="2" applyNumberFormat="1" applyFont="1" applyBorder="1"/>
    <xf numFmtId="164" fontId="49" fillId="0" borderId="6" xfId="3" applyFont="1" applyFill="1" applyBorder="1"/>
    <xf numFmtId="4" fontId="49" fillId="0" borderId="21" xfId="2" applyNumberFormat="1" applyFont="1" applyBorder="1"/>
    <xf numFmtId="9" fontId="49" fillId="0" borderId="7" xfId="2" applyNumberFormat="1" applyFont="1" applyBorder="1" applyAlignment="1">
      <alignment horizontal="center"/>
    </xf>
    <xf numFmtId="10" fontId="49" fillId="0" borderId="6" xfId="2" applyNumberFormat="1" applyFont="1" applyBorder="1"/>
    <xf numFmtId="9" fontId="49" fillId="0" borderId="6" xfId="2" applyNumberFormat="1" applyFont="1" applyBorder="1" applyAlignment="1">
      <alignment horizontal="center"/>
    </xf>
    <xf numFmtId="164" fontId="49" fillId="0" borderId="0" xfId="3" applyFont="1" applyFill="1" applyAlignment="1">
      <alignment horizontal="left"/>
    </xf>
    <xf numFmtId="0" fontId="49" fillId="0" borderId="0" xfId="2" applyFont="1"/>
    <xf numFmtId="4" fontId="50" fillId="0" borderId="6" xfId="2" applyNumberFormat="1" applyFont="1" applyBorder="1"/>
    <xf numFmtId="0" fontId="51" fillId="0" borderId="0" xfId="2" applyFont="1" applyAlignment="1">
      <alignment horizontal="center"/>
    </xf>
    <xf numFmtId="0" fontId="51" fillId="0" borderId="6" xfId="2" applyFont="1" applyBorder="1" applyAlignment="1">
      <alignment horizontal="center"/>
    </xf>
    <xf numFmtId="0" fontId="51" fillId="0" borderId="6" xfId="2" applyFont="1" applyBorder="1"/>
    <xf numFmtId="0" fontId="52" fillId="0" borderId="0" xfId="2" applyFont="1" applyAlignment="1">
      <alignment vertical="center"/>
    </xf>
    <xf numFmtId="166" fontId="51" fillId="0" borderId="6" xfId="2" applyNumberFormat="1" applyFont="1" applyBorder="1" applyAlignment="1">
      <alignment horizontal="center"/>
    </xf>
    <xf numFmtId="14" fontId="51" fillId="0" borderId="6" xfId="5" applyNumberFormat="1" applyFont="1" applyFill="1" applyBorder="1" applyAlignment="1" applyProtection="1">
      <alignment horizontal="center"/>
      <protection locked="0"/>
    </xf>
    <xf numFmtId="14" fontId="51" fillId="0" borderId="6" xfId="5" applyNumberFormat="1" applyFont="1" applyFill="1" applyBorder="1" applyAlignment="1" applyProtection="1">
      <alignment horizontal="left"/>
      <protection locked="0"/>
    </xf>
    <xf numFmtId="167" fontId="51" fillId="0" borderId="6" xfId="5" applyNumberFormat="1" applyFont="1" applyFill="1" applyBorder="1" applyAlignment="1" applyProtection="1">
      <alignment horizontal="left"/>
      <protection locked="0"/>
    </xf>
    <xf numFmtId="4" fontId="51" fillId="0" borderId="6" xfId="2" applyNumberFormat="1" applyFont="1" applyBorder="1"/>
    <xf numFmtId="4" fontId="53" fillId="0" borderId="6" xfId="2" applyNumberFormat="1" applyFont="1" applyBorder="1"/>
    <xf numFmtId="9" fontId="51" fillId="0" borderId="6" xfId="2" applyNumberFormat="1" applyFont="1" applyBorder="1" applyAlignment="1">
      <alignment horizontal="center"/>
    </xf>
    <xf numFmtId="10" fontId="51" fillId="0" borderId="6" xfId="2" applyNumberFormat="1" applyFont="1" applyBorder="1"/>
    <xf numFmtId="1" fontId="51" fillId="0" borderId="6" xfId="2" applyNumberFormat="1" applyFont="1" applyBorder="1"/>
    <xf numFmtId="4" fontId="51" fillId="0" borderId="0" xfId="2" applyNumberFormat="1" applyFont="1"/>
    <xf numFmtId="0" fontId="51" fillId="0" borderId="0" xfId="2" applyFont="1"/>
    <xf numFmtId="0" fontId="51" fillId="9" borderId="6" xfId="2" applyFont="1" applyFill="1" applyBorder="1"/>
    <xf numFmtId="0" fontId="51" fillId="9" borderId="0" xfId="2" applyFont="1" applyFill="1" applyAlignment="1">
      <alignment vertical="center"/>
    </xf>
    <xf numFmtId="0" fontId="51" fillId="9" borderId="6" xfId="2" applyFont="1" applyFill="1" applyBorder="1" applyAlignment="1">
      <alignment horizontal="center"/>
    </xf>
    <xf numFmtId="49" fontId="51" fillId="9" borderId="6" xfId="2" applyNumberFormat="1" applyFont="1" applyFill="1" applyBorder="1" applyAlignment="1">
      <alignment horizontal="center"/>
    </xf>
    <xf numFmtId="14" fontId="51" fillId="9" borderId="6" xfId="5" applyNumberFormat="1" applyFont="1" applyFill="1" applyBorder="1" applyAlignment="1" applyProtection="1">
      <alignment horizontal="center"/>
      <protection locked="0"/>
    </xf>
    <xf numFmtId="14" fontId="51" fillId="9" borderId="6" xfId="5" applyNumberFormat="1" applyFont="1" applyFill="1" applyBorder="1" applyAlignment="1" applyProtection="1">
      <alignment horizontal="left"/>
      <protection locked="0"/>
    </xf>
    <xf numFmtId="167" fontId="51" fillId="9" borderId="6" xfId="5" applyNumberFormat="1" applyFont="1" applyFill="1" applyBorder="1" applyAlignment="1" applyProtection="1">
      <alignment horizontal="left"/>
      <protection locked="0"/>
    </xf>
    <xf numFmtId="4" fontId="51" fillId="9" borderId="6" xfId="2" applyNumberFormat="1" applyFont="1" applyFill="1" applyBorder="1"/>
    <xf numFmtId="164" fontId="51" fillId="9" borderId="6" xfId="3" applyFont="1" applyFill="1" applyBorder="1"/>
    <xf numFmtId="9" fontId="51" fillId="9" borderId="6" xfId="2" applyNumberFormat="1" applyFont="1" applyFill="1" applyBorder="1" applyAlignment="1">
      <alignment horizontal="center"/>
    </xf>
    <xf numFmtId="10" fontId="51" fillId="9" borderId="6" xfId="2" applyNumberFormat="1" applyFont="1" applyFill="1" applyBorder="1"/>
    <xf numFmtId="4" fontId="51" fillId="9" borderId="21" xfId="2" applyNumberFormat="1" applyFont="1" applyFill="1" applyBorder="1"/>
    <xf numFmtId="4" fontId="51" fillId="9" borderId="7" xfId="2" applyNumberFormat="1" applyFont="1" applyFill="1" applyBorder="1"/>
    <xf numFmtId="168" fontId="51" fillId="0" borderId="6" xfId="2" applyNumberFormat="1" applyFont="1" applyBorder="1" applyAlignment="1">
      <alignment horizontal="center"/>
    </xf>
    <xf numFmtId="167" fontId="51" fillId="0" borderId="21" xfId="5" applyNumberFormat="1" applyFont="1" applyFill="1" applyBorder="1" applyAlignment="1" applyProtection="1">
      <alignment horizontal="left"/>
      <protection locked="0"/>
    </xf>
    <xf numFmtId="4" fontId="51" fillId="0" borderId="21" xfId="2" applyNumberFormat="1" applyFont="1" applyBorder="1"/>
    <xf numFmtId="9" fontId="51" fillId="0" borderId="0" xfId="2" applyNumberFormat="1" applyFont="1" applyAlignment="1">
      <alignment horizontal="center"/>
    </xf>
    <xf numFmtId="10" fontId="51" fillId="0" borderId="0" xfId="2" applyNumberFormat="1" applyFont="1"/>
    <xf numFmtId="164" fontId="5" fillId="0" borderId="0" xfId="3" applyFont="1" applyFill="1" applyAlignment="1">
      <alignment horizontal="left"/>
    </xf>
    <xf numFmtId="164" fontId="41" fillId="0" borderId="0" xfId="3" applyFont="1" applyFill="1" applyAlignment="1">
      <alignment horizontal="left"/>
    </xf>
    <xf numFmtId="164" fontId="51" fillId="0" borderId="0" xfId="3" applyFont="1" applyFill="1" applyAlignment="1">
      <alignment horizontal="left"/>
    </xf>
    <xf numFmtId="164" fontId="5" fillId="9" borderId="0" xfId="3" applyFont="1" applyFill="1" applyAlignment="1">
      <alignment horizontal="left"/>
    </xf>
    <xf numFmtId="164" fontId="35" fillId="0" borderId="0" xfId="3" applyFont="1" applyFill="1" applyAlignment="1">
      <alignment horizontal="left"/>
    </xf>
    <xf numFmtId="0" fontId="0" fillId="0" borderId="0" xfId="0" applyAlignment="1">
      <alignment horizontal="left"/>
    </xf>
    <xf numFmtId="0" fontId="50" fillId="0" borderId="0" xfId="2" applyFont="1" applyAlignment="1">
      <alignment horizontal="center"/>
    </xf>
    <xf numFmtId="0" fontId="50" fillId="0" borderId="6" xfId="2" applyFont="1" applyBorder="1" applyAlignment="1">
      <alignment horizontal="center"/>
    </xf>
    <xf numFmtId="0" fontId="50" fillId="0" borderId="6" xfId="2" applyFont="1" applyBorder="1"/>
    <xf numFmtId="0" fontId="50" fillId="0" borderId="0" xfId="2" applyFont="1" applyAlignment="1">
      <alignment horizontal="left" vertical="center" wrapText="1"/>
    </xf>
    <xf numFmtId="168" fontId="50" fillId="0" borderId="6" xfId="2" applyNumberFormat="1" applyFont="1" applyBorder="1" applyAlignment="1">
      <alignment horizontal="center"/>
    </xf>
    <xf numFmtId="14" fontId="50" fillId="0" borderId="6" xfId="5" applyNumberFormat="1" applyFont="1" applyFill="1" applyBorder="1" applyAlignment="1" applyProtection="1">
      <alignment horizontal="center"/>
      <protection locked="0"/>
    </xf>
    <xf numFmtId="14" fontId="50" fillId="0" borderId="6" xfId="5" applyNumberFormat="1" applyFont="1" applyFill="1" applyBorder="1" applyAlignment="1" applyProtection="1">
      <alignment horizontal="left"/>
      <protection locked="0"/>
    </xf>
    <xf numFmtId="167" fontId="50" fillId="0" borderId="21" xfId="5" applyNumberFormat="1" applyFont="1" applyFill="1" applyBorder="1" applyAlignment="1" applyProtection="1">
      <alignment horizontal="left"/>
      <protection locked="0"/>
    </xf>
    <xf numFmtId="4" fontId="50" fillId="0" borderId="0" xfId="2" applyNumberFormat="1" applyFont="1"/>
    <xf numFmtId="4" fontId="50" fillId="0" borderId="7" xfId="2" applyNumberFormat="1" applyFont="1" applyBorder="1"/>
    <xf numFmtId="164" fontId="50" fillId="0" borderId="6" xfId="3" applyFont="1" applyFill="1" applyBorder="1"/>
    <xf numFmtId="4" fontId="50" fillId="0" borderId="21" xfId="2" applyNumberFormat="1" applyFont="1" applyBorder="1"/>
    <xf numFmtId="9" fontId="50" fillId="0" borderId="7" xfId="2" applyNumberFormat="1" applyFont="1" applyBorder="1" applyAlignment="1">
      <alignment horizontal="center"/>
    </xf>
    <xf numFmtId="10" fontId="50" fillId="0" borderId="6" xfId="2" applyNumberFormat="1" applyFont="1" applyBorder="1"/>
    <xf numFmtId="9" fontId="50" fillId="0" borderId="6" xfId="2" applyNumberFormat="1" applyFont="1" applyBorder="1" applyAlignment="1">
      <alignment horizontal="center"/>
    </xf>
    <xf numFmtId="164" fontId="50" fillId="0" borderId="0" xfId="3" applyFont="1" applyFill="1" applyAlignment="1">
      <alignment horizontal="left"/>
    </xf>
    <xf numFmtId="0" fontId="50" fillId="0" borderId="0" xfId="2" applyFont="1"/>
    <xf numFmtId="0" fontId="35" fillId="0" borderId="0" xfId="2" applyFont="1" applyAlignment="1">
      <alignment vertical="center"/>
    </xf>
    <xf numFmtId="49" fontId="35" fillId="0" borderId="6" xfId="2" applyNumberFormat="1" applyFont="1" applyBorder="1" applyAlignment="1">
      <alignment horizontal="center"/>
    </xf>
    <xf numFmtId="167" fontId="35" fillId="0" borderId="6" xfId="5" applyNumberFormat="1" applyFont="1" applyFill="1" applyBorder="1" applyAlignment="1" applyProtection="1">
      <alignment horizontal="left"/>
      <protection locked="0"/>
    </xf>
    <xf numFmtId="10" fontId="35" fillId="0" borderId="6" xfId="2" applyNumberFormat="1" applyFont="1" applyBorder="1"/>
    <xf numFmtId="4" fontId="35" fillId="0" borderId="7" xfId="2" applyNumberFormat="1" applyFont="1" applyBorder="1"/>
    <xf numFmtId="1" fontId="35" fillId="0" borderId="6" xfId="2" applyNumberFormat="1" applyFont="1" applyBorder="1"/>
    <xf numFmtId="164" fontId="35" fillId="9" borderId="0" xfId="3" applyFont="1" applyFill="1" applyAlignment="1">
      <alignment horizontal="left"/>
    </xf>
    <xf numFmtId="164" fontId="35" fillId="0" borderId="21" xfId="3" applyFont="1" applyFill="1" applyBorder="1" applyAlignment="1">
      <alignment horizontal="left"/>
    </xf>
    <xf numFmtId="4" fontId="5" fillId="10" borderId="6" xfId="2" applyNumberFormat="1" applyFont="1" applyFill="1" applyBorder="1"/>
    <xf numFmtId="4" fontId="41" fillId="10" borderId="6" xfId="2" applyNumberFormat="1" applyFont="1" applyFill="1" applyBorder="1"/>
    <xf numFmtId="4" fontId="51" fillId="10" borderId="6" xfId="2" applyNumberFormat="1" applyFont="1" applyFill="1" applyBorder="1"/>
    <xf numFmtId="4" fontId="49" fillId="10" borderId="6" xfId="2" applyNumberFormat="1" applyFont="1" applyFill="1" applyBorder="1"/>
    <xf numFmtId="4" fontId="50" fillId="10" borderId="6" xfId="2" applyNumberFormat="1" applyFont="1" applyFill="1" applyBorder="1"/>
    <xf numFmtId="4" fontId="6" fillId="10" borderId="1" xfId="2" applyNumberFormat="1" applyFont="1" applyFill="1" applyBorder="1" applyAlignment="1">
      <alignment horizontal="center"/>
    </xf>
    <xf numFmtId="4" fontId="6" fillId="10" borderId="6" xfId="2" applyNumberFormat="1" applyFont="1" applyFill="1" applyBorder="1" applyAlignment="1">
      <alignment horizontal="center"/>
    </xf>
    <xf numFmtId="0" fontId="6" fillId="10" borderId="6" xfId="2" applyFont="1" applyFill="1" applyBorder="1" applyAlignment="1">
      <alignment horizontal="center"/>
    </xf>
    <xf numFmtId="4" fontId="6" fillId="10" borderId="8" xfId="2" applyNumberFormat="1" applyFont="1" applyFill="1" applyBorder="1" applyAlignment="1">
      <alignment horizontal="center"/>
    </xf>
    <xf numFmtId="4" fontId="12" fillId="10" borderId="6" xfId="2" applyNumberFormat="1" applyFont="1" applyFill="1" applyBorder="1"/>
    <xf numFmtId="4" fontId="35" fillId="10" borderId="6" xfId="2" applyNumberFormat="1" applyFont="1" applyFill="1" applyBorder="1"/>
    <xf numFmtId="4" fontId="6" fillId="10" borderId="6" xfId="2" applyNumberFormat="1" applyFont="1" applyFill="1" applyBorder="1"/>
    <xf numFmtId="4" fontId="5" fillId="10" borderId="7" xfId="2" applyNumberFormat="1" applyFont="1" applyFill="1" applyBorder="1"/>
    <xf numFmtId="4" fontId="6" fillId="10" borderId="27" xfId="2" applyNumberFormat="1" applyFont="1" applyFill="1" applyBorder="1"/>
    <xf numFmtId="4" fontId="5" fillId="10" borderId="8" xfId="2" applyNumberFormat="1" applyFont="1" applyFill="1" applyBorder="1"/>
    <xf numFmtId="4" fontId="5" fillId="10" borderId="27" xfId="2" applyNumberFormat="1" applyFont="1" applyFill="1" applyBorder="1"/>
    <xf numFmtId="4" fontId="0" fillId="0" borderId="9" xfId="0" applyNumberFormat="1" applyBorder="1"/>
    <xf numFmtId="0" fontId="41" fillId="0" borderId="0" xfId="2" applyFont="1" applyAlignment="1">
      <alignment horizontal="left"/>
    </xf>
    <xf numFmtId="0" fontId="51" fillId="0" borderId="0" xfId="2" applyFont="1" applyAlignment="1">
      <alignment horizontal="left"/>
    </xf>
    <xf numFmtId="0" fontId="49" fillId="0" borderId="0" xfId="2" applyFont="1" applyAlignment="1">
      <alignment horizontal="left"/>
    </xf>
    <xf numFmtId="0" fontId="50" fillId="0" borderId="0" xfId="2" applyFont="1" applyAlignment="1">
      <alignment horizontal="left"/>
    </xf>
    <xf numFmtId="0" fontId="12" fillId="0" borderId="0" xfId="2" applyFont="1" applyAlignment="1">
      <alignment horizontal="left"/>
    </xf>
    <xf numFmtId="0" fontId="35" fillId="0" borderId="0" xfId="2" applyFont="1" applyAlignment="1">
      <alignment horizontal="left"/>
    </xf>
    <xf numFmtId="0" fontId="5" fillId="9" borderId="0" xfId="2" applyFont="1" applyFill="1" applyAlignment="1">
      <alignment horizontal="left"/>
    </xf>
    <xf numFmtId="0" fontId="35" fillId="2" borderId="0" xfId="2" applyFont="1" applyFill="1" applyAlignment="1">
      <alignment horizontal="left"/>
    </xf>
    <xf numFmtId="0" fontId="5" fillId="14" borderId="0" xfId="2" applyFont="1" applyFill="1"/>
    <xf numFmtId="0" fontId="51" fillId="14" borderId="0" xfId="2" applyFont="1" applyFill="1"/>
    <xf numFmtId="0" fontId="12" fillId="14" borderId="0" xfId="2" applyFont="1" applyFill="1"/>
    <xf numFmtId="4" fontId="35" fillId="0" borderId="21" xfId="2" applyNumberFormat="1" applyFont="1" applyBorder="1"/>
    <xf numFmtId="4" fontId="6" fillId="0" borderId="1" xfId="2" applyNumberFormat="1" applyFont="1" applyBorder="1" applyAlignment="1">
      <alignment horizontal="left"/>
    </xf>
    <xf numFmtId="4" fontId="6" fillId="0" borderId="1" xfId="2" applyNumberFormat="1" applyFont="1" applyBorder="1"/>
    <xf numFmtId="4" fontId="6" fillId="0" borderId="6" xfId="2" applyNumberFormat="1" applyFont="1" applyBorder="1" applyAlignment="1">
      <alignment horizontal="left"/>
    </xf>
    <xf numFmtId="0" fontId="6" fillId="0" borderId="6" xfId="2" applyFont="1" applyBorder="1" applyAlignment="1">
      <alignment horizontal="left"/>
    </xf>
    <xf numFmtId="4" fontId="6" fillId="0" borderId="8" xfId="2" applyNumberFormat="1" applyFont="1" applyBorder="1" applyAlignment="1">
      <alignment horizontal="left"/>
    </xf>
    <xf numFmtId="4" fontId="6" fillId="0" borderId="12" xfId="2" applyNumberFormat="1" applyFont="1" applyBorder="1"/>
    <xf numFmtId="4" fontId="54" fillId="0" borderId="6" xfId="2" applyNumberFormat="1" applyFont="1" applyBorder="1"/>
    <xf numFmtId="0" fontId="21" fillId="9" borderId="43" xfId="11" applyFont="1" applyFill="1" applyBorder="1" applyAlignment="1">
      <alignment horizontal="right" vertical="center" wrapText="1"/>
    </xf>
    <xf numFmtId="0" fontId="57" fillId="0" borderId="43" xfId="12" applyNumberFormat="1" applyFont="1" applyFill="1" applyBorder="1" applyAlignment="1">
      <alignment horizontal="right"/>
    </xf>
    <xf numFmtId="0" fontId="21" fillId="0" borderId="43" xfId="11" applyFont="1" applyBorder="1" applyAlignment="1">
      <alignment horizontal="right"/>
    </xf>
    <xf numFmtId="0" fontId="21" fillId="9" borderId="43" xfId="11" applyFont="1" applyFill="1" applyBorder="1" applyAlignment="1">
      <alignment horizontal="right"/>
    </xf>
    <xf numFmtId="0" fontId="11" fillId="0" borderId="0" xfId="2" applyFont="1" applyAlignment="1">
      <alignment horizontal="center"/>
    </xf>
    <xf numFmtId="0" fontId="58" fillId="0" borderId="0" xfId="2" applyFont="1" applyAlignment="1">
      <alignment horizontal="center"/>
    </xf>
    <xf numFmtId="164" fontId="11" fillId="0" borderId="0" xfId="3" applyFont="1" applyFill="1" applyAlignment="1">
      <alignment horizontal="center"/>
    </xf>
    <xf numFmtId="0" fontId="11" fillId="0" borderId="0" xfId="2" applyFont="1" applyAlignment="1">
      <alignment horizontal="left"/>
    </xf>
    <xf numFmtId="0" fontId="59" fillId="0" borderId="0" xfId="2" applyFont="1" applyAlignment="1">
      <alignment horizontal="center"/>
    </xf>
    <xf numFmtId="164" fontId="11" fillId="0" borderId="0" xfId="3" applyFont="1" applyFill="1"/>
    <xf numFmtId="0" fontId="11" fillId="0" borderId="0" xfId="2" applyFont="1"/>
    <xf numFmtId="0" fontId="59" fillId="0" borderId="0" xfId="2" applyFont="1"/>
    <xf numFmtId="4" fontId="59" fillId="0" borderId="0" xfId="2" applyNumberFormat="1" applyFont="1"/>
    <xf numFmtId="10" fontId="59" fillId="0" borderId="0" xfId="2" applyNumberFormat="1" applyFont="1"/>
    <xf numFmtId="4" fontId="60" fillId="0" borderId="0" xfId="2" applyNumberFormat="1" applyFont="1"/>
    <xf numFmtId="4" fontId="11" fillId="0" borderId="0" xfId="2" applyNumberFormat="1" applyFont="1"/>
    <xf numFmtId="10" fontId="11" fillId="0" borderId="0" xfId="2" applyNumberFormat="1" applyFont="1"/>
    <xf numFmtId="4" fontId="58" fillId="0" borderId="0" xfId="2" applyNumberFormat="1" applyFont="1"/>
    <xf numFmtId="0" fontId="59" fillId="0" borderId="1" xfId="2" applyFont="1" applyBorder="1" applyAlignment="1">
      <alignment horizontal="center"/>
    </xf>
    <xf numFmtId="0" fontId="59" fillId="0" borderId="2" xfId="2" applyFont="1" applyBorder="1" applyAlignment="1">
      <alignment horizontal="center"/>
    </xf>
    <xf numFmtId="0" fontId="59" fillId="0" borderId="3" xfId="2" applyFont="1" applyBorder="1" applyAlignment="1">
      <alignment horizontal="center"/>
    </xf>
    <xf numFmtId="4" fontId="59" fillId="0" borderId="1" xfId="2" applyNumberFormat="1" applyFont="1" applyBorder="1" applyAlignment="1">
      <alignment horizontal="center"/>
    </xf>
    <xf numFmtId="4" fontId="59" fillId="0" borderId="5" xfId="2" applyNumberFormat="1" applyFont="1" applyBorder="1" applyAlignment="1">
      <alignment horizontal="center"/>
    </xf>
    <xf numFmtId="0" fontId="59" fillId="0" borderId="6" xfId="2" applyFont="1" applyBorder="1" applyAlignment="1">
      <alignment horizontal="center"/>
    </xf>
    <xf numFmtId="0" fontId="59" fillId="0" borderId="5" xfId="2" applyFont="1" applyBorder="1" applyAlignment="1">
      <alignment horizontal="center"/>
    </xf>
    <xf numFmtId="4" fontId="59" fillId="0" borderId="1" xfId="2" applyNumberFormat="1" applyFont="1" applyBorder="1" applyAlignment="1">
      <alignment horizontal="center" wrapText="1"/>
    </xf>
    <xf numFmtId="4" fontId="11" fillId="0" borderId="1" xfId="2" applyNumberFormat="1" applyFont="1" applyBorder="1" applyAlignment="1">
      <alignment horizontal="center"/>
    </xf>
    <xf numFmtId="4" fontId="59" fillId="0" borderId="6" xfId="2" applyNumberFormat="1" applyFont="1" applyBorder="1" applyAlignment="1">
      <alignment horizontal="center"/>
    </xf>
    <xf numFmtId="4" fontId="60" fillId="0" borderId="6" xfId="2" applyNumberFormat="1" applyFont="1" applyBorder="1" applyAlignment="1">
      <alignment horizontal="center"/>
    </xf>
    <xf numFmtId="4" fontId="59" fillId="0" borderId="6" xfId="2" applyNumberFormat="1" applyFont="1" applyBorder="1" applyAlignment="1">
      <alignment horizontal="center" wrapText="1"/>
    </xf>
    <xf numFmtId="4" fontId="59" fillId="0" borderId="7" xfId="2" applyNumberFormat="1" applyFont="1" applyBorder="1" applyAlignment="1">
      <alignment horizontal="center"/>
    </xf>
    <xf numFmtId="0" fontId="59" fillId="0" borderId="8" xfId="2" applyFont="1" applyBorder="1" applyAlignment="1">
      <alignment horizontal="center"/>
    </xf>
    <xf numFmtId="4" fontId="59" fillId="0" borderId="8" xfId="2" applyNumberFormat="1" applyFont="1" applyBorder="1" applyAlignment="1">
      <alignment horizontal="center"/>
    </xf>
    <xf numFmtId="9" fontId="59" fillId="0" borderId="8" xfId="4" applyFont="1" applyFill="1" applyBorder="1" applyAlignment="1">
      <alignment horizontal="center"/>
    </xf>
    <xf numFmtId="4" fontId="11" fillId="0" borderId="8" xfId="2" applyNumberFormat="1" applyFont="1" applyBorder="1" applyAlignment="1">
      <alignment horizontal="center"/>
    </xf>
    <xf numFmtId="4" fontId="59" fillId="0" borderId="9" xfId="2" applyNumberFormat="1" applyFont="1" applyBorder="1" applyAlignment="1">
      <alignment horizontal="center"/>
    </xf>
    <xf numFmtId="4" fontId="60" fillId="0" borderId="8" xfId="2" applyNumberFormat="1" applyFont="1" applyBorder="1" applyAlignment="1">
      <alignment horizontal="center"/>
    </xf>
    <xf numFmtId="4" fontId="11" fillId="0" borderId="6" xfId="2" applyNumberFormat="1" applyFont="1" applyBorder="1"/>
    <xf numFmtId="4" fontId="11" fillId="0" borderId="1" xfId="2" applyNumberFormat="1" applyFont="1" applyBorder="1"/>
    <xf numFmtId="4" fontId="11" fillId="9" borderId="6" xfId="2" applyNumberFormat="1" applyFont="1" applyFill="1" applyBorder="1"/>
    <xf numFmtId="4" fontId="11" fillId="0" borderId="0" xfId="2" applyNumberFormat="1" applyFont="1" applyAlignment="1">
      <alignment horizontal="center"/>
    </xf>
    <xf numFmtId="0" fontId="11" fillId="9" borderId="6" xfId="2" applyFont="1" applyFill="1" applyBorder="1"/>
    <xf numFmtId="4" fontId="11" fillId="9" borderId="7" xfId="2" applyNumberFormat="1" applyFont="1" applyFill="1" applyBorder="1"/>
    <xf numFmtId="0" fontId="11" fillId="0" borderId="8" xfId="2" applyFont="1" applyBorder="1"/>
    <xf numFmtId="49" fontId="11" fillId="9" borderId="8" xfId="2" applyNumberFormat="1" applyFont="1" applyFill="1" applyBorder="1" applyAlignment="1">
      <alignment horizontal="center"/>
    </xf>
    <xf numFmtId="0" fontId="11" fillId="9" borderId="8" xfId="2" applyFont="1" applyFill="1" applyBorder="1"/>
    <xf numFmtId="4" fontId="59" fillId="0" borderId="23" xfId="2" applyNumberFormat="1" applyFont="1" applyBorder="1"/>
    <xf numFmtId="4" fontId="59" fillId="0" borderId="25" xfId="2" applyNumberFormat="1" applyFont="1" applyBorder="1"/>
    <xf numFmtId="4" fontId="59" fillId="9" borderId="0" xfId="2" applyNumberFormat="1" applyFont="1" applyFill="1"/>
    <xf numFmtId="1" fontId="59" fillId="0" borderId="0" xfId="2" applyNumberFormat="1" applyFont="1"/>
    <xf numFmtId="0" fontId="58" fillId="0" borderId="0" xfId="0" applyFont="1"/>
    <xf numFmtId="4" fontId="11" fillId="9" borderId="0" xfId="2" applyNumberFormat="1" applyFont="1" applyFill="1"/>
    <xf numFmtId="4" fontId="59" fillId="0" borderId="1" xfId="2" applyNumberFormat="1" applyFont="1" applyBorder="1" applyAlignment="1">
      <alignment horizontal="left"/>
    </xf>
    <xf numFmtId="4" fontId="59" fillId="0" borderId="1" xfId="2" applyNumberFormat="1" applyFont="1" applyBorder="1"/>
    <xf numFmtId="0" fontId="11" fillId="9" borderId="0" xfId="2" applyFont="1" applyFill="1"/>
    <xf numFmtId="4" fontId="59" fillId="0" borderId="6" xfId="2" applyNumberFormat="1" applyFont="1" applyBorder="1" applyAlignment="1">
      <alignment horizontal="left"/>
    </xf>
    <xf numFmtId="4" fontId="59" fillId="0" borderId="6" xfId="2" applyNumberFormat="1" applyFont="1" applyBorder="1"/>
    <xf numFmtId="0" fontId="59" fillId="0" borderId="6" xfId="2" applyFont="1" applyBorder="1" applyAlignment="1">
      <alignment horizontal="left"/>
    </xf>
    <xf numFmtId="0" fontId="58" fillId="9" borderId="0" xfId="0" applyFont="1" applyFill="1"/>
    <xf numFmtId="0" fontId="58" fillId="0" borderId="0" xfId="0" applyFont="1" applyAlignment="1">
      <alignment horizontal="left"/>
    </xf>
    <xf numFmtId="0" fontId="60" fillId="0" borderId="0" xfId="0" applyFont="1"/>
    <xf numFmtId="4" fontId="59" fillId="0" borderId="8" xfId="2" applyNumberFormat="1" applyFont="1" applyBorder="1" applyAlignment="1">
      <alignment horizontal="left"/>
    </xf>
    <xf numFmtId="4" fontId="11" fillId="0" borderId="8" xfId="2" applyNumberFormat="1" applyFont="1" applyBorder="1"/>
    <xf numFmtId="4" fontId="59" fillId="0" borderId="8" xfId="2" applyNumberFormat="1" applyFont="1" applyBorder="1"/>
    <xf numFmtId="4" fontId="59" fillId="0" borderId="12" xfId="2" applyNumberFormat="1" applyFont="1" applyBorder="1"/>
    <xf numFmtId="49" fontId="11" fillId="9" borderId="10" xfId="2" applyNumberFormat="1" applyFont="1" applyFill="1" applyBorder="1" applyAlignment="1">
      <alignment horizontal="center"/>
    </xf>
    <xf numFmtId="0" fontId="11" fillId="9" borderId="11" xfId="2" applyFont="1" applyFill="1" applyBorder="1"/>
    <xf numFmtId="49" fontId="11" fillId="9" borderId="11" xfId="2" applyNumberFormat="1" applyFont="1" applyFill="1" applyBorder="1" applyAlignment="1">
      <alignment horizontal="center"/>
    </xf>
    <xf numFmtId="0" fontId="59" fillId="0" borderId="0" xfId="2" applyFont="1" applyAlignment="1">
      <alignment horizontal="center" wrapText="1"/>
    </xf>
    <xf numFmtId="0" fontId="59" fillId="0" borderId="21" xfId="2" applyFont="1" applyBorder="1" applyAlignment="1">
      <alignment horizontal="center"/>
    </xf>
    <xf numFmtId="0" fontId="59" fillId="0" borderId="10" xfId="2" applyFont="1" applyBorder="1" applyAlignment="1">
      <alignment horizontal="center"/>
    </xf>
    <xf numFmtId="0" fontId="59" fillId="0" borderId="6" xfId="2" applyFont="1" applyBorder="1" applyAlignment="1">
      <alignment horizontal="center" wrapText="1"/>
    </xf>
    <xf numFmtId="0" fontId="59" fillId="0" borderId="21" xfId="2" applyFont="1" applyBorder="1" applyAlignment="1">
      <alignment horizontal="center" wrapText="1"/>
    </xf>
    <xf numFmtId="0" fontId="59" fillId="0" borderId="17" xfId="2" applyFont="1" applyBorder="1" applyAlignment="1">
      <alignment horizontal="center"/>
    </xf>
    <xf numFmtId="0" fontId="59" fillId="0" borderId="45" xfId="2" applyFont="1" applyBorder="1" applyAlignment="1">
      <alignment horizontal="center"/>
    </xf>
    <xf numFmtId="0" fontId="59" fillId="0" borderId="44" xfId="2" applyFont="1" applyBorder="1" applyAlignment="1">
      <alignment horizontal="center"/>
    </xf>
    <xf numFmtId="4" fontId="59" fillId="0" borderId="6" xfId="2" applyNumberFormat="1" applyFont="1" applyBorder="1" applyAlignment="1">
      <alignment vertical="center" wrapText="1"/>
    </xf>
    <xf numFmtId="4" fontId="59" fillId="0" borderId="8" xfId="2" applyNumberFormat="1" applyFont="1" applyBorder="1" applyAlignment="1">
      <alignment vertical="center" wrapText="1"/>
    </xf>
    <xf numFmtId="0" fontId="62" fillId="15" borderId="47" xfId="0" applyFont="1" applyFill="1" applyBorder="1" applyAlignment="1">
      <alignment horizontal="center" vertical="center" wrapText="1"/>
    </xf>
    <xf numFmtId="0" fontId="62" fillId="15" borderId="46" xfId="0" applyFont="1" applyFill="1" applyBorder="1" applyAlignment="1">
      <alignment horizontal="center" vertical="center" wrapText="1"/>
    </xf>
    <xf numFmtId="0" fontId="64" fillId="16" borderId="0" xfId="0" applyFont="1" applyFill="1" applyAlignment="1">
      <alignment vertical="center" wrapText="1"/>
    </xf>
    <xf numFmtId="0" fontId="64" fillId="16" borderId="0" xfId="0" applyFont="1" applyFill="1" applyAlignment="1">
      <alignment horizontal="right" vertical="center" wrapText="1"/>
    </xf>
    <xf numFmtId="0" fontId="64" fillId="5" borderId="0" xfId="0" applyFont="1" applyFill="1" applyAlignment="1">
      <alignment vertical="center" wrapText="1"/>
    </xf>
    <xf numFmtId="0" fontId="64" fillId="5" borderId="0" xfId="0" applyFont="1" applyFill="1" applyAlignment="1">
      <alignment horizontal="right" vertical="center" wrapText="1"/>
    </xf>
    <xf numFmtId="0" fontId="64" fillId="16" borderId="53" xfId="0" applyFont="1" applyFill="1" applyBorder="1" applyAlignment="1">
      <alignment vertical="center" wrapText="1"/>
    </xf>
    <xf numFmtId="4" fontId="64" fillId="16" borderId="47" xfId="0" applyNumberFormat="1" applyFont="1" applyFill="1" applyBorder="1" applyAlignment="1">
      <alignment horizontal="right" vertical="center" wrapText="1"/>
    </xf>
    <xf numFmtId="0" fontId="64" fillId="5" borderId="53" xfId="0" applyFont="1" applyFill="1" applyBorder="1" applyAlignment="1">
      <alignment vertical="center" wrapText="1"/>
    </xf>
    <xf numFmtId="4" fontId="64" fillId="5" borderId="47" xfId="0" applyNumberFormat="1" applyFont="1" applyFill="1" applyBorder="1" applyAlignment="1">
      <alignment horizontal="right" vertical="center" wrapText="1"/>
    </xf>
    <xf numFmtId="0" fontId="64" fillId="5" borderId="54" xfId="0" applyFont="1" applyFill="1" applyBorder="1" applyAlignment="1">
      <alignment vertical="center" wrapText="1"/>
    </xf>
    <xf numFmtId="0" fontId="64" fillId="5" borderId="55" xfId="0" applyFont="1" applyFill="1" applyBorder="1" applyAlignment="1">
      <alignment vertical="center" wrapText="1"/>
    </xf>
    <xf numFmtId="0" fontId="64" fillId="5" borderId="55" xfId="0" applyFont="1" applyFill="1" applyBorder="1" applyAlignment="1">
      <alignment horizontal="right" vertical="center" wrapText="1"/>
    </xf>
    <xf numFmtId="4" fontId="64" fillId="5" borderId="46" xfId="0" applyNumberFormat="1" applyFont="1" applyFill="1" applyBorder="1" applyAlignment="1">
      <alignment horizontal="right" vertical="center" wrapText="1"/>
    </xf>
    <xf numFmtId="0" fontId="59" fillId="0" borderId="0" xfId="0" applyFont="1" applyAlignment="1">
      <alignment horizontal="left"/>
    </xf>
    <xf numFmtId="4" fontId="11" fillId="9" borderId="8" xfId="2" applyNumberFormat="1" applyFont="1" applyFill="1" applyBorder="1"/>
    <xf numFmtId="10" fontId="59" fillId="0" borderId="7" xfId="2" applyNumberFormat="1" applyFont="1" applyBorder="1" applyAlignment="1">
      <alignment horizontal="center"/>
    </xf>
    <xf numFmtId="0" fontId="60" fillId="9" borderId="0" xfId="0" applyFont="1" applyFill="1"/>
    <xf numFmtId="0" fontId="47" fillId="9" borderId="0" xfId="0" applyFont="1" applyFill="1"/>
    <xf numFmtId="164" fontId="66" fillId="9" borderId="0" xfId="10" applyFont="1" applyFill="1"/>
    <xf numFmtId="164" fontId="47" fillId="9" borderId="0" xfId="10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164" fontId="4" fillId="9" borderId="0" xfId="10" applyFont="1" applyFill="1" applyAlignment="1">
      <alignment horizontal="center"/>
    </xf>
    <xf numFmtId="164" fontId="4" fillId="9" borderId="0" xfId="10" applyFont="1" applyFill="1"/>
    <xf numFmtId="0" fontId="67" fillId="9" borderId="35" xfId="0" applyFont="1" applyFill="1" applyBorder="1" applyAlignment="1">
      <alignment horizontal="center"/>
    </xf>
    <xf numFmtId="0" fontId="67" fillId="9" borderId="57" xfId="0" applyFont="1" applyFill="1" applyBorder="1" applyAlignment="1">
      <alignment horizontal="center"/>
    </xf>
    <xf numFmtId="164" fontId="67" fillId="9" borderId="58" xfId="10" applyFont="1" applyFill="1" applyBorder="1" applyAlignment="1">
      <alignment horizontal="center"/>
    </xf>
    <xf numFmtId="164" fontId="67" fillId="9" borderId="59" xfId="10" applyFont="1" applyFill="1" applyBorder="1" applyAlignment="1">
      <alignment horizontal="center"/>
    </xf>
    <xf numFmtId="0" fontId="68" fillId="9" borderId="6" xfId="0" applyFont="1" applyFill="1" applyBorder="1"/>
    <xf numFmtId="164" fontId="68" fillId="9" borderId="6" xfId="10" applyFont="1" applyFill="1" applyBorder="1"/>
    <xf numFmtId="0" fontId="68" fillId="9" borderId="0" xfId="0" applyFont="1" applyFill="1"/>
    <xf numFmtId="164" fontId="68" fillId="9" borderId="9" xfId="10" applyFont="1" applyFill="1" applyBorder="1"/>
    <xf numFmtId="164" fontId="68" fillId="9" borderId="0" xfId="10" applyFont="1" applyFill="1"/>
    <xf numFmtId="164" fontId="69" fillId="9" borderId="0" xfId="10" applyFont="1" applyFill="1"/>
    <xf numFmtId="0" fontId="69" fillId="9" borderId="0" xfId="0" applyFont="1" applyFill="1"/>
    <xf numFmtId="164" fontId="68" fillId="9" borderId="1" xfId="10" applyFont="1" applyFill="1" applyBorder="1"/>
    <xf numFmtId="164" fontId="68" fillId="0" borderId="1" xfId="10" applyFont="1" applyFill="1" applyBorder="1"/>
    <xf numFmtId="164" fontId="68" fillId="0" borderId="9" xfId="10" applyFont="1" applyFill="1" applyBorder="1"/>
    <xf numFmtId="0" fontId="69" fillId="9" borderId="6" xfId="0" applyFont="1" applyFill="1" applyBorder="1"/>
    <xf numFmtId="0" fontId="68" fillId="9" borderId="9" xfId="0" applyFont="1" applyFill="1" applyBorder="1"/>
    <xf numFmtId="164" fontId="70" fillId="9" borderId="20" xfId="10" applyFont="1" applyFill="1" applyBorder="1"/>
    <xf numFmtId="165" fontId="68" fillId="9" borderId="20" xfId="0" applyNumberFormat="1" applyFont="1" applyFill="1" applyBorder="1"/>
    <xf numFmtId="165" fontId="68" fillId="2" borderId="20" xfId="0" applyNumberFormat="1" applyFont="1" applyFill="1" applyBorder="1"/>
    <xf numFmtId="0" fontId="68" fillId="0" borderId="9" xfId="0" applyFont="1" applyBorder="1"/>
    <xf numFmtId="0" fontId="4" fillId="0" borderId="9" xfId="0" applyFont="1" applyBorder="1"/>
    <xf numFmtId="165" fontId="68" fillId="17" borderId="20" xfId="0" applyNumberFormat="1" applyFont="1" applyFill="1" applyBorder="1"/>
    <xf numFmtId="0" fontId="68" fillId="0" borderId="0" xfId="0" applyFont="1"/>
    <xf numFmtId="164" fontId="68" fillId="0" borderId="0" xfId="10" applyFont="1"/>
    <xf numFmtId="0" fontId="68" fillId="9" borderId="45" xfId="0" applyFont="1" applyFill="1" applyBorder="1"/>
    <xf numFmtId="0" fontId="4" fillId="9" borderId="45" xfId="0" applyFont="1" applyFill="1" applyBorder="1"/>
    <xf numFmtId="165" fontId="68" fillId="9" borderId="45" xfId="0" applyNumberFormat="1" applyFont="1" applyFill="1" applyBorder="1"/>
    <xf numFmtId="164" fontId="68" fillId="9" borderId="45" xfId="10" applyFont="1" applyFill="1" applyBorder="1"/>
    <xf numFmtId="164" fontId="68" fillId="9" borderId="0" xfId="10" applyFont="1" applyFill="1" applyBorder="1"/>
    <xf numFmtId="165" fontId="68" fillId="9" borderId="0" xfId="0" applyNumberFormat="1" applyFont="1" applyFill="1"/>
    <xf numFmtId="164" fontId="68" fillId="9" borderId="7" xfId="10" applyFont="1" applyFill="1" applyBorder="1"/>
    <xf numFmtId="0" fontId="71" fillId="9" borderId="44" xfId="0" applyFont="1" applyFill="1" applyBorder="1"/>
    <xf numFmtId="0" fontId="72" fillId="9" borderId="44" xfId="0" applyFont="1" applyFill="1" applyBorder="1"/>
    <xf numFmtId="0" fontId="4" fillId="9" borderId="44" xfId="0" applyFont="1" applyFill="1" applyBorder="1"/>
    <xf numFmtId="164" fontId="67" fillId="9" borderId="44" xfId="10" applyFont="1" applyFill="1" applyBorder="1"/>
    <xf numFmtId="164" fontId="68" fillId="9" borderId="44" xfId="10" applyFont="1" applyFill="1" applyBorder="1"/>
    <xf numFmtId="164" fontId="70" fillId="9" borderId="0" xfId="10" applyFont="1" applyFill="1"/>
    <xf numFmtId="0" fontId="70" fillId="9" borderId="0" xfId="0" applyFont="1" applyFill="1"/>
    <xf numFmtId="9" fontId="4" fillId="9" borderId="1" xfId="0" applyNumberFormat="1" applyFont="1" applyFill="1" applyBorder="1"/>
    <xf numFmtId="9" fontId="4" fillId="11" borderId="1" xfId="0" applyNumberFormat="1" applyFont="1" applyFill="1" applyBorder="1"/>
    <xf numFmtId="164" fontId="67" fillId="9" borderId="1" xfId="10" applyFont="1" applyFill="1" applyBorder="1"/>
    <xf numFmtId="164" fontId="67" fillId="0" borderId="1" xfId="10" applyFont="1" applyBorder="1"/>
    <xf numFmtId="9" fontId="4" fillId="9" borderId="6" xfId="0" applyNumberFormat="1" applyFont="1" applyFill="1" applyBorder="1"/>
    <xf numFmtId="9" fontId="4" fillId="18" borderId="6" xfId="0" applyNumberFormat="1" applyFont="1" applyFill="1" applyBorder="1"/>
    <xf numFmtId="164" fontId="67" fillId="9" borderId="6" xfId="10" applyFont="1" applyFill="1" applyBorder="1"/>
    <xf numFmtId="164" fontId="67" fillId="2" borderId="6" xfId="10" applyFont="1" applyFill="1" applyBorder="1"/>
    <xf numFmtId="9" fontId="4" fillId="19" borderId="6" xfId="0" applyNumberFormat="1" applyFont="1" applyFill="1" applyBorder="1"/>
    <xf numFmtId="164" fontId="67" fillId="9" borderId="9" xfId="10" applyFont="1" applyFill="1" applyBorder="1"/>
    <xf numFmtId="9" fontId="73" fillId="9" borderId="6" xfId="0" applyNumberFormat="1" applyFont="1" applyFill="1" applyBorder="1"/>
    <xf numFmtId="164" fontId="8" fillId="9" borderId="6" xfId="10" applyFont="1" applyFill="1" applyBorder="1"/>
    <xf numFmtId="164" fontId="8" fillId="9" borderId="7" xfId="10" applyFont="1" applyFill="1" applyBorder="1"/>
    <xf numFmtId="12" fontId="4" fillId="9" borderId="6" xfId="0" applyNumberFormat="1" applyFont="1" applyFill="1" applyBorder="1"/>
    <xf numFmtId="164" fontId="74" fillId="9" borderId="7" xfId="10" applyFont="1" applyFill="1" applyBorder="1"/>
    <xf numFmtId="9" fontId="4" fillId="0" borderId="6" xfId="0" applyNumberFormat="1" applyFont="1" applyBorder="1"/>
    <xf numFmtId="164" fontId="8" fillId="0" borderId="7" xfId="10" applyFont="1" applyFill="1" applyBorder="1"/>
    <xf numFmtId="164" fontId="68" fillId="0" borderId="6" xfId="10" applyFont="1" applyFill="1" applyBorder="1"/>
    <xf numFmtId="164" fontId="67" fillId="9" borderId="7" xfId="10" applyFont="1" applyFill="1" applyBorder="1"/>
    <xf numFmtId="0" fontId="4" fillId="9" borderId="9" xfId="0" applyFont="1" applyFill="1" applyBorder="1"/>
    <xf numFmtId="164" fontId="1" fillId="9" borderId="9" xfId="10" applyFill="1" applyBorder="1"/>
    <xf numFmtId="164" fontId="73" fillId="9" borderId="9" xfId="10" applyFont="1" applyFill="1" applyBorder="1"/>
    <xf numFmtId="164" fontId="1" fillId="9" borderId="0" xfId="10" applyFill="1"/>
    <xf numFmtId="165" fontId="4" fillId="9" borderId="9" xfId="0" applyNumberFormat="1" applyFont="1" applyFill="1" applyBorder="1"/>
    <xf numFmtId="164" fontId="4" fillId="9" borderId="45" xfId="10" applyFont="1" applyFill="1" applyBorder="1"/>
    <xf numFmtId="164" fontId="76" fillId="9" borderId="0" xfId="10" applyFont="1" applyFill="1"/>
    <xf numFmtId="164" fontId="73" fillId="9" borderId="0" xfId="10" applyFont="1" applyFill="1"/>
    <xf numFmtId="164" fontId="69" fillId="9" borderId="9" xfId="10" applyFont="1" applyFill="1" applyBorder="1"/>
    <xf numFmtId="164" fontId="4" fillId="9" borderId="0" xfId="0" applyNumberFormat="1" applyFont="1" applyFill="1"/>
    <xf numFmtId="0" fontId="73" fillId="9" borderId="0" xfId="0" applyFont="1" applyFill="1"/>
    <xf numFmtId="165" fontId="73" fillId="9" borderId="0" xfId="0" applyNumberFormat="1" applyFont="1" applyFill="1"/>
    <xf numFmtId="165" fontId="4" fillId="9" borderId="0" xfId="0" applyNumberFormat="1" applyFont="1" applyFill="1"/>
    <xf numFmtId="164" fontId="75" fillId="9" borderId="0" xfId="10" applyFont="1" applyFill="1"/>
    <xf numFmtId="164" fontId="75" fillId="2" borderId="0" xfId="10" applyFont="1" applyFill="1"/>
    <xf numFmtId="0" fontId="66" fillId="9" borderId="0" xfId="0" applyFont="1" applyFill="1"/>
    <xf numFmtId="0" fontId="67" fillId="9" borderId="57" xfId="0" applyFont="1" applyFill="1" applyBorder="1"/>
    <xf numFmtId="0" fontId="67" fillId="9" borderId="63" xfId="0" applyFont="1" applyFill="1" applyBorder="1"/>
    <xf numFmtId="0" fontId="67" fillId="9" borderId="27" xfId="0" applyFont="1" applyFill="1" applyBorder="1" applyAlignment="1">
      <alignment horizontal="center"/>
    </xf>
    <xf numFmtId="0" fontId="67" fillId="9" borderId="1" xfId="0" applyFont="1" applyFill="1" applyBorder="1" applyAlignment="1">
      <alignment horizontal="center"/>
    </xf>
    <xf numFmtId="0" fontId="67" fillId="9" borderId="6" xfId="0" applyFont="1" applyFill="1" applyBorder="1" applyAlignment="1">
      <alignment horizontal="center"/>
    </xf>
    <xf numFmtId="0" fontId="67" fillId="9" borderId="21" xfId="0" applyFont="1" applyFill="1" applyBorder="1" applyAlignment="1">
      <alignment horizontal="center"/>
    </xf>
    <xf numFmtId="0" fontId="69" fillId="0" borderId="0" xfId="0" applyFont="1"/>
    <xf numFmtId="0" fontId="68" fillId="9" borderId="21" xfId="0" applyFont="1" applyFill="1" applyBorder="1"/>
    <xf numFmtId="164" fontId="68" fillId="9" borderId="30" xfId="10" applyFont="1" applyFill="1" applyBorder="1"/>
    <xf numFmtId="164" fontId="68" fillId="0" borderId="30" xfId="10" applyFont="1" applyFill="1" applyBorder="1"/>
    <xf numFmtId="0" fontId="68" fillId="9" borderId="2" xfId="0" applyFont="1" applyFill="1" applyBorder="1"/>
    <xf numFmtId="0" fontId="4" fillId="0" borderId="2" xfId="0" applyFont="1" applyBorder="1"/>
    <xf numFmtId="164" fontId="67" fillId="9" borderId="8" xfId="10" applyFont="1" applyFill="1" applyBorder="1"/>
    <xf numFmtId="164" fontId="8" fillId="9" borderId="1" xfId="10" applyFont="1" applyFill="1" applyBorder="1"/>
    <xf numFmtId="164" fontId="77" fillId="9" borderId="8" xfId="10" applyFont="1" applyFill="1" applyBorder="1"/>
    <xf numFmtId="164" fontId="77" fillId="9" borderId="7" xfId="10" applyFont="1" applyFill="1" applyBorder="1"/>
    <xf numFmtId="0" fontId="73" fillId="9" borderId="9" xfId="0" applyFont="1" applyFill="1" applyBorder="1"/>
    <xf numFmtId="2" fontId="73" fillId="9" borderId="0" xfId="0" applyNumberFormat="1" applyFont="1" applyFill="1"/>
    <xf numFmtId="165" fontId="76" fillId="9" borderId="0" xfId="0" applyNumberFormat="1" applyFont="1" applyFill="1"/>
    <xf numFmtId="0" fontId="76" fillId="9" borderId="0" xfId="0" applyFont="1" applyFill="1"/>
    <xf numFmtId="9" fontId="73" fillId="9" borderId="0" xfId="0" applyNumberFormat="1" applyFont="1" applyFill="1" applyAlignment="1">
      <alignment horizontal="left"/>
    </xf>
    <xf numFmtId="2" fontId="4" fillId="9" borderId="0" xfId="0" applyNumberFormat="1" applyFont="1" applyFill="1"/>
    <xf numFmtId="164" fontId="69" fillId="9" borderId="1" xfId="10" applyFont="1" applyFill="1" applyBorder="1"/>
    <xf numFmtId="164" fontId="0" fillId="9" borderId="0" xfId="10" applyFont="1" applyFill="1"/>
    <xf numFmtId="0" fontId="11" fillId="9" borderId="0" xfId="2" applyFont="1" applyFill="1" applyAlignment="1">
      <alignment horizontal="center"/>
    </xf>
    <xf numFmtId="4" fontId="58" fillId="0" borderId="0" xfId="0" applyNumberFormat="1" applyFont="1"/>
    <xf numFmtId="0" fontId="58" fillId="9" borderId="69" xfId="0" applyFont="1" applyFill="1" applyBorder="1"/>
    <xf numFmtId="4" fontId="59" fillId="0" borderId="0" xfId="2" applyNumberFormat="1" applyFont="1" applyAlignment="1">
      <alignment horizontal="center"/>
    </xf>
    <xf numFmtId="4" fontId="59" fillId="0" borderId="23" xfId="2" applyNumberFormat="1" applyFont="1" applyBorder="1" applyAlignment="1">
      <alignment horizontal="center"/>
    </xf>
    <xf numFmtId="0" fontId="58" fillId="0" borderId="0" xfId="0" applyFont="1" applyAlignment="1">
      <alignment horizontal="center"/>
    </xf>
    <xf numFmtId="0" fontId="58" fillId="0" borderId="69" xfId="0" applyFont="1" applyBorder="1" applyAlignment="1">
      <alignment horizontal="center"/>
    </xf>
    <xf numFmtId="0" fontId="11" fillId="9" borderId="6" xfId="2" applyFont="1" applyFill="1" applyBorder="1" applyAlignment="1">
      <alignment horizontal="center"/>
    </xf>
    <xf numFmtId="49" fontId="11" fillId="9" borderId="21" xfId="2" applyNumberFormat="1" applyFont="1" applyFill="1" applyBorder="1" applyAlignment="1">
      <alignment horizontal="center"/>
    </xf>
    <xf numFmtId="172" fontId="11" fillId="9" borderId="5" xfId="2" applyNumberFormat="1" applyFont="1" applyFill="1" applyBorder="1" applyAlignment="1">
      <alignment horizontal="center" vertical="center" wrapText="1"/>
    </xf>
    <xf numFmtId="172" fontId="11" fillId="9" borderId="7" xfId="2" applyNumberFormat="1" applyFont="1" applyFill="1" applyBorder="1" applyAlignment="1">
      <alignment horizontal="center" vertical="center" wrapText="1"/>
    </xf>
    <xf numFmtId="172" fontId="11" fillId="9" borderId="7" xfId="2" applyNumberFormat="1" applyFont="1" applyFill="1" applyBorder="1" applyAlignment="1">
      <alignment horizontal="left" vertical="center"/>
    </xf>
    <xf numFmtId="0" fontId="11" fillId="9" borderId="7" xfId="2" applyFont="1" applyFill="1" applyBorder="1"/>
    <xf numFmtId="4" fontId="11" fillId="9" borderId="1" xfId="2" applyNumberFormat="1" applyFont="1" applyFill="1" applyBorder="1"/>
    <xf numFmtId="168" fontId="11" fillId="9" borderId="21" xfId="2" applyNumberFormat="1" applyFont="1" applyFill="1" applyBorder="1" applyAlignment="1">
      <alignment horizontal="center"/>
    </xf>
    <xf numFmtId="172" fontId="11" fillId="9" borderId="6" xfId="0" applyNumberFormat="1" applyFont="1" applyFill="1" applyBorder="1" applyAlignment="1">
      <alignment horizontal="center" vertical="center"/>
    </xf>
    <xf numFmtId="164" fontId="58" fillId="0" borderId="0" xfId="10" applyFont="1"/>
    <xf numFmtId="165" fontId="0" fillId="0" borderId="0" xfId="0" applyNumberFormat="1"/>
    <xf numFmtId="0" fontId="73" fillId="21" borderId="33" xfId="0" applyFont="1" applyFill="1" applyBorder="1" applyAlignment="1">
      <alignment horizontal="center" vertical="center"/>
    </xf>
    <xf numFmtId="0" fontId="73" fillId="21" borderId="36" xfId="0" applyFont="1" applyFill="1" applyBorder="1" applyAlignment="1">
      <alignment horizontal="center" vertical="center"/>
    </xf>
    <xf numFmtId="0" fontId="73" fillId="21" borderId="65" xfId="0" applyFont="1" applyFill="1" applyBorder="1" applyAlignment="1">
      <alignment horizontal="center" vertical="center"/>
    </xf>
    <xf numFmtId="0" fontId="73" fillId="21" borderId="66" xfId="0" applyFont="1" applyFill="1" applyBorder="1" applyAlignment="1">
      <alignment horizontal="center" vertical="center"/>
    </xf>
    <xf numFmtId="0" fontId="73" fillId="21" borderId="0" xfId="0" applyFont="1" applyFill="1" applyAlignment="1">
      <alignment horizontal="center" vertical="center"/>
    </xf>
    <xf numFmtId="164" fontId="73" fillId="17" borderId="8" xfId="10" applyFont="1" applyFill="1" applyBorder="1" applyAlignment="1">
      <alignment horizontal="center" vertical="center"/>
    </xf>
    <xf numFmtId="164" fontId="73" fillId="17" borderId="10" xfId="10" applyFont="1" applyFill="1" applyBorder="1" applyAlignment="1">
      <alignment horizontal="center" vertical="center"/>
    </xf>
    <xf numFmtId="164" fontId="0" fillId="0" borderId="0" xfId="10" applyFont="1"/>
    <xf numFmtId="164" fontId="75" fillId="0" borderId="0" xfId="10" applyFont="1"/>
    <xf numFmtId="165" fontId="4" fillId="0" borderId="0" xfId="0" applyNumberFormat="1" applyFont="1"/>
    <xf numFmtId="0" fontId="4" fillId="0" borderId="0" xfId="0" applyFont="1"/>
    <xf numFmtId="0" fontId="4" fillId="0" borderId="70" xfId="0" applyFont="1" applyBorder="1" applyAlignment="1">
      <alignment horizontal="center" vertical="center"/>
    </xf>
    <xf numFmtId="0" fontId="78" fillId="0" borderId="9" xfId="0" applyFont="1" applyBorder="1"/>
    <xf numFmtId="164" fontId="4" fillId="0" borderId="9" xfId="10" applyFont="1" applyBorder="1"/>
    <xf numFmtId="165" fontId="4" fillId="0" borderId="9" xfId="0" applyNumberFormat="1" applyFont="1" applyBorder="1"/>
    <xf numFmtId="165" fontId="4" fillId="0" borderId="2" xfId="0" applyNumberFormat="1" applyFont="1" applyBorder="1"/>
    <xf numFmtId="165" fontId="4" fillId="9" borderId="71" xfId="0" applyNumberFormat="1" applyFont="1" applyFill="1" applyBorder="1"/>
    <xf numFmtId="165" fontId="0" fillId="2" borderId="0" xfId="0" applyNumberFormat="1" applyFill="1"/>
    <xf numFmtId="164" fontId="0" fillId="2" borderId="0" xfId="10" applyFont="1" applyFill="1"/>
    <xf numFmtId="4" fontId="11" fillId="20" borderId="6" xfId="2" applyNumberFormat="1" applyFont="1" applyFill="1" applyBorder="1"/>
    <xf numFmtId="165" fontId="0" fillId="0" borderId="72" xfId="0" applyNumberFormat="1" applyBorder="1"/>
    <xf numFmtId="164" fontId="0" fillId="0" borderId="72" xfId="10" applyFont="1" applyBorder="1"/>
    <xf numFmtId="4" fontId="0" fillId="0" borderId="0" xfId="0" applyNumberFormat="1"/>
    <xf numFmtId="164" fontId="58" fillId="9" borderId="0" xfId="10" applyFont="1" applyFill="1"/>
    <xf numFmtId="164" fontId="58" fillId="9" borderId="69" xfId="10" applyFont="1" applyFill="1" applyBorder="1"/>
    <xf numFmtId="0" fontId="59" fillId="0" borderId="0" xfId="2" applyFont="1" applyAlignment="1">
      <alignment horizontal="left"/>
    </xf>
    <xf numFmtId="0" fontId="59" fillId="9" borderId="0" xfId="0" applyFont="1" applyFill="1" applyAlignment="1">
      <alignment horizontal="left"/>
    </xf>
    <xf numFmtId="0" fontId="59" fillId="9" borderId="0" xfId="2" applyFont="1" applyFill="1"/>
    <xf numFmtId="0" fontId="59" fillId="9" borderId="1" xfId="2" applyFont="1" applyFill="1" applyBorder="1" applyAlignment="1">
      <alignment horizontal="center"/>
    </xf>
    <xf numFmtId="0" fontId="59" fillId="9" borderId="2" xfId="2" applyFont="1" applyFill="1" applyBorder="1" applyAlignment="1">
      <alignment horizontal="center"/>
    </xf>
    <xf numFmtId="0" fontId="59" fillId="9" borderId="3" xfId="2" applyFont="1" applyFill="1" applyBorder="1" applyAlignment="1">
      <alignment horizontal="center"/>
    </xf>
    <xf numFmtId="0" fontId="59" fillId="9" borderId="6" xfId="2" applyFont="1" applyFill="1" applyBorder="1" applyAlignment="1">
      <alignment horizontal="center"/>
    </xf>
    <xf numFmtId="0" fontId="59" fillId="9" borderId="5" xfId="2" applyFont="1" applyFill="1" applyBorder="1" applyAlignment="1">
      <alignment horizontal="center"/>
    </xf>
    <xf numFmtId="0" fontId="59" fillId="9" borderId="21" xfId="2" applyFont="1" applyFill="1" applyBorder="1" applyAlignment="1">
      <alignment horizontal="center"/>
    </xf>
    <xf numFmtId="0" fontId="59" fillId="9" borderId="0" xfId="2" applyFont="1" applyFill="1" applyAlignment="1">
      <alignment horizontal="center"/>
    </xf>
    <xf numFmtId="0" fontId="59" fillId="9" borderId="6" xfId="2" applyFont="1" applyFill="1" applyBorder="1" applyAlignment="1">
      <alignment horizontal="center" wrapText="1"/>
    </xf>
    <xf numFmtId="0" fontId="59" fillId="9" borderId="0" xfId="2" applyFont="1" applyFill="1" applyAlignment="1">
      <alignment horizontal="center" wrapText="1"/>
    </xf>
    <xf numFmtId="0" fontId="59" fillId="9" borderId="8" xfId="2" applyFont="1" applyFill="1" applyBorder="1" applyAlignment="1">
      <alignment horizontal="center"/>
    </xf>
    <xf numFmtId="0" fontId="59" fillId="9" borderId="10" xfId="2" applyFont="1" applyFill="1" applyBorder="1" applyAlignment="1">
      <alignment horizontal="center"/>
    </xf>
    <xf numFmtId="0" fontId="59" fillId="9" borderId="44" xfId="2" applyFont="1" applyFill="1" applyBorder="1" applyAlignment="1">
      <alignment horizontal="center"/>
    </xf>
    <xf numFmtId="0" fontId="11" fillId="9" borderId="8" xfId="2" applyFont="1" applyFill="1" applyBorder="1" applyAlignment="1">
      <alignment horizontal="center"/>
    </xf>
    <xf numFmtId="4" fontId="59" fillId="9" borderId="23" xfId="2" applyNumberFormat="1" applyFont="1" applyFill="1" applyBorder="1"/>
    <xf numFmtId="4" fontId="59" fillId="9" borderId="17" xfId="2" applyNumberFormat="1" applyFont="1" applyFill="1" applyBorder="1" applyAlignment="1">
      <alignment horizontal="center"/>
    </xf>
    <xf numFmtId="4" fontId="59" fillId="9" borderId="21" xfId="2" applyNumberFormat="1" applyFont="1" applyFill="1" applyBorder="1" applyAlignment="1">
      <alignment horizontal="center"/>
    </xf>
    <xf numFmtId="4" fontId="59" fillId="9" borderId="10" xfId="2" applyNumberFormat="1" applyFont="1" applyFill="1" applyBorder="1" applyAlignment="1">
      <alignment horizontal="center"/>
    </xf>
    <xf numFmtId="0" fontId="0" fillId="9" borderId="1" xfId="0" applyFill="1" applyBorder="1"/>
    <xf numFmtId="0" fontId="4" fillId="9" borderId="8" xfId="0" applyFont="1" applyFill="1" applyBorder="1"/>
    <xf numFmtId="0" fontId="4" fillId="9" borderId="8" xfId="0" applyFont="1" applyFill="1" applyBorder="1" applyAlignment="1">
      <alignment horizontal="center"/>
    </xf>
    <xf numFmtId="0" fontId="4" fillId="9" borderId="6" xfId="0" applyFont="1" applyFill="1" applyBorder="1"/>
    <xf numFmtId="0" fontId="4" fillId="9" borderId="6" xfId="0" applyFont="1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4" fontId="0" fillId="9" borderId="1" xfId="0" applyNumberFormat="1" applyFill="1" applyBorder="1"/>
    <xf numFmtId="4" fontId="0" fillId="9" borderId="6" xfId="0" applyNumberFormat="1" applyFill="1" applyBorder="1"/>
    <xf numFmtId="0" fontId="0" fillId="9" borderId="6" xfId="0" applyFill="1" applyBorder="1"/>
    <xf numFmtId="4" fontId="0" fillId="9" borderId="8" xfId="0" applyNumberFormat="1" applyFill="1" applyBorder="1"/>
    <xf numFmtId="0" fontId="0" fillId="9" borderId="8" xfId="0" applyFill="1" applyBorder="1"/>
    <xf numFmtId="164" fontId="0" fillId="9" borderId="1" xfId="10" applyFont="1" applyFill="1" applyBorder="1"/>
    <xf numFmtId="164" fontId="4" fillId="9" borderId="6" xfId="10" applyFont="1" applyFill="1" applyBorder="1" applyAlignment="1">
      <alignment horizontal="center"/>
    </xf>
    <xf numFmtId="164" fontId="4" fillId="9" borderId="8" xfId="10" applyFont="1" applyFill="1" applyBorder="1" applyAlignment="1">
      <alignment horizontal="center"/>
    </xf>
    <xf numFmtId="164" fontId="0" fillId="9" borderId="6" xfId="10" applyFont="1" applyFill="1" applyBorder="1"/>
    <xf numFmtId="164" fontId="0" fillId="9" borderId="8" xfId="10" applyFont="1" applyFill="1" applyBorder="1"/>
    <xf numFmtId="164" fontId="32" fillId="9" borderId="1" xfId="10" applyFont="1" applyFill="1" applyBorder="1"/>
    <xf numFmtId="164" fontId="32" fillId="9" borderId="6" xfId="10" applyFont="1" applyFill="1" applyBorder="1"/>
    <xf numFmtId="172" fontId="11" fillId="9" borderId="1" xfId="0" applyNumberFormat="1" applyFont="1" applyFill="1" applyBorder="1" applyAlignment="1">
      <alignment horizontal="center" vertical="center"/>
    </xf>
    <xf numFmtId="172" fontId="11" fillId="9" borderId="6" xfId="0" applyNumberFormat="1" applyFont="1" applyFill="1" applyBorder="1" applyAlignment="1">
      <alignment horizontal="center" vertical="center" wrapText="1"/>
    </xf>
    <xf numFmtId="4" fontId="11" fillId="20" borderId="7" xfId="2" applyNumberFormat="1" applyFont="1" applyFill="1" applyBorder="1"/>
    <xf numFmtId="164" fontId="0" fillId="9" borderId="0" xfId="0" applyNumberFormat="1" applyFill="1"/>
    <xf numFmtId="4" fontId="59" fillId="0" borderId="69" xfId="0" applyNumberFormat="1" applyFont="1" applyBorder="1"/>
    <xf numFmtId="0" fontId="59" fillId="0" borderId="0" xfId="0" applyFont="1"/>
    <xf numFmtId="164" fontId="59" fillId="0" borderId="0" xfId="0" applyNumberFormat="1" applyFont="1"/>
    <xf numFmtId="164" fontId="59" fillId="0" borderId="0" xfId="10" applyFont="1" applyFill="1"/>
    <xf numFmtId="164" fontId="59" fillId="0" borderId="69" xfId="10" applyFont="1" applyFill="1" applyBorder="1"/>
    <xf numFmtId="164" fontId="11" fillId="0" borderId="6" xfId="10" applyFont="1" applyFill="1" applyBorder="1"/>
    <xf numFmtId="0" fontId="60" fillId="0" borderId="0" xfId="0" applyFont="1" applyAlignment="1">
      <alignment horizontal="center"/>
    </xf>
    <xf numFmtId="4" fontId="60" fillId="0" borderId="0" xfId="0" applyNumberFormat="1" applyFont="1"/>
    <xf numFmtId="4" fontId="59" fillId="0" borderId="24" xfId="2" applyNumberFormat="1" applyFont="1" applyBorder="1" applyAlignment="1">
      <alignment horizontal="center"/>
    </xf>
    <xf numFmtId="0" fontId="65" fillId="0" borderId="0" xfId="0" applyFont="1" applyAlignment="1">
      <alignment vertical="center" wrapText="1"/>
    </xf>
    <xf numFmtId="164" fontId="60" fillId="9" borderId="69" xfId="10" applyFont="1" applyFill="1" applyBorder="1"/>
    <xf numFmtId="164" fontId="11" fillId="0" borderId="0" xfId="10" applyFont="1" applyFill="1"/>
    <xf numFmtId="0" fontId="11" fillId="0" borderId="0" xfId="0" applyFont="1"/>
    <xf numFmtId="0" fontId="11" fillId="0" borderId="69" xfId="0" applyFont="1" applyBorder="1"/>
    <xf numFmtId="164" fontId="11" fillId="0" borderId="69" xfId="10" applyFont="1" applyFill="1" applyBorder="1"/>
    <xf numFmtId="0" fontId="0" fillId="0" borderId="0" xfId="0" applyAlignment="1">
      <alignment wrapText="1"/>
    </xf>
    <xf numFmtId="0" fontId="70" fillId="9" borderId="9" xfId="0" applyFont="1" applyFill="1" applyBorder="1"/>
    <xf numFmtId="0" fontId="70" fillId="9" borderId="6" xfId="0" applyFont="1" applyFill="1" applyBorder="1"/>
    <xf numFmtId="0" fontId="68" fillId="0" borderId="6" xfId="0" applyFont="1" applyBorder="1"/>
    <xf numFmtId="4" fontId="60" fillId="0" borderId="69" xfId="0" applyNumberFormat="1" applyFont="1" applyBorder="1"/>
    <xf numFmtId="165" fontId="4" fillId="20" borderId="9" xfId="0" applyNumberFormat="1" applyFont="1" applyFill="1" applyBorder="1"/>
    <xf numFmtId="164" fontId="11" fillId="0" borderId="21" xfId="10" applyFont="1" applyFill="1" applyBorder="1"/>
    <xf numFmtId="164" fontId="11" fillId="0" borderId="9" xfId="3" applyFont="1" applyBorder="1" applyAlignment="1">
      <alignment vertical="center"/>
    </xf>
    <xf numFmtId="164" fontId="11" fillId="0" borderId="0" xfId="3" applyFont="1"/>
    <xf numFmtId="0" fontId="11" fillId="0" borderId="0" xfId="15" applyFont="1"/>
    <xf numFmtId="0" fontId="11" fillId="0" borderId="0" xfId="15" applyFont="1" applyAlignment="1">
      <alignment horizontal="center"/>
    </xf>
    <xf numFmtId="164" fontId="11" fillId="23" borderId="66" xfId="3" applyFont="1" applyFill="1" applyBorder="1" applyAlignment="1">
      <alignment horizontal="center" vertical="center"/>
    </xf>
    <xf numFmtId="164" fontId="11" fillId="24" borderId="9" xfId="3" applyFont="1" applyFill="1" applyBorder="1"/>
    <xf numFmtId="164" fontId="11" fillId="0" borderId="9" xfId="15" applyNumberFormat="1" applyFont="1" applyBorder="1"/>
    <xf numFmtId="164" fontId="11" fillId="0" borderId="0" xfId="15" applyNumberFormat="1" applyFont="1"/>
    <xf numFmtId="0" fontId="11" fillId="0" borderId="9" xfId="15" applyFont="1" applyBorder="1"/>
    <xf numFmtId="3" fontId="11" fillId="0" borderId="9" xfId="3" applyNumberFormat="1" applyFont="1" applyBorder="1" applyAlignment="1">
      <alignment horizontal="center" vertical="center"/>
    </xf>
    <xf numFmtId="164" fontId="11" fillId="23" borderId="36" xfId="3" applyFont="1" applyFill="1" applyBorder="1" applyAlignment="1">
      <alignment horizontal="center" vertical="center"/>
    </xf>
    <xf numFmtId="0" fontId="59" fillId="0" borderId="33" xfId="15" applyFont="1" applyBorder="1" applyAlignment="1">
      <alignment horizontal="center"/>
    </xf>
    <xf numFmtId="0" fontId="59" fillId="0" borderId="36" xfId="15" applyFont="1" applyBorder="1" applyAlignment="1">
      <alignment horizontal="center"/>
    </xf>
    <xf numFmtId="164" fontId="59" fillId="0" borderId="33" xfId="3" applyFont="1" applyBorder="1" applyAlignment="1">
      <alignment horizontal="center" vertical="center"/>
    </xf>
    <xf numFmtId="164" fontId="59" fillId="0" borderId="36" xfId="3" applyFont="1" applyBorder="1" applyAlignment="1">
      <alignment horizontal="center" vertical="center"/>
    </xf>
    <xf numFmtId="0" fontId="59" fillId="0" borderId="60" xfId="15" applyFont="1" applyBorder="1"/>
    <xf numFmtId="0" fontId="59" fillId="0" borderId="65" xfId="15" applyFont="1" applyBorder="1" applyAlignment="1">
      <alignment horizontal="center"/>
    </xf>
    <xf numFmtId="0" fontId="59" fillId="0" borderId="66" xfId="15" applyFont="1" applyBorder="1" applyAlignment="1">
      <alignment horizontal="center" vertical="center" wrapText="1"/>
    </xf>
    <xf numFmtId="164" fontId="59" fillId="0" borderId="60" xfId="3" applyFont="1" applyBorder="1" applyAlignment="1">
      <alignment horizontal="center" vertical="center"/>
    </xf>
    <xf numFmtId="164" fontId="59" fillId="0" borderId="67" xfId="3" applyFont="1" applyBorder="1" applyAlignment="1">
      <alignment horizontal="center" vertical="center"/>
    </xf>
    <xf numFmtId="0" fontId="59" fillId="0" borderId="66" xfId="15" applyFont="1" applyBorder="1" applyAlignment="1">
      <alignment horizontal="center"/>
    </xf>
    <xf numFmtId="164" fontId="11" fillId="9" borderId="9" xfId="3" applyFont="1" applyFill="1" applyBorder="1"/>
    <xf numFmtId="164" fontId="8" fillId="25" borderId="6" xfId="10" applyFont="1" applyFill="1" applyBorder="1"/>
    <xf numFmtId="164" fontId="8" fillId="25" borderId="7" xfId="10" applyFont="1" applyFill="1" applyBorder="1"/>
    <xf numFmtId="0" fontId="58" fillId="0" borderId="44" xfId="0" applyFont="1" applyBorder="1"/>
    <xf numFmtId="164" fontId="58" fillId="0" borderId="0" xfId="0" applyNumberFormat="1" applyFont="1"/>
    <xf numFmtId="0" fontId="82" fillId="26" borderId="0" xfId="0" applyFont="1" applyFill="1" applyAlignment="1">
      <alignment horizontal="center"/>
    </xf>
    <xf numFmtId="0" fontId="82" fillId="0" borderId="0" xfId="0" applyFont="1"/>
    <xf numFmtId="0" fontId="82" fillId="26" borderId="0" xfId="0" applyFont="1" applyFill="1"/>
    <xf numFmtId="14" fontId="82" fillId="26" borderId="3" xfId="0" applyNumberFormat="1" applyFont="1" applyFill="1" applyBorder="1"/>
    <xf numFmtId="14" fontId="82" fillId="26" borderId="0" xfId="0" applyNumberFormat="1" applyFont="1" applyFill="1"/>
    <xf numFmtId="0" fontId="82" fillId="26" borderId="3" xfId="0" applyFont="1" applyFill="1" applyBorder="1"/>
    <xf numFmtId="0" fontId="83" fillId="26" borderId="76" xfId="0" applyFont="1" applyFill="1" applyBorder="1" applyAlignment="1">
      <alignment vertical="center"/>
    </xf>
    <xf numFmtId="0" fontId="82" fillId="28" borderId="77" xfId="0" applyFont="1" applyFill="1" applyBorder="1" applyAlignment="1">
      <alignment vertical="center"/>
    </xf>
    <xf numFmtId="0" fontId="83" fillId="26" borderId="78" xfId="0" applyFont="1" applyFill="1" applyBorder="1" applyAlignment="1">
      <alignment vertical="center"/>
    </xf>
    <xf numFmtId="0" fontId="82" fillId="28" borderId="79" xfId="0" applyFont="1" applyFill="1" applyBorder="1" applyAlignment="1">
      <alignment vertical="center"/>
    </xf>
    <xf numFmtId="174" fontId="16" fillId="0" borderId="9" xfId="0" applyNumberFormat="1" applyFont="1" applyBorder="1" applyAlignment="1">
      <alignment horizontal="center" vertical="center"/>
    </xf>
    <xf numFmtId="0" fontId="83" fillId="26" borderId="80" xfId="0" applyFont="1" applyFill="1" applyBorder="1" applyAlignment="1">
      <alignment vertical="center"/>
    </xf>
    <xf numFmtId="0" fontId="82" fillId="28" borderId="81" xfId="0" applyFont="1" applyFill="1" applyBorder="1" applyAlignment="1">
      <alignment vertical="center"/>
    </xf>
    <xf numFmtId="0" fontId="83" fillId="26" borderId="82" xfId="0" applyFont="1" applyFill="1" applyBorder="1" applyAlignment="1">
      <alignment vertical="center"/>
    </xf>
    <xf numFmtId="0" fontId="82" fillId="28" borderId="83" xfId="0" applyFont="1" applyFill="1" applyBorder="1"/>
    <xf numFmtId="0" fontId="83" fillId="26" borderId="0" xfId="0" applyFont="1" applyFill="1" applyAlignment="1">
      <alignment vertical="center"/>
    </xf>
    <xf numFmtId="0" fontId="82" fillId="28" borderId="0" xfId="0" applyFont="1" applyFill="1"/>
    <xf numFmtId="0" fontId="82" fillId="26" borderId="9" xfId="0" applyFont="1" applyFill="1" applyBorder="1"/>
    <xf numFmtId="0" fontId="82" fillId="29" borderId="9" xfId="0" applyFont="1" applyFill="1" applyBorder="1"/>
    <xf numFmtId="175" fontId="84" fillId="26" borderId="79" xfId="0" applyNumberFormat="1" applyFont="1" applyFill="1" applyBorder="1" applyAlignment="1">
      <alignment horizontal="right"/>
    </xf>
    <xf numFmtId="174" fontId="85" fillId="0" borderId="9" xfId="0" applyNumberFormat="1" applyFont="1" applyBorder="1" applyAlignment="1">
      <alignment horizontal="center" vertical="center"/>
    </xf>
    <xf numFmtId="175" fontId="82" fillId="0" borderId="0" xfId="0" applyNumberFormat="1" applyFont="1"/>
    <xf numFmtId="0" fontId="83" fillId="26" borderId="79" xfId="0" applyFont="1" applyFill="1" applyBorder="1"/>
    <xf numFmtId="0" fontId="82" fillId="26" borderId="79" xfId="0" applyFont="1" applyFill="1" applyBorder="1" applyAlignment="1">
      <alignment horizontal="right"/>
    </xf>
    <xf numFmtId="175" fontId="82" fillId="26" borderId="79" xfId="0" applyNumberFormat="1" applyFont="1" applyFill="1" applyBorder="1" applyAlignment="1">
      <alignment horizontal="right"/>
    </xf>
    <xf numFmtId="175" fontId="86" fillId="26" borderId="79" xfId="0" applyNumberFormat="1" applyFont="1" applyFill="1" applyBorder="1" applyAlignment="1">
      <alignment horizontal="right"/>
    </xf>
    <xf numFmtId="175" fontId="86" fillId="26" borderId="0" xfId="0" applyNumberFormat="1" applyFont="1" applyFill="1" applyAlignment="1">
      <alignment horizontal="right"/>
    </xf>
    <xf numFmtId="175" fontId="82" fillId="30" borderId="0" xfId="0" applyNumberFormat="1" applyFont="1" applyFill="1" applyAlignment="1">
      <alignment horizontal="right"/>
    </xf>
    <xf numFmtId="176" fontId="84" fillId="31" borderId="79" xfId="0" applyNumberFormat="1" applyFont="1" applyFill="1" applyBorder="1"/>
    <xf numFmtId="176" fontId="84" fillId="31" borderId="83" xfId="0" applyNumberFormat="1" applyFont="1" applyFill="1" applyBorder="1"/>
    <xf numFmtId="175" fontId="84" fillId="32" borderId="79" xfId="0" applyNumberFormat="1" applyFont="1" applyFill="1" applyBorder="1" applyAlignment="1">
      <alignment horizontal="right"/>
    </xf>
    <xf numFmtId="176" fontId="84" fillId="35" borderId="79" xfId="0" applyNumberFormat="1" applyFont="1" applyFill="1" applyBorder="1"/>
    <xf numFmtId="0" fontId="83" fillId="26" borderId="77" xfId="0" applyFont="1" applyFill="1" applyBorder="1"/>
    <xf numFmtId="176" fontId="84" fillId="31" borderId="77" xfId="0" applyNumberFormat="1" applyFont="1" applyFill="1" applyBorder="1"/>
    <xf numFmtId="0" fontId="83" fillId="26" borderId="9" xfId="0" applyFont="1" applyFill="1" applyBorder="1"/>
    <xf numFmtId="176" fontId="84" fillId="31" borderId="9" xfId="0" applyNumberFormat="1" applyFont="1" applyFill="1" applyBorder="1"/>
    <xf numFmtId="176" fontId="84" fillId="35" borderId="77" xfId="0" applyNumberFormat="1" applyFont="1" applyFill="1" applyBorder="1"/>
    <xf numFmtId="0" fontId="83" fillId="30" borderId="0" xfId="0" applyFont="1" applyFill="1"/>
    <xf numFmtId="176" fontId="84" fillId="30" borderId="0" xfId="0" applyNumberFormat="1" applyFont="1" applyFill="1"/>
    <xf numFmtId="175" fontId="84" fillId="30" borderId="0" xfId="0" applyNumberFormat="1" applyFont="1" applyFill="1" applyAlignment="1">
      <alignment horizontal="right"/>
    </xf>
    <xf numFmtId="175" fontId="87" fillId="33" borderId="0" xfId="0" applyNumberFormat="1" applyFont="1" applyFill="1" applyAlignment="1">
      <alignment horizontal="center"/>
    </xf>
    <xf numFmtId="176" fontId="84" fillId="30" borderId="9" xfId="0" applyNumberFormat="1" applyFont="1" applyFill="1" applyBorder="1"/>
    <xf numFmtId="0" fontId="82" fillId="9" borderId="0" xfId="0" applyFont="1" applyFill="1"/>
    <xf numFmtId="0" fontId="82" fillId="0" borderId="9" xfId="0" applyFont="1" applyBorder="1"/>
    <xf numFmtId="176" fontId="84" fillId="36" borderId="9" xfId="0" applyNumberFormat="1" applyFont="1" applyFill="1" applyBorder="1"/>
    <xf numFmtId="164" fontId="82" fillId="0" borderId="0" xfId="10" applyFont="1"/>
    <xf numFmtId="0" fontId="89" fillId="0" borderId="0" xfId="47" applyFont="1"/>
    <xf numFmtId="164" fontId="82" fillId="0" borderId="44" xfId="10" applyFont="1" applyBorder="1"/>
    <xf numFmtId="164" fontId="82" fillId="0" borderId="69" xfId="0" applyNumberFormat="1" applyFont="1" applyBorder="1"/>
    <xf numFmtId="164" fontId="59" fillId="0" borderId="0" xfId="10" applyFont="1"/>
    <xf numFmtId="0" fontId="80" fillId="0" borderId="0" xfId="0" applyFont="1"/>
    <xf numFmtId="164" fontId="11" fillId="0" borderId="6" xfId="10" applyFont="1" applyFill="1" applyBorder="1" applyAlignment="1">
      <alignment horizontal="center"/>
    </xf>
    <xf numFmtId="164" fontId="80" fillId="9" borderId="0" xfId="10" applyFont="1" applyFill="1"/>
    <xf numFmtId="164" fontId="11" fillId="0" borderId="0" xfId="10" applyFont="1"/>
    <xf numFmtId="164" fontId="11" fillId="0" borderId="0" xfId="10" applyFont="1" applyBorder="1"/>
    <xf numFmtId="0" fontId="65" fillId="0" borderId="0" xfId="0" applyFont="1" applyAlignment="1">
      <alignment vertical="center"/>
    </xf>
    <xf numFmtId="0" fontId="90" fillId="9" borderId="0" xfId="0" applyFont="1" applyFill="1" applyAlignment="1">
      <alignment vertical="center"/>
    </xf>
    <xf numFmtId="168" fontId="59" fillId="9" borderId="0" xfId="0" applyNumberFormat="1" applyFont="1" applyFill="1" applyAlignment="1">
      <alignment horizontal="center" vertical="center"/>
    </xf>
    <xf numFmtId="172" fontId="59" fillId="9" borderId="0" xfId="0" applyNumberFormat="1" applyFont="1" applyFill="1" applyAlignment="1">
      <alignment horizontal="center" vertical="center"/>
    </xf>
    <xf numFmtId="0" fontId="59" fillId="9" borderId="0" xfId="0" applyFont="1" applyFill="1" applyAlignment="1">
      <alignment horizontal="center" vertical="center"/>
    </xf>
    <xf numFmtId="0" fontId="59" fillId="9" borderId="0" xfId="0" applyFont="1" applyFill="1" applyAlignment="1">
      <alignment vertical="center"/>
    </xf>
    <xf numFmtId="173" fontId="59" fillId="9" borderId="0" xfId="0" applyNumberFormat="1" applyFont="1" applyFill="1" applyAlignment="1">
      <alignment horizontal="center" vertical="center"/>
    </xf>
    <xf numFmtId="173" fontId="59" fillId="9" borderId="0" xfId="0" applyNumberFormat="1" applyFont="1" applyFill="1" applyAlignment="1">
      <alignment horizontal="left" vertical="center"/>
    </xf>
    <xf numFmtId="0" fontId="59" fillId="9" borderId="39" xfId="0" applyFont="1" applyFill="1" applyBorder="1" applyAlignment="1">
      <alignment vertical="center"/>
    </xf>
    <xf numFmtId="173" fontId="59" fillId="9" borderId="39" xfId="0" applyNumberFormat="1" applyFont="1" applyFill="1" applyBorder="1" applyAlignment="1">
      <alignment horizontal="center" vertical="center"/>
    </xf>
    <xf numFmtId="172" fontId="59" fillId="9" borderId="39" xfId="0" applyNumberFormat="1" applyFont="1" applyFill="1" applyBorder="1" applyAlignment="1">
      <alignment horizontal="left" vertical="center"/>
    </xf>
    <xf numFmtId="0" fontId="59" fillId="9" borderId="39" xfId="0" applyFont="1" applyFill="1" applyBorder="1" applyAlignment="1">
      <alignment horizontal="center" vertical="center"/>
    </xf>
    <xf numFmtId="0" fontId="11" fillId="9" borderId="66" xfId="0" applyFont="1" applyFill="1" applyBorder="1" applyAlignment="1">
      <alignment horizontal="center" vertical="center" wrapText="1"/>
    </xf>
    <xf numFmtId="168" fontId="59" fillId="9" borderId="20" xfId="0" applyNumberFormat="1" applyFont="1" applyFill="1" applyBorder="1" applyAlignment="1">
      <alignment horizontal="center" vertical="center" wrapText="1"/>
    </xf>
    <xf numFmtId="0" fontId="59" fillId="9" borderId="20" xfId="0" applyFont="1" applyFill="1" applyBorder="1" applyAlignment="1">
      <alignment horizontal="center" vertical="center"/>
    </xf>
    <xf numFmtId="172" fontId="59" fillId="9" borderId="20" xfId="0" applyNumberFormat="1" applyFont="1" applyFill="1" applyBorder="1" applyAlignment="1">
      <alignment horizontal="center" vertical="center" wrapText="1"/>
    </xf>
    <xf numFmtId="0" fontId="59" fillId="9" borderId="20" xfId="0" applyFont="1" applyFill="1" applyBorder="1" applyAlignment="1">
      <alignment horizontal="center" vertical="center" wrapText="1"/>
    </xf>
    <xf numFmtId="0" fontId="11" fillId="9" borderId="37" xfId="0" applyFont="1" applyFill="1" applyBorder="1" applyAlignment="1">
      <alignment horizontal="center" vertical="center" wrapText="1"/>
    </xf>
    <xf numFmtId="0" fontId="11" fillId="9" borderId="66" xfId="0" applyFont="1" applyFill="1" applyBorder="1"/>
    <xf numFmtId="168" fontId="11" fillId="9" borderId="66" xfId="0" applyNumberFormat="1" applyFont="1" applyFill="1" applyBorder="1" applyAlignment="1">
      <alignment horizontal="center" vertical="center" wrapText="1"/>
    </xf>
    <xf numFmtId="172" fontId="11" fillId="9" borderId="66" xfId="0" applyNumberFormat="1" applyFont="1" applyFill="1" applyBorder="1" applyAlignment="1">
      <alignment horizontal="center" vertical="center"/>
    </xf>
    <xf numFmtId="172" fontId="11" fillId="9" borderId="66" xfId="2" applyNumberFormat="1" applyFont="1" applyFill="1" applyBorder="1" applyAlignment="1">
      <alignment horizontal="center" vertical="center" wrapText="1"/>
    </xf>
    <xf numFmtId="4" fontId="11" fillId="9" borderId="66" xfId="2" applyNumberFormat="1" applyFont="1" applyFill="1" applyBorder="1" applyAlignment="1">
      <alignment horizontal="center" vertical="center" wrapText="1"/>
    </xf>
    <xf numFmtId="0" fontId="11" fillId="0" borderId="37" xfId="0" applyFont="1" applyBorder="1"/>
    <xf numFmtId="0" fontId="11" fillId="0" borderId="37" xfId="0" applyFont="1" applyBorder="1" applyAlignment="1">
      <alignment horizontal="center" vertical="center"/>
    </xf>
    <xf numFmtId="172" fontId="11" fillId="9" borderId="37" xfId="0" applyNumberFormat="1" applyFont="1" applyFill="1" applyBorder="1" applyAlignment="1">
      <alignment horizontal="center" vertical="center"/>
    </xf>
    <xf numFmtId="172" fontId="11" fillId="9" borderId="37" xfId="2" applyNumberFormat="1" applyFont="1" applyFill="1" applyBorder="1" applyAlignment="1">
      <alignment horizontal="center" vertical="center" wrapText="1"/>
    </xf>
    <xf numFmtId="4" fontId="11" fillId="9" borderId="37" xfId="2" applyNumberFormat="1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9" borderId="0" xfId="0" applyFont="1" applyFill="1"/>
    <xf numFmtId="168" fontId="11" fillId="9" borderId="0" xfId="0" applyNumberFormat="1" applyFont="1" applyFill="1" applyAlignment="1">
      <alignment horizontal="center" vertical="center" wrapText="1"/>
    </xf>
    <xf numFmtId="172" fontId="11" fillId="9" borderId="0" xfId="0" applyNumberFormat="1" applyFont="1" applyFill="1" applyAlignment="1">
      <alignment horizontal="center" vertical="center"/>
    </xf>
    <xf numFmtId="172" fontId="11" fillId="9" borderId="0" xfId="2" applyNumberFormat="1" applyFont="1" applyFill="1" applyAlignment="1">
      <alignment horizontal="center" vertical="center" wrapText="1"/>
    </xf>
    <xf numFmtId="49" fontId="59" fillId="9" borderId="0" xfId="0" applyNumberFormat="1" applyFont="1" applyFill="1" applyAlignment="1">
      <alignment horizontal="center" vertical="center"/>
    </xf>
    <xf numFmtId="164" fontId="11" fillId="9" borderId="0" xfId="10" applyFont="1" applyFill="1"/>
    <xf numFmtId="172" fontId="81" fillId="9" borderId="0" xfId="0" applyNumberFormat="1" applyFont="1" applyFill="1" applyAlignment="1">
      <alignment horizontal="center" vertical="center"/>
    </xf>
    <xf numFmtId="0" fontId="11" fillId="9" borderId="40" xfId="0" applyFont="1" applyFill="1" applyBorder="1"/>
    <xf numFmtId="0" fontId="11" fillId="9" borderId="65" xfId="0" applyFont="1" applyFill="1" applyBorder="1"/>
    <xf numFmtId="168" fontId="11" fillId="9" borderId="36" xfId="0" applyNumberFormat="1" applyFont="1" applyFill="1" applyBorder="1" applyAlignment="1">
      <alignment horizontal="center" vertical="center" wrapText="1"/>
    </xf>
    <xf numFmtId="172" fontId="11" fillId="9" borderId="67" xfId="0" applyNumberFormat="1" applyFont="1" applyFill="1" applyBorder="1" applyAlignment="1">
      <alignment horizontal="center" vertical="center"/>
    </xf>
    <xf numFmtId="0" fontId="11" fillId="9" borderId="21" xfId="0" applyFont="1" applyFill="1" applyBorder="1"/>
    <xf numFmtId="0" fontId="11" fillId="9" borderId="66" xfId="0" applyFont="1" applyFill="1" applyBorder="1" applyAlignment="1">
      <alignment horizontal="center" vertical="center"/>
    </xf>
    <xf numFmtId="172" fontId="11" fillId="9" borderId="7" xfId="0" applyNumberFormat="1" applyFont="1" applyFill="1" applyBorder="1" applyAlignment="1">
      <alignment horizontal="center" vertical="center"/>
    </xf>
    <xf numFmtId="0" fontId="11" fillId="9" borderId="10" xfId="0" applyFont="1" applyFill="1" applyBorder="1"/>
    <xf numFmtId="0" fontId="11" fillId="9" borderId="68" xfId="0" applyFont="1" applyFill="1" applyBorder="1" applyAlignment="1">
      <alignment horizontal="center" vertical="center"/>
    </xf>
    <xf numFmtId="172" fontId="11" fillId="9" borderId="11" xfId="0" applyNumberFormat="1" applyFont="1" applyFill="1" applyBorder="1" applyAlignment="1">
      <alignment horizontal="center" vertical="center"/>
    </xf>
    <xf numFmtId="0" fontId="58" fillId="9" borderId="33" xfId="0" applyFont="1" applyFill="1" applyBorder="1"/>
    <xf numFmtId="0" fontId="58" fillId="9" borderId="65" xfId="0" applyFont="1" applyFill="1" applyBorder="1"/>
    <xf numFmtId="9" fontId="58" fillId="9" borderId="22" xfId="1" applyFont="1" applyFill="1" applyBorder="1" applyAlignment="1">
      <alignment horizontal="center"/>
    </xf>
    <xf numFmtId="9" fontId="58" fillId="9" borderId="23" xfId="1" applyFont="1" applyFill="1" applyBorder="1" applyAlignment="1">
      <alignment horizontal="center"/>
    </xf>
    <xf numFmtId="9" fontId="58" fillId="9" borderId="20" xfId="0" applyNumberFormat="1" applyFont="1" applyFill="1" applyBorder="1"/>
    <xf numFmtId="164" fontId="58" fillId="9" borderId="66" xfId="10" applyFont="1" applyFill="1" applyBorder="1"/>
    <xf numFmtId="165" fontId="58" fillId="9" borderId="0" xfId="0" applyNumberFormat="1" applyFont="1" applyFill="1"/>
    <xf numFmtId="0" fontId="58" fillId="9" borderId="66" xfId="0" applyFont="1" applyFill="1" applyBorder="1"/>
    <xf numFmtId="164" fontId="58" fillId="9" borderId="37" xfId="10" applyFont="1" applyFill="1" applyBorder="1"/>
    <xf numFmtId="164" fontId="60" fillId="9" borderId="44" xfId="10" applyFont="1" applyFill="1" applyBorder="1"/>
    <xf numFmtId="164" fontId="60" fillId="9" borderId="3" xfId="10" applyFont="1" applyFill="1" applyBorder="1"/>
    <xf numFmtId="164" fontId="58" fillId="2" borderId="66" xfId="10" applyFont="1" applyFill="1" applyBorder="1"/>
    <xf numFmtId="9" fontId="58" fillId="9" borderId="20" xfId="0" applyNumberFormat="1" applyFont="1" applyFill="1" applyBorder="1" applyAlignment="1">
      <alignment wrapText="1"/>
    </xf>
    <xf numFmtId="175" fontId="84" fillId="37" borderId="79" xfId="0" applyNumberFormat="1" applyFont="1" applyFill="1" applyBorder="1" applyAlignment="1">
      <alignment horizontal="right"/>
    </xf>
    <xf numFmtId="165" fontId="4" fillId="8" borderId="2" xfId="0" applyNumberFormat="1" applyFont="1" applyFill="1" applyBorder="1"/>
    <xf numFmtId="164" fontId="73" fillId="8" borderId="0" xfId="10" applyFont="1" applyFill="1"/>
    <xf numFmtId="164" fontId="76" fillId="8" borderId="0" xfId="10" applyFont="1" applyFill="1"/>
    <xf numFmtId="164" fontId="4" fillId="8" borderId="9" xfId="10" applyFont="1" applyFill="1" applyBorder="1"/>
    <xf numFmtId="164" fontId="11" fillId="0" borderId="9" xfId="3" applyFont="1" applyFill="1" applyBorder="1"/>
    <xf numFmtId="0" fontId="92" fillId="0" borderId="33" xfId="15" applyFont="1" applyBorder="1"/>
    <xf numFmtId="0" fontId="92" fillId="0" borderId="65" xfId="15" applyFont="1" applyBorder="1" applyAlignment="1">
      <alignment horizontal="center" vertical="center" wrapText="1"/>
    </xf>
    <xf numFmtId="170" fontId="91" fillId="9" borderId="9" xfId="3" applyNumberFormat="1" applyFont="1" applyFill="1" applyBorder="1"/>
    <xf numFmtId="0" fontId="91" fillId="0" borderId="0" xfId="15" applyFont="1"/>
    <xf numFmtId="0" fontId="58" fillId="0" borderId="9" xfId="0" applyFont="1" applyBorder="1"/>
    <xf numFmtId="0" fontId="91" fillId="0" borderId="0" xfId="0" applyFont="1"/>
    <xf numFmtId="164" fontId="0" fillId="0" borderId="0" xfId="0" applyNumberFormat="1"/>
    <xf numFmtId="164" fontId="4" fillId="9" borderId="6" xfId="10" applyFont="1" applyFill="1" applyBorder="1"/>
    <xf numFmtId="164" fontId="8" fillId="0" borderId="6" xfId="10" applyFont="1" applyFill="1" applyBorder="1"/>
    <xf numFmtId="164" fontId="70" fillId="9" borderId="1" xfId="10" applyFont="1" applyFill="1" applyBorder="1"/>
    <xf numFmtId="164" fontId="68" fillId="9" borderId="0" xfId="0" applyNumberFormat="1" applyFont="1" applyFill="1"/>
    <xf numFmtId="164" fontId="11" fillId="0" borderId="9" xfId="3" applyFont="1" applyFill="1" applyBorder="1" applyAlignment="1">
      <alignment vertical="center"/>
    </xf>
    <xf numFmtId="12" fontId="58" fillId="0" borderId="0" xfId="10" applyNumberFormat="1" applyFont="1"/>
    <xf numFmtId="12" fontId="58" fillId="0" borderId="0" xfId="0" applyNumberFormat="1" applyFont="1"/>
    <xf numFmtId="164" fontId="58" fillId="9" borderId="0" xfId="0" applyNumberFormat="1" applyFont="1" applyFill="1"/>
    <xf numFmtId="164" fontId="60" fillId="0" borderId="0" xfId="10" applyFont="1" applyBorder="1"/>
    <xf numFmtId="164" fontId="60" fillId="0" borderId="0" xfId="0" applyNumberFormat="1" applyFont="1"/>
    <xf numFmtId="164" fontId="58" fillId="0" borderId="6" xfId="10" applyFont="1" applyFill="1" applyBorder="1"/>
    <xf numFmtId="164" fontId="58" fillId="0" borderId="21" xfId="10" applyFont="1" applyFill="1" applyBorder="1"/>
    <xf numFmtId="0" fontId="11" fillId="0" borderId="9" xfId="2" applyFont="1" applyBorder="1"/>
    <xf numFmtId="172" fontId="11" fillId="0" borderId="0" xfId="2" applyNumberFormat="1" applyFont="1" applyAlignment="1">
      <alignment horizontal="left" vertical="center"/>
    </xf>
    <xf numFmtId="164" fontId="11" fillId="0" borderId="0" xfId="10" applyFont="1" applyFill="1" applyBorder="1"/>
    <xf numFmtId="164" fontId="59" fillId="0" borderId="0" xfId="10" applyFont="1" applyFill="1" applyBorder="1"/>
    <xf numFmtId="9" fontId="11" fillId="0" borderId="0" xfId="2" applyNumberFormat="1" applyFont="1" applyAlignment="1">
      <alignment horizontal="center"/>
    </xf>
    <xf numFmtId="164" fontId="11" fillId="0" borderId="0" xfId="10" applyFont="1" applyFill="1" applyBorder="1" applyAlignment="1">
      <alignment horizontal="center"/>
    </xf>
    <xf numFmtId="4" fontId="59" fillId="0" borderId="69" xfId="2" applyNumberFormat="1" applyFont="1" applyBorder="1"/>
    <xf numFmtId="168" fontId="11" fillId="0" borderId="0" xfId="2" applyNumberFormat="1" applyFont="1" applyAlignment="1">
      <alignment horizontal="center"/>
    </xf>
    <xf numFmtId="172" fontId="11" fillId="0" borderId="0" xfId="0" applyNumberFormat="1" applyFont="1" applyAlignment="1">
      <alignment horizontal="center" vertical="center"/>
    </xf>
    <xf numFmtId="172" fontId="11" fillId="0" borderId="0" xfId="2" applyNumberFormat="1" applyFont="1" applyAlignment="1">
      <alignment horizontal="center" vertical="center" wrapText="1"/>
    </xf>
    <xf numFmtId="4" fontId="59" fillId="38" borderId="1" xfId="2" applyNumberFormat="1" applyFont="1" applyFill="1" applyBorder="1" applyAlignment="1">
      <alignment horizontal="center"/>
    </xf>
    <xf numFmtId="4" fontId="59" fillId="38" borderId="6" xfId="2" applyNumberFormat="1" applyFont="1" applyFill="1" applyBorder="1" applyAlignment="1">
      <alignment horizontal="center" wrapText="1"/>
    </xf>
    <xf numFmtId="4" fontId="59" fillId="38" borderId="8" xfId="2" applyNumberFormat="1" applyFont="1" applyFill="1" applyBorder="1" applyAlignment="1">
      <alignment horizontal="center"/>
    </xf>
    <xf numFmtId="164" fontId="58" fillId="0" borderId="0" xfId="0" applyNumberFormat="1" applyFont="1" applyAlignment="1">
      <alignment horizontal="center"/>
    </xf>
    <xf numFmtId="0" fontId="100" fillId="5" borderId="92" xfId="0" applyFont="1" applyFill="1" applyBorder="1" applyAlignment="1">
      <alignment horizontal="center" vertical="center" wrapText="1"/>
    </xf>
    <xf numFmtId="0" fontId="100" fillId="5" borderId="92" xfId="0" applyFont="1" applyFill="1" applyBorder="1" applyAlignment="1">
      <alignment horizontal="right" vertical="center" wrapText="1"/>
    </xf>
    <xf numFmtId="0" fontId="94" fillId="0" borderId="0" xfId="0" applyFont="1" applyAlignment="1">
      <alignment horizontal="center" vertical="center" wrapText="1"/>
    </xf>
    <xf numFmtId="0" fontId="93" fillId="5" borderId="0" xfId="0" applyFont="1" applyFill="1" applyAlignment="1">
      <alignment horizontal="right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97" fillId="40" borderId="88" xfId="0" applyFont="1" applyFill="1" applyBorder="1" applyAlignment="1">
      <alignment horizontal="center" vertical="center"/>
    </xf>
    <xf numFmtId="0" fontId="97" fillId="41" borderId="88" xfId="0" applyFont="1" applyFill="1" applyBorder="1" applyAlignment="1">
      <alignment horizontal="center" vertical="center"/>
    </xf>
    <xf numFmtId="0" fontId="97" fillId="42" borderId="88" xfId="0" applyFont="1" applyFill="1" applyBorder="1" applyAlignment="1">
      <alignment horizontal="center" vertical="center"/>
    </xf>
    <xf numFmtId="0" fontId="97" fillId="40" borderId="89" xfId="0" applyFont="1" applyFill="1" applyBorder="1" applyAlignment="1">
      <alignment horizontal="center" vertical="center"/>
    </xf>
    <xf numFmtId="0" fontId="97" fillId="41" borderId="89" xfId="0" applyFont="1" applyFill="1" applyBorder="1" applyAlignment="1">
      <alignment horizontal="center" vertical="center"/>
    </xf>
    <xf numFmtId="0" fontId="97" fillId="42" borderId="89" xfId="0" applyFont="1" applyFill="1" applyBorder="1" applyAlignment="1">
      <alignment horizontal="center" vertical="center"/>
    </xf>
    <xf numFmtId="0" fontId="98" fillId="42" borderId="89" xfId="0" applyFont="1" applyFill="1" applyBorder="1" applyAlignment="1">
      <alignment horizontal="center" vertical="center"/>
    </xf>
    <xf numFmtId="0" fontId="98" fillId="40" borderId="90" xfId="0" applyFont="1" applyFill="1" applyBorder="1" applyAlignment="1">
      <alignment horizontal="center" vertical="center"/>
    </xf>
    <xf numFmtId="0" fontId="97" fillId="41" borderId="91" xfId="0" applyFont="1" applyFill="1" applyBorder="1" applyAlignment="1">
      <alignment horizontal="center" vertical="center"/>
    </xf>
    <xf numFmtId="0" fontId="98" fillId="42" borderId="90" xfId="0" applyFont="1" applyFill="1" applyBorder="1" applyAlignment="1">
      <alignment horizontal="center" vertical="center"/>
    </xf>
    <xf numFmtId="0" fontId="0" fillId="42" borderId="90" xfId="0" applyFill="1" applyBorder="1" applyAlignment="1">
      <alignment vertical="center"/>
    </xf>
    <xf numFmtId="0" fontId="101" fillId="0" borderId="0" xfId="0" applyFont="1" applyAlignment="1">
      <alignment horizontal="left" vertical="center"/>
    </xf>
    <xf numFmtId="0" fontId="97" fillId="40" borderId="88" xfId="0" applyFont="1" applyFill="1" applyBorder="1" applyAlignment="1">
      <alignment horizontal="center" vertical="center" wrapText="1"/>
    </xf>
    <xf numFmtId="0" fontId="97" fillId="40" borderId="89" xfId="0" applyFont="1" applyFill="1" applyBorder="1" applyAlignment="1">
      <alignment horizontal="center" vertical="center" wrapText="1"/>
    </xf>
    <xf numFmtId="0" fontId="98" fillId="40" borderId="90" xfId="0" applyFont="1" applyFill="1" applyBorder="1" applyAlignment="1">
      <alignment horizontal="center" vertical="center" wrapText="1"/>
    </xf>
    <xf numFmtId="0" fontId="97" fillId="41" borderId="88" xfId="0" applyFont="1" applyFill="1" applyBorder="1" applyAlignment="1">
      <alignment horizontal="center" vertical="center" wrapText="1"/>
    </xf>
    <xf numFmtId="0" fontId="97" fillId="41" borderId="89" xfId="0" applyFont="1" applyFill="1" applyBorder="1" applyAlignment="1">
      <alignment horizontal="center" vertical="center" wrapText="1"/>
    </xf>
    <xf numFmtId="0" fontId="97" fillId="41" borderId="91" xfId="0" applyFont="1" applyFill="1" applyBorder="1" applyAlignment="1">
      <alignment horizontal="center" vertical="center" wrapText="1"/>
    </xf>
    <xf numFmtId="0" fontId="97" fillId="42" borderId="88" xfId="0" applyFont="1" applyFill="1" applyBorder="1" applyAlignment="1">
      <alignment horizontal="center" vertical="center" wrapText="1"/>
    </xf>
    <xf numFmtId="0" fontId="97" fillId="42" borderId="89" xfId="0" applyFont="1" applyFill="1" applyBorder="1" applyAlignment="1">
      <alignment horizontal="center" vertical="center" wrapText="1"/>
    </xf>
    <xf numFmtId="0" fontId="98" fillId="42" borderId="90" xfId="0" applyFont="1" applyFill="1" applyBorder="1" applyAlignment="1">
      <alignment horizontal="center" vertical="center" wrapText="1"/>
    </xf>
    <xf numFmtId="0" fontId="98" fillId="42" borderId="89" xfId="0" applyFont="1" applyFill="1" applyBorder="1" applyAlignment="1">
      <alignment horizontal="center" vertical="center" wrapText="1"/>
    </xf>
    <xf numFmtId="0" fontId="0" fillId="42" borderId="90" xfId="0" applyFill="1" applyBorder="1" applyAlignment="1">
      <alignment vertical="center" wrapText="1"/>
    </xf>
    <xf numFmtId="165" fontId="4" fillId="43" borderId="2" xfId="0" applyNumberFormat="1" applyFont="1" applyFill="1" applyBorder="1"/>
    <xf numFmtId="164" fontId="68" fillId="8" borderId="9" xfId="10" applyFont="1" applyFill="1" applyBorder="1"/>
    <xf numFmtId="164" fontId="68" fillId="43" borderId="2" xfId="10" applyFont="1" applyFill="1" applyBorder="1"/>
    <xf numFmtId="164" fontId="68" fillId="43" borderId="9" xfId="10" applyFont="1" applyFill="1" applyBorder="1"/>
    <xf numFmtId="164" fontId="68" fillId="43" borderId="1" xfId="10" applyFont="1" applyFill="1" applyBorder="1"/>
    <xf numFmtId="164" fontId="69" fillId="43" borderId="9" xfId="10" applyFont="1" applyFill="1" applyBorder="1"/>
    <xf numFmtId="164" fontId="68" fillId="43" borderId="8" xfId="10" applyFont="1" applyFill="1" applyBorder="1"/>
    <xf numFmtId="0" fontId="11" fillId="8" borderId="9" xfId="2" applyFont="1" applyFill="1" applyBorder="1"/>
    <xf numFmtId="1" fontId="11" fillId="0" borderId="0" xfId="2" applyNumberFormat="1" applyFont="1"/>
    <xf numFmtId="9" fontId="59" fillId="0" borderId="6" xfId="1" applyFont="1" applyBorder="1" applyAlignment="1">
      <alignment horizontal="center"/>
    </xf>
    <xf numFmtId="164" fontId="1" fillId="8" borderId="0" xfId="10" applyFill="1"/>
    <xf numFmtId="164" fontId="69" fillId="9" borderId="69" xfId="0" applyNumberFormat="1" applyFont="1" applyFill="1" applyBorder="1"/>
    <xf numFmtId="164" fontId="68" fillId="9" borderId="69" xfId="10" applyFont="1" applyFill="1" applyBorder="1"/>
    <xf numFmtId="164" fontId="68" fillId="43" borderId="0" xfId="10" applyFont="1" applyFill="1" applyBorder="1"/>
    <xf numFmtId="164" fontId="69" fillId="43" borderId="0" xfId="10" applyFont="1" applyFill="1" applyBorder="1"/>
    <xf numFmtId="164" fontId="67" fillId="9" borderId="60" xfId="10" applyFont="1" applyFill="1" applyBorder="1" applyAlignment="1">
      <alignment horizontal="center"/>
    </xf>
    <xf numFmtId="164" fontId="80" fillId="9" borderId="9" xfId="3" applyFont="1" applyFill="1" applyBorder="1"/>
    <xf numFmtId="170" fontId="11" fillId="9" borderId="9" xfId="3" applyNumberFormat="1" applyFont="1" applyFill="1" applyBorder="1"/>
    <xf numFmtId="164" fontId="79" fillId="9" borderId="9" xfId="3" applyFont="1" applyFill="1" applyBorder="1"/>
    <xf numFmtId="170" fontId="11" fillId="9" borderId="9" xfId="15" applyNumberFormat="1" applyFont="1" applyFill="1" applyBorder="1"/>
    <xf numFmtId="170" fontId="11" fillId="9" borderId="9" xfId="0" applyNumberFormat="1" applyFont="1" applyFill="1" applyBorder="1"/>
    <xf numFmtId="0" fontId="58" fillId="9" borderId="9" xfId="0" applyFont="1" applyFill="1" applyBorder="1"/>
    <xf numFmtId="164" fontId="67" fillId="0" borderId="6" xfId="10" applyFont="1" applyBorder="1"/>
    <xf numFmtId="0" fontId="67" fillId="9" borderId="99" xfId="0" applyFont="1" applyFill="1" applyBorder="1" applyAlignment="1">
      <alignment horizontal="center"/>
    </xf>
    <xf numFmtId="164" fontId="67" fillId="9" borderId="1" xfId="10" applyFont="1" applyFill="1" applyBorder="1" applyAlignment="1">
      <alignment horizontal="center"/>
    </xf>
    <xf numFmtId="164" fontId="67" fillId="9" borderId="100" xfId="10" applyFont="1" applyFill="1" applyBorder="1" applyAlignment="1">
      <alignment horizontal="center"/>
    </xf>
    <xf numFmtId="164" fontId="67" fillId="9" borderId="67" xfId="10" applyFont="1" applyFill="1" applyBorder="1" applyAlignment="1">
      <alignment horizontal="center"/>
    </xf>
    <xf numFmtId="4" fontId="59" fillId="0" borderId="30" xfId="2" applyNumberFormat="1" applyFont="1" applyBorder="1"/>
    <xf numFmtId="164" fontId="4" fillId="9" borderId="9" xfId="10" applyFont="1" applyFill="1" applyBorder="1"/>
    <xf numFmtId="164" fontId="59" fillId="0" borderId="6" xfId="10" applyFont="1" applyFill="1" applyBorder="1"/>
    <xf numFmtId="164" fontId="80" fillId="0" borderId="0" xfId="10" applyFont="1" applyFill="1" applyAlignment="1">
      <alignment horizontal="center"/>
    </xf>
    <xf numFmtId="0" fontId="102" fillId="5" borderId="101" xfId="0" applyFont="1" applyFill="1" applyBorder="1" applyAlignment="1">
      <alignment horizontal="left" vertical="center"/>
    </xf>
    <xf numFmtId="4" fontId="81" fillId="0" borderId="0" xfId="2" applyNumberFormat="1" applyFont="1"/>
    <xf numFmtId="164" fontId="58" fillId="0" borderId="6" xfId="10" applyFont="1" applyFill="1" applyBorder="1" applyAlignment="1">
      <alignment horizontal="center"/>
    </xf>
    <xf numFmtId="164" fontId="11" fillId="0" borderId="6" xfId="3" applyFont="1" applyFill="1" applyBorder="1"/>
    <xf numFmtId="164" fontId="11" fillId="0" borderId="7" xfId="10" applyFont="1" applyFill="1" applyBorder="1" applyAlignment="1">
      <alignment horizontal="center"/>
    </xf>
    <xf numFmtId="164" fontId="58" fillId="0" borderId="7" xfId="10" applyFont="1" applyFill="1" applyBorder="1" applyAlignment="1">
      <alignment horizontal="center"/>
    </xf>
    <xf numFmtId="0" fontId="11" fillId="0" borderId="6" xfId="2" applyFont="1" applyBorder="1" applyAlignment="1">
      <alignment horizontal="center"/>
    </xf>
    <xf numFmtId="0" fontId="11" fillId="0" borderId="6" xfId="2" applyFont="1" applyBorder="1"/>
    <xf numFmtId="49" fontId="11" fillId="0" borderId="21" xfId="2" applyNumberFormat="1" applyFont="1" applyBorder="1" applyAlignment="1">
      <alignment horizontal="center"/>
    </xf>
    <xf numFmtId="172" fontId="11" fillId="0" borderId="1" xfId="0" applyNumberFormat="1" applyFont="1" applyBorder="1" applyAlignment="1">
      <alignment horizontal="center" vertical="center" wrapText="1"/>
    </xf>
    <xf numFmtId="172" fontId="11" fillId="0" borderId="5" xfId="2" applyNumberFormat="1" applyFont="1" applyBorder="1" applyAlignment="1">
      <alignment horizontal="center" vertical="center" wrapText="1"/>
    </xf>
    <xf numFmtId="172" fontId="11" fillId="0" borderId="7" xfId="2" applyNumberFormat="1" applyFont="1" applyBorder="1" applyAlignment="1">
      <alignment horizontal="center" vertical="center" wrapText="1"/>
    </xf>
    <xf numFmtId="172" fontId="11" fillId="0" borderId="7" xfId="2" applyNumberFormat="1" applyFont="1" applyBorder="1" applyAlignment="1">
      <alignment horizontal="left" vertical="center"/>
    </xf>
    <xf numFmtId="0" fontId="11" fillId="0" borderId="7" xfId="2" applyFont="1" applyBorder="1"/>
    <xf numFmtId="9" fontId="11" fillId="0" borderId="6" xfId="2" applyNumberFormat="1" applyFont="1" applyBorder="1" applyAlignment="1">
      <alignment horizontal="center"/>
    </xf>
    <xf numFmtId="10" fontId="11" fillId="0" borderId="6" xfId="2" applyNumberFormat="1" applyFont="1" applyBorder="1"/>
    <xf numFmtId="168" fontId="11" fillId="0" borderId="21" xfId="2" applyNumberFormat="1" applyFont="1" applyBorder="1" applyAlignment="1">
      <alignment horizontal="center"/>
    </xf>
    <xf numFmtId="172" fontId="11" fillId="0" borderId="6" xfId="0" applyNumberFormat="1" applyFont="1" applyBorder="1" applyAlignment="1">
      <alignment horizontal="center" vertical="center"/>
    </xf>
    <xf numFmtId="1" fontId="11" fillId="0" borderId="6" xfId="2" applyNumberFormat="1" applyFont="1" applyBorder="1"/>
    <xf numFmtId="4" fontId="11" fillId="0" borderId="21" xfId="2" applyNumberFormat="1" applyFont="1" applyBorder="1"/>
    <xf numFmtId="4" fontId="80" fillId="0" borderId="0" xfId="2" applyNumberFormat="1" applyFont="1"/>
    <xf numFmtId="0" fontId="80" fillId="0" borderId="0" xfId="2" applyFont="1"/>
    <xf numFmtId="4" fontId="11" fillId="0" borderId="7" xfId="2" applyNumberFormat="1" applyFont="1" applyBorder="1"/>
    <xf numFmtId="9" fontId="11" fillId="0" borderId="7" xfId="2" applyNumberFormat="1" applyFont="1" applyBorder="1" applyAlignment="1">
      <alignment horizontal="center"/>
    </xf>
    <xf numFmtId="0" fontId="58" fillId="0" borderId="0" xfId="2" applyFont="1" applyAlignment="1">
      <alignment horizontal="left"/>
    </xf>
    <xf numFmtId="0" fontId="58" fillId="0" borderId="6" xfId="2" applyFont="1" applyBorder="1" applyAlignment="1">
      <alignment horizontal="center"/>
    </xf>
    <xf numFmtId="0" fontId="58" fillId="0" borderId="6" xfId="2" applyFont="1" applyBorder="1"/>
    <xf numFmtId="168" fontId="58" fillId="0" borderId="21" xfId="2" applyNumberFormat="1" applyFont="1" applyBorder="1" applyAlignment="1">
      <alignment horizontal="center"/>
    </xf>
    <xf numFmtId="172" fontId="58" fillId="0" borderId="6" xfId="0" applyNumberFormat="1" applyFont="1" applyBorder="1" applyAlignment="1">
      <alignment horizontal="center" vertical="center"/>
    </xf>
    <xf numFmtId="172" fontId="58" fillId="0" borderId="7" xfId="2" applyNumberFormat="1" applyFont="1" applyBorder="1" applyAlignment="1">
      <alignment horizontal="center" vertical="center" wrapText="1"/>
    </xf>
    <xf numFmtId="172" fontId="58" fillId="0" borderId="7" xfId="2" applyNumberFormat="1" applyFont="1" applyBorder="1" applyAlignment="1">
      <alignment horizontal="left" vertical="center"/>
    </xf>
    <xf numFmtId="0" fontId="58" fillId="0" borderId="7" xfId="2" applyFont="1" applyBorder="1"/>
    <xf numFmtId="4" fontId="58" fillId="0" borderId="6" xfId="2" applyNumberFormat="1" applyFont="1" applyBorder="1"/>
    <xf numFmtId="0" fontId="58" fillId="0" borderId="0" xfId="2" applyFont="1"/>
    <xf numFmtId="4" fontId="58" fillId="0" borderId="7" xfId="2" applyNumberFormat="1" applyFont="1" applyBorder="1"/>
    <xf numFmtId="0" fontId="58" fillId="0" borderId="6" xfId="2" applyFont="1" applyBorder="1" applyAlignment="1">
      <alignment horizontal="right"/>
    </xf>
    <xf numFmtId="9" fontId="58" fillId="0" borderId="6" xfId="2" applyNumberFormat="1" applyFont="1" applyBorder="1" applyAlignment="1">
      <alignment horizontal="center"/>
    </xf>
    <xf numFmtId="10" fontId="58" fillId="0" borderId="6" xfId="2" applyNumberFormat="1" applyFont="1" applyBorder="1"/>
    <xf numFmtId="4" fontId="58" fillId="0" borderId="21" xfId="2" applyNumberFormat="1" applyFont="1" applyBorder="1"/>
    <xf numFmtId="164" fontId="11" fillId="0" borderId="0" xfId="2" applyNumberFormat="1" applyFont="1"/>
    <xf numFmtId="2" fontId="11" fillId="0" borderId="6" xfId="2" applyNumberFormat="1" applyFont="1" applyBorder="1"/>
    <xf numFmtId="2" fontId="11" fillId="0" borderId="21" xfId="2" applyNumberFormat="1" applyFont="1" applyBorder="1"/>
    <xf numFmtId="2" fontId="11" fillId="0" borderId="7" xfId="2" applyNumberFormat="1" applyFont="1" applyBorder="1" applyAlignment="1">
      <alignment horizontal="center"/>
    </xf>
    <xf numFmtId="172" fontId="11" fillId="0" borderId="6" xfId="2" applyNumberFormat="1" applyFont="1" applyBorder="1" applyAlignment="1">
      <alignment horizontal="center" vertical="center" wrapText="1"/>
    </xf>
    <xf numFmtId="0" fontId="80" fillId="0" borderId="6" xfId="2" applyFont="1" applyBorder="1"/>
    <xf numFmtId="0" fontId="80" fillId="0" borderId="0" xfId="2" applyFont="1" applyAlignment="1">
      <alignment horizontal="center"/>
    </xf>
    <xf numFmtId="172" fontId="11" fillId="0" borderId="6" xfId="2" applyNumberFormat="1" applyFont="1" applyBorder="1" applyAlignment="1">
      <alignment horizontal="left" vertical="center"/>
    </xf>
    <xf numFmtId="4" fontId="11" fillId="0" borderId="6" xfId="2" applyNumberFormat="1" applyFont="1" applyBorder="1" applyAlignment="1">
      <alignment horizontal="center"/>
    </xf>
    <xf numFmtId="49" fontId="11" fillId="0" borderId="10" xfId="2" applyNumberFormat="1" applyFont="1" applyBorder="1" applyAlignment="1">
      <alignment horizontal="center"/>
    </xf>
    <xf numFmtId="177" fontId="11" fillId="0" borderId="10" xfId="2" applyNumberFormat="1" applyFont="1" applyBorder="1" applyAlignment="1">
      <alignment horizontal="center"/>
    </xf>
    <xf numFmtId="177" fontId="11" fillId="0" borderId="8" xfId="2" applyNumberFormat="1" applyFont="1" applyBorder="1" applyAlignment="1">
      <alignment horizontal="center"/>
    </xf>
    <xf numFmtId="49" fontId="11" fillId="0" borderId="44" xfId="2" applyNumberFormat="1" applyFont="1" applyBorder="1" applyAlignment="1">
      <alignment horizontal="center"/>
    </xf>
    <xf numFmtId="172" fontId="11" fillId="0" borderId="8" xfId="2" applyNumberFormat="1" applyFont="1" applyBorder="1" applyAlignment="1">
      <alignment horizontal="left" vertical="center"/>
    </xf>
    <xf numFmtId="4" fontId="11" fillId="0" borderId="30" xfId="2" applyNumberFormat="1" applyFont="1" applyBorder="1"/>
    <xf numFmtId="0" fontId="11" fillId="0" borderId="30" xfId="2" applyFont="1" applyBorder="1"/>
    <xf numFmtId="0" fontId="59" fillId="0" borderId="30" xfId="2" applyFont="1" applyBorder="1"/>
    <xf numFmtId="0" fontId="11" fillId="0" borderId="40" xfId="2" applyFont="1" applyBorder="1"/>
    <xf numFmtId="4" fontId="11" fillId="0" borderId="38" xfId="2" applyNumberFormat="1" applyFont="1" applyBorder="1"/>
    <xf numFmtId="9" fontId="58" fillId="0" borderId="0" xfId="1" applyFont="1"/>
    <xf numFmtId="164" fontId="58" fillId="0" borderId="72" xfId="10" applyFont="1" applyBorder="1"/>
    <xf numFmtId="164" fontId="60" fillId="0" borderId="0" xfId="10" applyFont="1"/>
    <xf numFmtId="0" fontId="11" fillId="0" borderId="8" xfId="2" applyFont="1" applyBorder="1" applyAlignment="1">
      <alignment horizontal="center"/>
    </xf>
    <xf numFmtId="177" fontId="11" fillId="0" borderId="21" xfId="0" applyNumberFormat="1" applyFont="1" applyBorder="1" applyAlignment="1">
      <alignment horizontal="center" vertical="center"/>
    </xf>
    <xf numFmtId="164" fontId="103" fillId="0" borderId="0" xfId="0" applyNumberFormat="1" applyFont="1"/>
    <xf numFmtId="177" fontId="11" fillId="0" borderId="6" xfId="2" applyNumberFormat="1" applyFont="1" applyBorder="1" applyAlignment="1">
      <alignment horizontal="center" vertical="center" wrapText="1"/>
    </xf>
    <xf numFmtId="4" fontId="81" fillId="0" borderId="23" xfId="2" applyNumberFormat="1" applyFont="1" applyBorder="1"/>
    <xf numFmtId="164" fontId="104" fillId="9" borderId="20" xfId="10" applyFont="1" applyFill="1" applyBorder="1"/>
    <xf numFmtId="164" fontId="105" fillId="9" borderId="9" xfId="10" applyFont="1" applyFill="1" applyBorder="1"/>
    <xf numFmtId="164" fontId="105" fillId="9" borderId="1" xfId="10" applyFont="1" applyFill="1" applyBorder="1"/>
    <xf numFmtId="0" fontId="105" fillId="9" borderId="9" xfId="0" applyFont="1" applyFill="1" applyBorder="1"/>
    <xf numFmtId="0" fontId="105" fillId="9" borderId="0" xfId="0" applyFont="1" applyFill="1"/>
    <xf numFmtId="164" fontId="106" fillId="25" borderId="6" xfId="10" applyFont="1" applyFill="1" applyBorder="1"/>
    <xf numFmtId="164" fontId="106" fillId="25" borderId="7" xfId="10" applyFont="1" applyFill="1" applyBorder="1"/>
    <xf numFmtId="164" fontId="105" fillId="25" borderId="1" xfId="10" applyFont="1" applyFill="1" applyBorder="1"/>
    <xf numFmtId="165" fontId="69" fillId="9" borderId="20" xfId="0" applyNumberFormat="1" applyFont="1" applyFill="1" applyBorder="1"/>
    <xf numFmtId="165" fontId="69" fillId="2" borderId="20" xfId="0" applyNumberFormat="1" applyFont="1" applyFill="1" applyBorder="1"/>
    <xf numFmtId="164" fontId="106" fillId="25" borderId="9" xfId="10" applyFont="1" applyFill="1" applyBorder="1"/>
    <xf numFmtId="0" fontId="76" fillId="9" borderId="9" xfId="0" applyFont="1" applyFill="1" applyBorder="1"/>
    <xf numFmtId="164" fontId="70" fillId="9" borderId="9" xfId="10" applyFont="1" applyFill="1" applyBorder="1"/>
    <xf numFmtId="9" fontId="4" fillId="9" borderId="9" xfId="0" applyNumberFormat="1" applyFont="1" applyFill="1" applyBorder="1"/>
    <xf numFmtId="164" fontId="8" fillId="25" borderId="9" xfId="10" applyFont="1" applyFill="1" applyBorder="1"/>
    <xf numFmtId="9" fontId="73" fillId="9" borderId="9" xfId="0" applyNumberFormat="1" applyFont="1" applyFill="1" applyBorder="1"/>
    <xf numFmtId="0" fontId="105" fillId="9" borderId="6" xfId="0" applyFont="1" applyFill="1" applyBorder="1"/>
    <xf numFmtId="164" fontId="105" fillId="9" borderId="6" xfId="10" applyFont="1" applyFill="1" applyBorder="1"/>
    <xf numFmtId="164" fontId="105" fillId="9" borderId="0" xfId="10" applyFont="1" applyFill="1"/>
    <xf numFmtId="165" fontId="69" fillId="17" borderId="20" xfId="0" applyNumberFormat="1" applyFont="1" applyFill="1" applyBorder="1"/>
    <xf numFmtId="0" fontId="101" fillId="0" borderId="0" xfId="0" applyFont="1"/>
    <xf numFmtId="0" fontId="11" fillId="0" borderId="1" xfId="2" applyFont="1" applyBorder="1"/>
    <xf numFmtId="164" fontId="82" fillId="43" borderId="0" xfId="10" applyFont="1" applyFill="1"/>
    <xf numFmtId="164" fontId="70" fillId="9" borderId="69" xfId="0" applyNumberFormat="1" applyFont="1" applyFill="1" applyBorder="1"/>
    <xf numFmtId="164" fontId="80" fillId="0" borderId="0" xfId="10" applyFont="1" applyFill="1"/>
    <xf numFmtId="4" fontId="59" fillId="8" borderId="0" xfId="0" applyNumberFormat="1" applyFont="1" applyFill="1"/>
    <xf numFmtId="0" fontId="59" fillId="6" borderId="0" xfId="0" applyFont="1" applyFill="1"/>
    <xf numFmtId="165" fontId="58" fillId="9" borderId="36" xfId="0" applyNumberFormat="1" applyFont="1" applyFill="1" applyBorder="1"/>
    <xf numFmtId="165" fontId="58" fillId="9" borderId="66" xfId="0" applyNumberFormat="1" applyFont="1" applyFill="1" applyBorder="1"/>
    <xf numFmtId="165" fontId="58" fillId="9" borderId="37" xfId="0" applyNumberFormat="1" applyFont="1" applyFill="1" applyBorder="1"/>
    <xf numFmtId="0" fontId="82" fillId="0" borderId="69" xfId="0" applyFont="1" applyBorder="1"/>
    <xf numFmtId="164" fontId="81" fillId="0" borderId="0" xfId="15" applyNumberFormat="1" applyFont="1"/>
    <xf numFmtId="0" fontId="81" fillId="0" borderId="0" xfId="0" applyFont="1"/>
    <xf numFmtId="43" fontId="58" fillId="0" borderId="0" xfId="0" applyNumberFormat="1" applyFont="1"/>
    <xf numFmtId="2" fontId="11" fillId="0" borderId="0" xfId="2" applyNumberFormat="1" applyFont="1"/>
    <xf numFmtId="4" fontId="107" fillId="0" borderId="6" xfId="2" applyNumberFormat="1" applyFont="1" applyBorder="1"/>
    <xf numFmtId="176" fontId="87" fillId="31" borderId="83" xfId="0" applyNumberFormat="1" applyFont="1" applyFill="1" applyBorder="1"/>
    <xf numFmtId="164" fontId="105" fillId="2" borderId="1" xfId="10" applyFont="1" applyFill="1" applyBorder="1"/>
    <xf numFmtId="164" fontId="11" fillId="9" borderId="6" xfId="10" applyFont="1" applyFill="1" applyBorder="1" applyAlignment="1">
      <alignment horizontal="center"/>
    </xf>
    <xf numFmtId="164" fontId="58" fillId="9" borderId="9" xfId="10" applyFont="1" applyFill="1" applyBorder="1"/>
    <xf numFmtId="164" fontId="80" fillId="0" borderId="0" xfId="10" applyFont="1"/>
    <xf numFmtId="164" fontId="11" fillId="0" borderId="0" xfId="10" applyFont="1" applyAlignment="1">
      <alignment horizontal="center"/>
    </xf>
    <xf numFmtId="164" fontId="58" fillId="0" borderId="0" xfId="10" applyFont="1" applyAlignment="1">
      <alignment horizontal="center"/>
    </xf>
    <xf numFmtId="164" fontId="80" fillId="0" borderId="0" xfId="10" applyFont="1" applyAlignment="1">
      <alignment horizontal="center"/>
    </xf>
    <xf numFmtId="16" fontId="68" fillId="9" borderId="0" xfId="0" applyNumberFormat="1" applyFont="1" applyFill="1"/>
    <xf numFmtId="0" fontId="80" fillId="0" borderId="0" xfId="2" applyFont="1" applyAlignment="1">
      <alignment horizontal="left"/>
    </xf>
    <xf numFmtId="164" fontId="81" fillId="9" borderId="0" xfId="0" applyNumberFormat="1" applyFont="1" applyFill="1"/>
    <xf numFmtId="164" fontId="81" fillId="9" borderId="0" xfId="10" applyFont="1" applyFill="1"/>
    <xf numFmtId="4" fontId="59" fillId="9" borderId="2" xfId="2" applyNumberFormat="1" applyFont="1" applyFill="1" applyBorder="1" applyAlignment="1">
      <alignment horizontal="center"/>
    </xf>
    <xf numFmtId="4" fontId="59" fillId="9" borderId="3" xfId="2" applyNumberFormat="1" applyFont="1" applyFill="1" applyBorder="1" applyAlignment="1">
      <alignment horizontal="center"/>
    </xf>
    <xf numFmtId="4" fontId="59" fillId="9" borderId="4" xfId="2" applyNumberFormat="1" applyFont="1" applyFill="1" applyBorder="1" applyAlignment="1">
      <alignment horizontal="center"/>
    </xf>
    <xf numFmtId="164" fontId="59" fillId="8" borderId="9" xfId="10" applyFont="1" applyFill="1" applyBorder="1"/>
    <xf numFmtId="4" fontId="59" fillId="8" borderId="9" xfId="2" applyNumberFormat="1" applyFont="1" applyFill="1" applyBorder="1"/>
    <xf numFmtId="0" fontId="11" fillId="0" borderId="9" xfId="2" applyFont="1" applyBorder="1" applyAlignment="1">
      <alignment horizontal="center"/>
    </xf>
    <xf numFmtId="4" fontId="11" fillId="0" borderId="9" xfId="2" applyNumberFormat="1" applyFont="1" applyBorder="1"/>
    <xf numFmtId="0" fontId="11" fillId="0" borderId="6" xfId="2" applyFont="1" applyBorder="1" applyAlignment="1">
      <alignment horizontal="left"/>
    </xf>
    <xf numFmtId="0" fontId="11" fillId="0" borderId="30" xfId="2" applyFont="1" applyBorder="1" applyAlignment="1">
      <alignment horizontal="left"/>
    </xf>
    <xf numFmtId="0" fontId="59" fillId="0" borderId="65" xfId="15" applyFont="1" applyBorder="1" applyAlignment="1">
      <alignment horizontal="center" wrapText="1"/>
    </xf>
    <xf numFmtId="0" fontId="59" fillId="0" borderId="9" xfId="15" applyFont="1" applyBorder="1"/>
    <xf numFmtId="0" fontId="92" fillId="0" borderId="9" xfId="15" applyFont="1" applyBorder="1" applyAlignment="1">
      <alignment horizontal="center"/>
    </xf>
    <xf numFmtId="0" fontId="59" fillId="0" borderId="9" xfId="15" applyFont="1" applyBorder="1" applyAlignment="1">
      <alignment horizontal="center"/>
    </xf>
    <xf numFmtId="164" fontId="59" fillId="0" borderId="9" xfId="3" applyFont="1" applyBorder="1" applyAlignment="1">
      <alignment horizontal="center" vertical="center"/>
    </xf>
    <xf numFmtId="164" fontId="11" fillId="23" borderId="9" xfId="3" applyFont="1" applyFill="1" applyBorder="1" applyAlignment="1">
      <alignment horizontal="center" vertical="center"/>
    </xf>
    <xf numFmtId="164" fontId="11" fillId="9" borderId="9" xfId="3" applyFont="1" applyFill="1" applyBorder="1" applyAlignment="1">
      <alignment vertical="center"/>
    </xf>
    <xf numFmtId="0" fontId="11" fillId="9" borderId="9" xfId="2" applyFont="1" applyFill="1" applyBorder="1"/>
    <xf numFmtId="0" fontId="58" fillId="0" borderId="9" xfId="2" applyFont="1" applyBorder="1" applyAlignment="1">
      <alignment horizontal="center"/>
    </xf>
    <xf numFmtId="0" fontId="58" fillId="9" borderId="9" xfId="2" applyFont="1" applyFill="1" applyBorder="1"/>
    <xf numFmtId="4" fontId="58" fillId="0" borderId="9" xfId="2" applyNumberFormat="1" applyFont="1" applyBorder="1"/>
    <xf numFmtId="0" fontId="58" fillId="0" borderId="9" xfId="2" applyFont="1" applyBorder="1"/>
    <xf numFmtId="170" fontId="11" fillId="0" borderId="9" xfId="3" applyNumberFormat="1" applyFont="1" applyFill="1" applyBorder="1"/>
    <xf numFmtId="3" fontId="11" fillId="0" borderId="9" xfId="3" applyNumberFormat="1" applyFont="1" applyFill="1" applyBorder="1" applyAlignment="1">
      <alignment horizontal="center" vertical="center"/>
    </xf>
    <xf numFmtId="0" fontId="11" fillId="4" borderId="9" xfId="2" applyFont="1" applyFill="1" applyBorder="1"/>
    <xf numFmtId="0" fontId="59" fillId="8" borderId="9" xfId="2" applyFont="1" applyFill="1" applyBorder="1" applyAlignment="1">
      <alignment horizontal="center"/>
    </xf>
    <xf numFmtId="0" fontId="59" fillId="8" borderId="9" xfId="2" applyFont="1" applyFill="1" applyBorder="1"/>
    <xf numFmtId="9" fontId="59" fillId="8" borderId="9" xfId="2" applyNumberFormat="1" applyFont="1" applyFill="1" applyBorder="1" applyAlignment="1">
      <alignment horizontal="center"/>
    </xf>
    <xf numFmtId="164" fontId="59" fillId="8" borderId="9" xfId="10" applyFont="1" applyFill="1" applyBorder="1" applyAlignment="1">
      <alignment horizontal="center"/>
    </xf>
    <xf numFmtId="0" fontId="81" fillId="8" borderId="9" xfId="2" applyFont="1" applyFill="1" applyBorder="1"/>
    <xf numFmtId="0" fontId="33" fillId="0" borderId="0" xfId="0" applyFont="1" applyAlignment="1">
      <alignment horizontal="center"/>
    </xf>
    <xf numFmtId="0" fontId="11" fillId="44" borderId="103" xfId="2" applyFont="1" applyFill="1" applyBorder="1"/>
    <xf numFmtId="4" fontId="11" fillId="0" borderId="102" xfId="2" applyNumberFormat="1" applyFont="1" applyBorder="1"/>
    <xf numFmtId="2" fontId="0" fillId="0" borderId="102" xfId="0" applyNumberFormat="1" applyBorder="1" applyAlignment="1">
      <alignment horizontal="center"/>
    </xf>
    <xf numFmtId="2" fontId="0" fillId="0" borderId="102" xfId="0" applyNumberFormat="1" applyBorder="1"/>
    <xf numFmtId="4" fontId="0" fillId="0" borderId="102" xfId="0" applyNumberFormat="1" applyBorder="1"/>
    <xf numFmtId="0" fontId="59" fillId="44" borderId="102" xfId="2" applyFont="1" applyFill="1" applyBorder="1" applyAlignment="1">
      <alignment horizontal="center" vertical="center"/>
    </xf>
    <xf numFmtId="9" fontId="33" fillId="44" borderId="102" xfId="0" applyNumberFormat="1" applyFont="1" applyFill="1" applyBorder="1" applyAlignment="1">
      <alignment horizontal="center" vertical="center"/>
    </xf>
    <xf numFmtId="0" fontId="33" fillId="44" borderId="102" xfId="0" applyFont="1" applyFill="1" applyBorder="1" applyAlignment="1">
      <alignment horizontal="center" vertical="center" wrapText="1"/>
    </xf>
    <xf numFmtId="0" fontId="11" fillId="44" borderId="102" xfId="2" applyFont="1" applyFill="1" applyBorder="1"/>
    <xf numFmtId="0" fontId="0" fillId="0" borderId="102" xfId="0" applyBorder="1"/>
    <xf numFmtId="0" fontId="0" fillId="44" borderId="102" xfId="0" applyFill="1" applyBorder="1"/>
    <xf numFmtId="9" fontId="33" fillId="44" borderId="102" xfId="0" applyNumberFormat="1" applyFont="1" applyFill="1" applyBorder="1" applyAlignment="1">
      <alignment horizontal="center" vertical="center" wrapText="1"/>
    </xf>
    <xf numFmtId="0" fontId="33" fillId="44" borderId="102" xfId="0" applyFont="1" applyFill="1" applyBorder="1" applyAlignment="1">
      <alignment horizontal="center" vertical="center"/>
    </xf>
    <xf numFmtId="0" fontId="33" fillId="44" borderId="102" xfId="0" applyFont="1" applyFill="1" applyBorder="1" applyAlignment="1">
      <alignment vertical="center"/>
    </xf>
    <xf numFmtId="9" fontId="92" fillId="0" borderId="65" xfId="15" applyNumberFormat="1" applyFont="1" applyBorder="1" applyAlignment="1">
      <alignment horizontal="center" vertical="center" wrapText="1"/>
    </xf>
    <xf numFmtId="178" fontId="11" fillId="0" borderId="9" xfId="3" applyNumberFormat="1" applyFont="1" applyBorder="1" applyAlignment="1">
      <alignment vertical="center"/>
    </xf>
    <xf numFmtId="0" fontId="101" fillId="0" borderId="0" xfId="0" applyFont="1" applyAlignment="1">
      <alignment horizontal="left" vertical="center" wrapText="1"/>
    </xf>
    <xf numFmtId="0" fontId="108" fillId="2" borderId="92" xfId="0" applyFont="1" applyFill="1" applyBorder="1" applyAlignment="1">
      <alignment horizontal="right" vertical="center" wrapText="1"/>
    </xf>
    <xf numFmtId="179" fontId="11" fillId="0" borderId="6" xfId="2" applyNumberFormat="1" applyFont="1" applyBorder="1"/>
    <xf numFmtId="4" fontId="80" fillId="0" borderId="6" xfId="2" applyNumberFormat="1" applyFont="1" applyBorder="1"/>
    <xf numFmtId="164" fontId="59" fillId="0" borderId="8" xfId="2" applyNumberFormat="1" applyFont="1" applyBorder="1" applyAlignment="1">
      <alignment horizontal="center"/>
    </xf>
    <xf numFmtId="164" fontId="11" fillId="0" borderId="21" xfId="10" applyFont="1" applyFill="1" applyBorder="1" applyAlignment="1">
      <alignment horizontal="left"/>
    </xf>
    <xf numFmtId="4" fontId="11" fillId="8" borderId="6" xfId="2" applyNumberFormat="1" applyFont="1" applyFill="1" applyBorder="1"/>
    <xf numFmtId="164" fontId="11" fillId="8" borderId="6" xfId="10" applyFont="1" applyFill="1" applyBorder="1"/>
    <xf numFmtId="164" fontId="59" fillId="8" borderId="6" xfId="10" applyFont="1" applyFill="1" applyBorder="1"/>
    <xf numFmtId="4" fontId="59" fillId="8" borderId="6" xfId="2" applyNumberFormat="1" applyFont="1" applyFill="1" applyBorder="1"/>
    <xf numFmtId="0" fontId="59" fillId="8" borderId="0" xfId="2" applyFont="1" applyFill="1" applyAlignment="1">
      <alignment horizontal="left"/>
    </xf>
    <xf numFmtId="0" fontId="59" fillId="8" borderId="6" xfId="2" applyFont="1" applyFill="1" applyBorder="1" applyAlignment="1">
      <alignment horizontal="center"/>
    </xf>
    <xf numFmtId="0" fontId="59" fillId="8" borderId="6" xfId="2" applyFont="1" applyFill="1" applyBorder="1"/>
    <xf numFmtId="168" fontId="59" fillId="8" borderId="21" xfId="2" applyNumberFormat="1" applyFont="1" applyFill="1" applyBorder="1" applyAlignment="1">
      <alignment horizontal="center"/>
    </xf>
    <xf numFmtId="177" fontId="59" fillId="8" borderId="21" xfId="0" applyNumberFormat="1" applyFont="1" applyFill="1" applyBorder="1" applyAlignment="1">
      <alignment horizontal="center" vertical="center"/>
    </xf>
    <xf numFmtId="177" fontId="59" fillId="8" borderId="6" xfId="2" applyNumberFormat="1" applyFont="1" applyFill="1" applyBorder="1" applyAlignment="1">
      <alignment horizontal="center" vertical="center" wrapText="1"/>
    </xf>
    <xf numFmtId="172" fontId="59" fillId="8" borderId="0" xfId="2" applyNumberFormat="1" applyFont="1" applyFill="1" applyAlignment="1">
      <alignment horizontal="center" vertical="center" wrapText="1"/>
    </xf>
    <xf numFmtId="172" fontId="59" fillId="8" borderId="6" xfId="2" applyNumberFormat="1" applyFont="1" applyFill="1" applyBorder="1" applyAlignment="1">
      <alignment horizontal="left" vertical="center"/>
    </xf>
    <xf numFmtId="0" fontId="59" fillId="8" borderId="0" xfId="2" applyFont="1" applyFill="1"/>
    <xf numFmtId="4" fontId="59" fillId="8" borderId="7" xfId="2" applyNumberFormat="1" applyFont="1" applyFill="1" applyBorder="1"/>
    <xf numFmtId="4" fontId="59" fillId="8" borderId="0" xfId="2" applyNumberFormat="1" applyFont="1" applyFill="1"/>
    <xf numFmtId="4" fontId="59" fillId="8" borderId="21" xfId="2" applyNumberFormat="1" applyFont="1" applyFill="1" applyBorder="1"/>
    <xf numFmtId="9" fontId="59" fillId="8" borderId="7" xfId="2" applyNumberFormat="1" applyFont="1" applyFill="1" applyBorder="1" applyAlignment="1">
      <alignment horizontal="center"/>
    </xf>
    <xf numFmtId="10" fontId="59" fillId="8" borderId="6" xfId="2" applyNumberFormat="1" applyFont="1" applyFill="1" applyBorder="1"/>
    <xf numFmtId="164" fontId="59" fillId="8" borderId="0" xfId="10" applyFont="1" applyFill="1"/>
    <xf numFmtId="164" fontId="59" fillId="8" borderId="21" xfId="10" applyFont="1" applyFill="1" applyBorder="1"/>
    <xf numFmtId="9" fontId="59" fillId="8" borderId="6" xfId="2" applyNumberFormat="1" applyFont="1" applyFill="1" applyBorder="1" applyAlignment="1">
      <alignment horizontal="center"/>
    </xf>
    <xf numFmtId="164" fontId="59" fillId="8" borderId="6" xfId="10" applyFont="1" applyFill="1" applyBorder="1" applyAlignment="1">
      <alignment horizontal="center"/>
    </xf>
    <xf numFmtId="1" fontId="59" fillId="8" borderId="6" xfId="2" applyNumberFormat="1" applyFont="1" applyFill="1" applyBorder="1"/>
    <xf numFmtId="0" fontId="59" fillId="8" borderId="0" xfId="2" applyFont="1" applyFill="1" applyAlignment="1">
      <alignment horizontal="center"/>
    </xf>
    <xf numFmtId="164" fontId="59" fillId="8" borderId="0" xfId="10" applyFont="1" applyFill="1" applyAlignment="1">
      <alignment horizontal="center"/>
    </xf>
    <xf numFmtId="164" fontId="59" fillId="8" borderId="0" xfId="2" applyNumberFormat="1" applyFont="1" applyFill="1"/>
    <xf numFmtId="4" fontId="59" fillId="8" borderId="0" xfId="2" applyNumberFormat="1" applyFont="1" applyFill="1" applyAlignment="1">
      <alignment horizontal="center"/>
    </xf>
    <xf numFmtId="2" fontId="59" fillId="0" borderId="0" xfId="2" applyNumberFormat="1" applyFont="1" applyAlignment="1">
      <alignment horizontal="left"/>
    </xf>
    <xf numFmtId="164" fontId="81" fillId="8" borderId="0" xfId="10" applyFont="1" applyFill="1"/>
    <xf numFmtId="4" fontId="59" fillId="38" borderId="0" xfId="2" applyNumberFormat="1" applyFont="1" applyFill="1"/>
    <xf numFmtId="2" fontId="59" fillId="38" borderId="0" xfId="2" applyNumberFormat="1" applyFont="1" applyFill="1" applyAlignment="1">
      <alignment horizontal="center"/>
    </xf>
    <xf numFmtId="4" fontId="81" fillId="0" borderId="0" xfId="2" applyNumberFormat="1" applyFont="1" applyAlignment="1">
      <alignment horizontal="center"/>
    </xf>
    <xf numFmtId="0" fontId="11" fillId="38" borderId="0" xfId="2" applyFont="1" applyFill="1" applyAlignment="1">
      <alignment horizontal="center"/>
    </xf>
    <xf numFmtId="0" fontId="59" fillId="38" borderId="0" xfId="2" applyFont="1" applyFill="1" applyAlignment="1">
      <alignment horizontal="center"/>
    </xf>
    <xf numFmtId="49" fontId="11" fillId="0" borderId="0" xfId="2" applyNumberFormat="1" applyFont="1" applyAlignment="1">
      <alignment horizontal="center"/>
    </xf>
    <xf numFmtId="2" fontId="59" fillId="0" borderId="0" xfId="2" applyNumberFormat="1" applyFont="1" applyAlignment="1">
      <alignment horizontal="right"/>
    </xf>
    <xf numFmtId="0" fontId="60" fillId="8" borderId="6" xfId="2" applyFont="1" applyFill="1" applyBorder="1"/>
    <xf numFmtId="172" fontId="59" fillId="8" borderId="6" xfId="0" applyNumberFormat="1" applyFont="1" applyFill="1" applyBorder="1" applyAlignment="1">
      <alignment horizontal="center" vertical="center"/>
    </xf>
    <xf numFmtId="172" fontId="59" fillId="8" borderId="7" xfId="2" applyNumberFormat="1" applyFont="1" applyFill="1" applyBorder="1" applyAlignment="1">
      <alignment horizontal="center" vertical="center" wrapText="1"/>
    </xf>
    <xf numFmtId="172" fontId="59" fillId="8" borderId="7" xfId="2" applyNumberFormat="1" applyFont="1" applyFill="1" applyBorder="1" applyAlignment="1">
      <alignment horizontal="left" vertical="center"/>
    </xf>
    <xf numFmtId="0" fontId="59" fillId="8" borderId="7" xfId="2" applyFont="1" applyFill="1" applyBorder="1"/>
    <xf numFmtId="4" fontId="60" fillId="8" borderId="6" xfId="2" applyNumberFormat="1" applyFont="1" applyFill="1" applyBorder="1"/>
    <xf numFmtId="1" fontId="59" fillId="8" borderId="0" xfId="2" applyNumberFormat="1" applyFont="1" applyFill="1"/>
    <xf numFmtId="0" fontId="11" fillId="8" borderId="6" xfId="2" applyFont="1" applyFill="1" applyBorder="1"/>
    <xf numFmtId="0" fontId="73" fillId="21" borderId="9" xfId="0" applyFont="1" applyFill="1" applyBorder="1" applyAlignment="1">
      <alignment horizontal="center" vertical="center"/>
    </xf>
    <xf numFmtId="164" fontId="73" fillId="17" borderId="9" xfId="1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73" fillId="17" borderId="0" xfId="10" applyFont="1" applyFill="1" applyBorder="1" applyAlignment="1">
      <alignment horizontal="center" vertical="center"/>
    </xf>
    <xf numFmtId="170" fontId="73" fillId="17" borderId="0" xfId="10" applyNumberFormat="1" applyFont="1" applyFill="1" applyBorder="1" applyAlignment="1">
      <alignment horizontal="center" vertical="center" wrapText="1"/>
    </xf>
    <xf numFmtId="43" fontId="0" fillId="0" borderId="0" xfId="0" applyNumberFormat="1"/>
    <xf numFmtId="43" fontId="109" fillId="0" borderId="0" xfId="0" applyNumberFormat="1" applyFont="1"/>
    <xf numFmtId="0" fontId="59" fillId="8" borderId="57" xfId="2" applyFont="1" applyFill="1" applyBorder="1" applyAlignment="1">
      <alignment horizontal="center"/>
    </xf>
    <xf numFmtId="0" fontId="81" fillId="8" borderId="58" xfId="2" applyFont="1" applyFill="1" applyBorder="1"/>
    <xf numFmtId="168" fontId="59" fillId="8" borderId="58" xfId="2" applyNumberFormat="1" applyFont="1" applyFill="1" applyBorder="1" applyAlignment="1">
      <alignment horizontal="center"/>
    </xf>
    <xf numFmtId="172" fontId="59" fillId="8" borderId="58" xfId="2" applyNumberFormat="1" applyFont="1" applyFill="1" applyBorder="1" applyAlignment="1">
      <alignment horizontal="center" vertical="center" wrapText="1"/>
    </xf>
    <xf numFmtId="172" fontId="59" fillId="8" borderId="58" xfId="2" applyNumberFormat="1" applyFont="1" applyFill="1" applyBorder="1" applyAlignment="1">
      <alignment horizontal="left" vertical="center"/>
    </xf>
    <xf numFmtId="0" fontId="59" fillId="8" borderId="58" xfId="2" applyFont="1" applyFill="1" applyBorder="1"/>
    <xf numFmtId="4" fontId="59" fillId="8" borderId="58" xfId="2" applyNumberFormat="1" applyFont="1" applyFill="1" applyBorder="1"/>
    <xf numFmtId="164" fontId="59" fillId="8" borderId="58" xfId="10" applyFont="1" applyFill="1" applyBorder="1"/>
    <xf numFmtId="9" fontId="59" fillId="8" borderId="58" xfId="2" applyNumberFormat="1" applyFont="1" applyFill="1" applyBorder="1" applyAlignment="1">
      <alignment horizontal="center"/>
    </xf>
    <xf numFmtId="10" fontId="59" fillId="8" borderId="58" xfId="2" applyNumberFormat="1" applyFont="1" applyFill="1" applyBorder="1"/>
    <xf numFmtId="164" fontId="59" fillId="8" borderId="58" xfId="10" applyFont="1" applyFill="1" applyBorder="1" applyAlignment="1">
      <alignment horizontal="center"/>
    </xf>
    <xf numFmtId="0" fontId="59" fillId="8" borderId="58" xfId="2" applyFont="1" applyFill="1" applyBorder="1" applyAlignment="1">
      <alignment horizontal="center"/>
    </xf>
    <xf numFmtId="1" fontId="59" fillId="8" borderId="59" xfId="2" applyNumberFormat="1" applyFont="1" applyFill="1" applyBorder="1"/>
    <xf numFmtId="0" fontId="59" fillId="8" borderId="70" xfId="2" applyFont="1" applyFill="1" applyBorder="1" applyAlignment="1">
      <alignment horizontal="center"/>
    </xf>
    <xf numFmtId="1" fontId="59" fillId="8" borderId="71" xfId="2" applyNumberFormat="1" applyFont="1" applyFill="1" applyBorder="1"/>
    <xf numFmtId="0" fontId="59" fillId="8" borderId="104" xfId="2" applyFont="1" applyFill="1" applyBorder="1" applyAlignment="1">
      <alignment horizontal="center"/>
    </xf>
    <xf numFmtId="0" fontId="59" fillId="8" borderId="105" xfId="2" applyFont="1" applyFill="1" applyBorder="1"/>
    <xf numFmtId="168" fontId="59" fillId="8" borderId="105" xfId="2" applyNumberFormat="1" applyFont="1" applyFill="1" applyBorder="1" applyAlignment="1">
      <alignment horizontal="center"/>
    </xf>
    <xf numFmtId="172" fontId="59" fillId="8" borderId="105" xfId="2" applyNumberFormat="1" applyFont="1" applyFill="1" applyBorder="1" applyAlignment="1">
      <alignment horizontal="center" vertical="center" wrapText="1"/>
    </xf>
    <xf numFmtId="172" fontId="59" fillId="8" borderId="105" xfId="2" applyNumberFormat="1" applyFont="1" applyFill="1" applyBorder="1" applyAlignment="1">
      <alignment horizontal="left" vertical="center"/>
    </xf>
    <xf numFmtId="4" fontId="59" fillId="8" borderId="105" xfId="2" applyNumberFormat="1" applyFont="1" applyFill="1" applyBorder="1"/>
    <xf numFmtId="164" fontId="59" fillId="8" borderId="105" xfId="10" applyFont="1" applyFill="1" applyBorder="1"/>
    <xf numFmtId="164" fontId="59" fillId="8" borderId="105" xfId="2" applyNumberFormat="1" applyFont="1" applyFill="1" applyBorder="1" applyAlignment="1">
      <alignment horizontal="center"/>
    </xf>
    <xf numFmtId="164" fontId="59" fillId="8" borderId="105" xfId="2" applyNumberFormat="1" applyFont="1" applyFill="1" applyBorder="1"/>
    <xf numFmtId="9" fontId="59" fillId="8" borderId="105" xfId="2" applyNumberFormat="1" applyFont="1" applyFill="1" applyBorder="1" applyAlignment="1">
      <alignment horizontal="center"/>
    </xf>
    <xf numFmtId="0" fontId="59" fillId="8" borderId="105" xfId="2" applyFont="1" applyFill="1" applyBorder="1" applyAlignment="1">
      <alignment horizontal="center"/>
    </xf>
    <xf numFmtId="1" fontId="59" fillId="8" borderId="105" xfId="2" applyNumberFormat="1" applyFont="1" applyFill="1" applyBorder="1"/>
    <xf numFmtId="1" fontId="59" fillId="8" borderId="106" xfId="2" applyNumberFormat="1" applyFont="1" applyFill="1" applyBorder="1"/>
    <xf numFmtId="4" fontId="60" fillId="0" borderId="6" xfId="2" applyNumberFormat="1" applyFont="1" applyBorder="1"/>
    <xf numFmtId="4" fontId="59" fillId="0" borderId="72" xfId="2" applyNumberFormat="1" applyFont="1" applyBorder="1"/>
    <xf numFmtId="9" fontId="11" fillId="0" borderId="72" xfId="2" applyNumberFormat="1" applyFont="1" applyBorder="1" applyAlignment="1">
      <alignment horizontal="center"/>
    </xf>
    <xf numFmtId="4" fontId="11" fillId="0" borderId="72" xfId="2" applyNumberFormat="1" applyFont="1" applyBorder="1"/>
    <xf numFmtId="168" fontId="59" fillId="8" borderId="9" xfId="2" applyNumberFormat="1" applyFont="1" applyFill="1" applyBorder="1" applyAlignment="1">
      <alignment horizontal="center"/>
    </xf>
    <xf numFmtId="172" fontId="59" fillId="8" borderId="9" xfId="2" applyNumberFormat="1" applyFont="1" applyFill="1" applyBorder="1" applyAlignment="1">
      <alignment horizontal="center" vertical="center" wrapText="1"/>
    </xf>
    <xf numFmtId="172" fontId="59" fillId="8" borderId="9" xfId="2" applyNumberFormat="1" applyFont="1" applyFill="1" applyBorder="1" applyAlignment="1">
      <alignment horizontal="left" vertical="center"/>
    </xf>
    <xf numFmtId="1" fontId="59" fillId="8" borderId="9" xfId="2" applyNumberFormat="1" applyFont="1" applyFill="1" applyBorder="1"/>
    <xf numFmtId="177" fontId="59" fillId="8" borderId="9" xfId="0" applyNumberFormat="1" applyFont="1" applyFill="1" applyBorder="1" applyAlignment="1">
      <alignment horizontal="center" vertical="center"/>
    </xf>
    <xf numFmtId="177" fontId="59" fillId="8" borderId="9" xfId="2" applyNumberFormat="1" applyFont="1" applyFill="1" applyBorder="1" applyAlignment="1">
      <alignment horizontal="center" vertical="center" wrapText="1"/>
    </xf>
    <xf numFmtId="10" fontId="11" fillId="8" borderId="9" xfId="2" applyNumberFormat="1" applyFont="1" applyFill="1" applyBorder="1"/>
    <xf numFmtId="4" fontId="11" fillId="8" borderId="9" xfId="2" applyNumberFormat="1" applyFont="1" applyFill="1" applyBorder="1"/>
    <xf numFmtId="164" fontId="11" fillId="8" borderId="9" xfId="10" applyFont="1" applyFill="1" applyBorder="1"/>
    <xf numFmtId="164" fontId="59" fillId="8" borderId="9" xfId="2" applyNumberFormat="1" applyFont="1" applyFill="1" applyBorder="1" applyAlignment="1">
      <alignment horizontal="center"/>
    </xf>
    <xf numFmtId="164" fontId="59" fillId="8" borderId="9" xfId="2" applyNumberFormat="1" applyFont="1" applyFill="1" applyBorder="1"/>
    <xf numFmtId="177" fontId="59" fillId="8" borderId="105" xfId="0" applyNumberFormat="1" applyFont="1" applyFill="1" applyBorder="1" applyAlignment="1">
      <alignment horizontal="center" vertical="center"/>
    </xf>
    <xf numFmtId="177" fontId="59" fillId="8" borderId="105" xfId="2" applyNumberFormat="1" applyFont="1" applyFill="1" applyBorder="1" applyAlignment="1">
      <alignment horizontal="center" vertical="center" wrapText="1"/>
    </xf>
    <xf numFmtId="10" fontId="11" fillId="8" borderId="105" xfId="2" applyNumberFormat="1" applyFont="1" applyFill="1" applyBorder="1"/>
    <xf numFmtId="4" fontId="11" fillId="8" borderId="105" xfId="2" applyNumberFormat="1" applyFont="1" applyFill="1" applyBorder="1"/>
    <xf numFmtId="164" fontId="11" fillId="8" borderId="30" xfId="10" applyFont="1" applyFill="1" applyBorder="1"/>
    <xf numFmtId="180" fontId="11" fillId="9" borderId="9" xfId="3" applyNumberFormat="1" applyFont="1" applyFill="1" applyBorder="1"/>
    <xf numFmtId="180" fontId="11" fillId="9" borderId="9" xfId="15" applyNumberFormat="1" applyFont="1" applyFill="1" applyBorder="1"/>
    <xf numFmtId="180" fontId="11" fillId="9" borderId="9" xfId="0" applyNumberFormat="1" applyFont="1" applyFill="1" applyBorder="1"/>
    <xf numFmtId="4" fontId="11" fillId="0" borderId="30" xfId="2" applyNumberFormat="1" applyFont="1" applyBorder="1" applyAlignment="1">
      <alignment horizontal="center"/>
    </xf>
    <xf numFmtId="4" fontId="59" fillId="0" borderId="30" xfId="2" applyNumberFormat="1" applyFont="1" applyBorder="1" applyAlignment="1">
      <alignment horizontal="center"/>
    </xf>
    <xf numFmtId="164" fontId="59" fillId="8" borderId="105" xfId="10" applyFont="1" applyFill="1" applyBorder="1" applyAlignment="1">
      <alignment horizontal="center"/>
    </xf>
    <xf numFmtId="4" fontId="59" fillId="0" borderId="72" xfId="2" applyNumberFormat="1" applyFont="1" applyBorder="1" applyAlignment="1">
      <alignment horizontal="center"/>
    </xf>
    <xf numFmtId="4" fontId="59" fillId="0" borderId="69" xfId="2" applyNumberFormat="1" applyFont="1" applyBorder="1" applyAlignment="1">
      <alignment horizontal="center"/>
    </xf>
    <xf numFmtId="4" fontId="58" fillId="0" borderId="0" xfId="0" applyNumberFormat="1" applyFont="1" applyAlignment="1">
      <alignment horizontal="center"/>
    </xf>
    <xf numFmtId="4" fontId="60" fillId="0" borderId="69" xfId="0" applyNumberFormat="1" applyFont="1" applyBorder="1" applyAlignment="1">
      <alignment horizontal="center"/>
    </xf>
    <xf numFmtId="4" fontId="11" fillId="8" borderId="7" xfId="2" applyNumberFormat="1" applyFont="1" applyFill="1" applyBorder="1"/>
    <xf numFmtId="164" fontId="73" fillId="17" borderId="18" xfId="10" applyFont="1" applyFill="1" applyBorder="1" applyAlignment="1">
      <alignment vertical="center"/>
    </xf>
    <xf numFmtId="164" fontId="73" fillId="17" borderId="19" xfId="10" applyFont="1" applyFill="1" applyBorder="1" applyAlignment="1">
      <alignment vertical="center"/>
    </xf>
    <xf numFmtId="164" fontId="73" fillId="17" borderId="32" xfId="10" applyFont="1" applyFill="1" applyBorder="1" applyAlignment="1">
      <alignment vertical="center"/>
    </xf>
    <xf numFmtId="164" fontId="68" fillId="0" borderId="2" xfId="10" applyFont="1" applyFill="1" applyBorder="1"/>
    <xf numFmtId="164" fontId="68" fillId="0" borderId="0" xfId="10" applyFont="1" applyFill="1" applyBorder="1"/>
    <xf numFmtId="49" fontId="110" fillId="0" borderId="0" xfId="6" applyNumberFormat="1" applyFont="1"/>
    <xf numFmtId="0" fontId="111" fillId="0" borderId="0" xfId="6" applyFont="1"/>
    <xf numFmtId="49" fontId="111" fillId="0" borderId="0" xfId="6" applyNumberFormat="1" applyFont="1"/>
    <xf numFmtId="0" fontId="111" fillId="0" borderId="0" xfId="0" applyFont="1"/>
    <xf numFmtId="0" fontId="111" fillId="0" borderId="45" xfId="6" applyFont="1" applyBorder="1"/>
    <xf numFmtId="49" fontId="110" fillId="0" borderId="45" xfId="6" applyNumberFormat="1" applyFont="1" applyBorder="1"/>
    <xf numFmtId="49" fontId="110" fillId="0" borderId="44" xfId="6" applyNumberFormat="1" applyFont="1" applyBorder="1" applyAlignment="1">
      <alignment horizontal="center"/>
    </xf>
    <xf numFmtId="39" fontId="111" fillId="0" borderId="0" xfId="6" applyNumberFormat="1" applyFont="1"/>
    <xf numFmtId="49" fontId="111" fillId="0" borderId="0" xfId="6" applyNumberFormat="1" applyFont="1" applyAlignment="1">
      <alignment horizontal="center"/>
    </xf>
    <xf numFmtId="14" fontId="111" fillId="0" borderId="0" xfId="6" applyNumberFormat="1" applyFont="1"/>
    <xf numFmtId="49" fontId="111" fillId="0" borderId="0" xfId="6" applyNumberFormat="1" applyFont="1" applyAlignment="1">
      <alignment horizontal="left"/>
    </xf>
    <xf numFmtId="0" fontId="112" fillId="0" borderId="0" xfId="15" applyFont="1" applyProtection="1">
      <protection locked="0"/>
    </xf>
    <xf numFmtId="49" fontId="111" fillId="22" borderId="0" xfId="6" applyNumberFormat="1" applyFont="1" applyFill="1"/>
    <xf numFmtId="39" fontId="111" fillId="0" borderId="0" xfId="0" applyNumberFormat="1" applyFont="1"/>
    <xf numFmtId="164" fontId="111" fillId="0" borderId="0" xfId="10" applyFont="1"/>
    <xf numFmtId="0" fontId="113" fillId="0" borderId="0" xfId="15" applyFont="1" applyProtection="1">
      <protection locked="0"/>
    </xf>
    <xf numFmtId="49" fontId="113" fillId="0" borderId="0" xfId="6" applyNumberFormat="1" applyFont="1"/>
    <xf numFmtId="49" fontId="113" fillId="22" borderId="0" xfId="6" applyNumberFormat="1" applyFont="1" applyFill="1"/>
    <xf numFmtId="0" fontId="113" fillId="0" borderId="0" xfId="6" applyFont="1"/>
    <xf numFmtId="39" fontId="113" fillId="0" borderId="0" xfId="6" applyNumberFormat="1" applyFont="1"/>
    <xf numFmtId="49" fontId="113" fillId="0" borderId="0" xfId="6" applyNumberFormat="1" applyFont="1" applyAlignment="1">
      <alignment horizontal="center"/>
    </xf>
    <xf numFmtId="14" fontId="113" fillId="0" borderId="0" xfId="6" applyNumberFormat="1" applyFont="1"/>
    <xf numFmtId="0" fontId="113" fillId="0" borderId="0" xfId="0" applyFont="1"/>
    <xf numFmtId="39" fontId="112" fillId="0" borderId="0" xfId="6" applyNumberFormat="1" applyFont="1"/>
    <xf numFmtId="49" fontId="111" fillId="0" borderId="3" xfId="6" applyNumberFormat="1" applyFont="1" applyBorder="1"/>
    <xf numFmtId="0" fontId="111" fillId="0" borderId="3" xfId="6" applyFont="1" applyBorder="1"/>
    <xf numFmtId="49" fontId="110" fillId="0" borderId="3" xfId="6" applyNumberFormat="1" applyFont="1" applyBorder="1"/>
    <xf numFmtId="39" fontId="110" fillId="0" borderId="3" xfId="6" applyNumberFormat="1" applyFont="1" applyBorder="1"/>
    <xf numFmtId="14" fontId="111" fillId="0" borderId="3" xfId="6" applyNumberFormat="1" applyFont="1" applyBorder="1"/>
    <xf numFmtId="181" fontId="111" fillId="0" borderId="0" xfId="6" applyNumberFormat="1" applyFont="1"/>
    <xf numFmtId="2" fontId="58" fillId="0" borderId="0" xfId="0" applyNumberFormat="1" applyFont="1"/>
    <xf numFmtId="0" fontId="114" fillId="0" borderId="0" xfId="0" applyFont="1"/>
    <xf numFmtId="4" fontId="59" fillId="6" borderId="7" xfId="2" applyNumberFormat="1" applyFont="1" applyFill="1" applyBorder="1" applyAlignment="1">
      <alignment horizontal="center"/>
    </xf>
    <xf numFmtId="0" fontId="11" fillId="20" borderId="6" xfId="2" applyFont="1" applyFill="1" applyBorder="1"/>
    <xf numFmtId="4" fontId="59" fillId="9" borderId="2" xfId="2" applyNumberFormat="1" applyFont="1" applyFill="1" applyBorder="1" applyAlignment="1">
      <alignment horizontal="center"/>
    </xf>
    <xf numFmtId="4" fontId="59" fillId="9" borderId="3" xfId="2" applyNumberFormat="1" applyFont="1" applyFill="1" applyBorder="1" applyAlignment="1">
      <alignment horizontal="center"/>
    </xf>
    <xf numFmtId="4" fontId="59" fillId="9" borderId="4" xfId="2" applyNumberFormat="1" applyFont="1" applyFill="1" applyBorder="1" applyAlignment="1">
      <alignment horizontal="center"/>
    </xf>
    <xf numFmtId="0" fontId="59" fillId="0" borderId="0" xfId="2" applyFont="1" applyAlignment="1">
      <alignment horizontal="center"/>
    </xf>
    <xf numFmtId="0" fontId="59" fillId="0" borderId="2" xfId="2" applyFont="1" applyBorder="1" applyAlignment="1">
      <alignment horizontal="center"/>
    </xf>
    <xf numFmtId="0" fontId="59" fillId="0" borderId="3" xfId="2" applyFont="1" applyBorder="1" applyAlignment="1">
      <alignment horizontal="center"/>
    </xf>
    <xf numFmtId="0" fontId="59" fillId="0" borderId="4" xfId="2" applyFont="1" applyBorder="1" applyAlignment="1">
      <alignment horizontal="center"/>
    </xf>
    <xf numFmtId="4" fontId="59" fillId="0" borderId="2" xfId="2" applyNumberFormat="1" applyFont="1" applyBorder="1" applyAlignment="1">
      <alignment horizontal="center"/>
    </xf>
    <xf numFmtId="4" fontId="59" fillId="0" borderId="4" xfId="2" applyNumberFormat="1" applyFont="1" applyBorder="1" applyAlignment="1">
      <alignment horizontal="center"/>
    </xf>
    <xf numFmtId="10" fontId="59" fillId="0" borderId="2" xfId="2" applyNumberFormat="1" applyFont="1" applyBorder="1" applyAlignment="1">
      <alignment horizontal="center"/>
    </xf>
    <xf numFmtId="10" fontId="59" fillId="0" borderId="3" xfId="2" applyNumberFormat="1" applyFont="1" applyBorder="1" applyAlignment="1">
      <alignment horizontal="center"/>
    </xf>
    <xf numFmtId="10" fontId="59" fillId="0" borderId="4" xfId="2" applyNumberFormat="1" applyFont="1" applyBorder="1" applyAlignment="1">
      <alignment horizontal="center"/>
    </xf>
    <xf numFmtId="4" fontId="59" fillId="0" borderId="1" xfId="2" applyNumberFormat="1" applyFont="1" applyBorder="1" applyAlignment="1">
      <alignment horizontal="center" vertical="center" wrapText="1"/>
    </xf>
    <xf numFmtId="4" fontId="59" fillId="0" borderId="6" xfId="2" applyNumberFormat="1" applyFont="1" applyBorder="1" applyAlignment="1">
      <alignment horizontal="center" vertical="center" wrapText="1"/>
    </xf>
    <xf numFmtId="4" fontId="59" fillId="0" borderId="8" xfId="2" applyNumberFormat="1" applyFont="1" applyBorder="1" applyAlignment="1">
      <alignment horizontal="center" vertical="center" wrapText="1"/>
    </xf>
    <xf numFmtId="10" fontId="59" fillId="0" borderId="10" xfId="2" applyNumberFormat="1" applyFont="1" applyBorder="1" applyAlignment="1">
      <alignment horizontal="center"/>
    </xf>
    <xf numFmtId="10" fontId="59" fillId="0" borderId="11" xfId="2" applyNumberFormat="1" applyFont="1" applyBorder="1" applyAlignment="1">
      <alignment horizontal="center"/>
    </xf>
    <xf numFmtId="10" fontId="59" fillId="0" borderId="44" xfId="2" applyNumberFormat="1" applyFont="1" applyBorder="1" applyAlignment="1">
      <alignment horizontal="center"/>
    </xf>
    <xf numFmtId="1" fontId="22" fillId="4" borderId="9" xfId="0" applyNumberFormat="1" applyFont="1" applyFill="1" applyBorder="1" applyAlignment="1">
      <alignment horizontal="center" vertical="center" wrapText="1"/>
    </xf>
    <xf numFmtId="1" fontId="22" fillId="4" borderId="1" xfId="0" applyNumberFormat="1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1" fontId="22" fillId="4" borderId="2" xfId="0" applyNumberFormat="1" applyFont="1" applyFill="1" applyBorder="1" applyAlignment="1">
      <alignment horizontal="center" vertical="center" wrapText="1"/>
    </xf>
    <xf numFmtId="1" fontId="22" fillId="4" borderId="14" xfId="0" applyNumberFormat="1" applyFont="1" applyFill="1" applyBorder="1" applyAlignment="1">
      <alignment horizontal="center" vertical="center" wrapText="1"/>
    </xf>
    <xf numFmtId="1" fontId="22" fillId="4" borderId="15" xfId="0" applyNumberFormat="1" applyFont="1" applyFill="1" applyBorder="1" applyAlignment="1">
      <alignment horizontal="center" vertical="center" wrapText="1"/>
    </xf>
    <xf numFmtId="1" fontId="22" fillId="4" borderId="4" xfId="0" applyNumberFormat="1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 wrapText="1"/>
    </xf>
    <xf numFmtId="0" fontId="95" fillId="5" borderId="96" xfId="0" applyFont="1" applyFill="1" applyBorder="1" applyAlignment="1">
      <alignment horizontal="center" vertical="center" wrapText="1"/>
    </xf>
    <xf numFmtId="0" fontId="95" fillId="5" borderId="97" xfId="0" applyFont="1" applyFill="1" applyBorder="1" applyAlignment="1">
      <alignment horizontal="center" vertical="center" wrapText="1"/>
    </xf>
    <xf numFmtId="0" fontId="95" fillId="5" borderId="98" xfId="0" applyFont="1" applyFill="1" applyBorder="1" applyAlignment="1">
      <alignment horizontal="center" vertical="center" wrapText="1"/>
    </xf>
    <xf numFmtId="0" fontId="97" fillId="39" borderId="93" xfId="0" applyFont="1" applyFill="1" applyBorder="1" applyAlignment="1">
      <alignment horizontal="center" vertical="center" wrapText="1"/>
    </xf>
    <xf numFmtId="0" fontId="97" fillId="39" borderId="94" xfId="0" applyFont="1" applyFill="1" applyBorder="1" applyAlignment="1">
      <alignment horizontal="center" vertical="center" wrapText="1"/>
    </xf>
    <xf numFmtId="0" fontId="97" fillId="39" borderId="95" xfId="0" applyFont="1" applyFill="1" applyBorder="1" applyAlignment="1">
      <alignment horizontal="center" vertical="center" wrapText="1"/>
    </xf>
    <xf numFmtId="0" fontId="95" fillId="5" borderId="96" xfId="0" applyFont="1" applyFill="1" applyBorder="1" applyAlignment="1">
      <alignment horizontal="center" vertical="center"/>
    </xf>
    <xf numFmtId="0" fontId="95" fillId="5" borderId="97" xfId="0" applyFont="1" applyFill="1" applyBorder="1" applyAlignment="1">
      <alignment horizontal="center" vertical="center"/>
    </xf>
    <xf numFmtId="0" fontId="95" fillId="5" borderId="98" xfId="0" applyFont="1" applyFill="1" applyBorder="1" applyAlignment="1">
      <alignment horizontal="center" vertical="center"/>
    </xf>
    <xf numFmtId="0" fontId="97" fillId="39" borderId="93" xfId="0" applyFont="1" applyFill="1" applyBorder="1" applyAlignment="1">
      <alignment horizontal="center" vertical="center"/>
    </xf>
    <xf numFmtId="0" fontId="97" fillId="39" borderId="94" xfId="0" applyFont="1" applyFill="1" applyBorder="1" applyAlignment="1">
      <alignment horizontal="center" vertical="center"/>
    </xf>
    <xf numFmtId="0" fontId="97" fillId="39" borderId="95" xfId="0" applyFont="1" applyFill="1" applyBorder="1" applyAlignment="1">
      <alignment horizontal="center" vertical="center"/>
    </xf>
    <xf numFmtId="0" fontId="97" fillId="42" borderId="93" xfId="0" applyFont="1" applyFill="1" applyBorder="1" applyAlignment="1">
      <alignment horizontal="center" vertical="center"/>
    </xf>
    <xf numFmtId="0" fontId="97" fillId="42" borderId="94" xfId="0" applyFont="1" applyFill="1" applyBorder="1" applyAlignment="1">
      <alignment horizontal="center" vertical="center"/>
    </xf>
    <xf numFmtId="0" fontId="97" fillId="42" borderId="95" xfId="0" applyFont="1" applyFill="1" applyBorder="1" applyAlignment="1">
      <alignment horizontal="center" vertical="center"/>
    </xf>
    <xf numFmtId="0" fontId="97" fillId="42" borderId="93" xfId="0" applyFont="1" applyFill="1" applyBorder="1" applyAlignment="1">
      <alignment horizontal="center" vertical="center" wrapText="1"/>
    </xf>
    <xf numFmtId="0" fontId="97" fillId="42" borderId="94" xfId="0" applyFont="1" applyFill="1" applyBorder="1" applyAlignment="1">
      <alignment horizontal="center" vertical="center" wrapText="1"/>
    </xf>
    <xf numFmtId="0" fontId="97" fillId="42" borderId="95" xfId="0" applyFont="1" applyFill="1" applyBorder="1" applyAlignment="1">
      <alignment horizontal="center" vertical="center" wrapText="1"/>
    </xf>
    <xf numFmtId="0" fontId="61" fillId="0" borderId="48" xfId="0" applyFont="1" applyBorder="1" applyAlignment="1">
      <alignment horizontal="center" vertical="center" wrapText="1"/>
    </xf>
    <xf numFmtId="0" fontId="61" fillId="0" borderId="49" xfId="0" applyFont="1" applyBorder="1" applyAlignment="1">
      <alignment horizontal="center" vertical="center" wrapText="1"/>
    </xf>
    <xf numFmtId="0" fontId="61" fillId="0" borderId="50" xfId="0" applyFont="1" applyBorder="1" applyAlignment="1">
      <alignment horizontal="center" vertical="center" wrapText="1"/>
    </xf>
    <xf numFmtId="0" fontId="62" fillId="15" borderId="51" xfId="0" applyFont="1" applyFill="1" applyBorder="1" applyAlignment="1">
      <alignment horizontal="center" vertical="center" wrapText="1"/>
    </xf>
    <xf numFmtId="0" fontId="62" fillId="15" borderId="52" xfId="0" applyFont="1" applyFill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65" fillId="0" borderId="0" xfId="0" applyFont="1" applyAlignment="1">
      <alignment vertical="center" wrapText="1"/>
    </xf>
    <xf numFmtId="170" fontId="73" fillId="17" borderId="60" xfId="10" applyNumberFormat="1" applyFont="1" applyFill="1" applyBorder="1" applyAlignment="1">
      <alignment horizontal="center" vertical="center"/>
    </xf>
    <xf numFmtId="170" fontId="73" fillId="17" borderId="64" xfId="10" applyNumberFormat="1" applyFont="1" applyFill="1" applyBorder="1" applyAlignment="1">
      <alignment horizontal="center" vertical="center"/>
    </xf>
    <xf numFmtId="170" fontId="73" fillId="17" borderId="36" xfId="10" applyNumberFormat="1" applyFont="1" applyFill="1" applyBorder="1" applyAlignment="1">
      <alignment horizontal="center" vertical="center" wrapText="1"/>
    </xf>
    <xf numFmtId="170" fontId="73" fillId="17" borderId="68" xfId="10" applyNumberFormat="1" applyFont="1" applyFill="1" applyBorder="1" applyAlignment="1">
      <alignment horizontal="center" vertical="center" wrapText="1"/>
    </xf>
    <xf numFmtId="164" fontId="73" fillId="17" borderId="18" xfId="10" applyFont="1" applyFill="1" applyBorder="1" applyAlignment="1">
      <alignment horizontal="center" vertical="center"/>
    </xf>
    <xf numFmtId="164" fontId="73" fillId="17" borderId="19" xfId="10" applyFont="1" applyFill="1" applyBorder="1" applyAlignment="1">
      <alignment horizontal="center" vertical="center"/>
    </xf>
    <xf numFmtId="164" fontId="73" fillId="17" borderId="32" xfId="10" applyFont="1" applyFill="1" applyBorder="1" applyAlignment="1">
      <alignment horizontal="center" vertical="center"/>
    </xf>
    <xf numFmtId="0" fontId="67" fillId="9" borderId="56" xfId="0" applyFont="1" applyFill="1" applyBorder="1" applyAlignment="1">
      <alignment horizontal="center"/>
    </xf>
    <xf numFmtId="0" fontId="67" fillId="9" borderId="61" xfId="0" applyFont="1" applyFill="1" applyBorder="1" applyAlignment="1">
      <alignment horizontal="center"/>
    </xf>
    <xf numFmtId="0" fontId="67" fillId="9" borderId="35" xfId="0" applyFont="1" applyFill="1" applyBorder="1" applyAlignment="1">
      <alignment horizontal="center"/>
    </xf>
    <xf numFmtId="0" fontId="67" fillId="9" borderId="41" xfId="0" applyFont="1" applyFill="1" applyBorder="1" applyAlignment="1">
      <alignment horizontal="center"/>
    </xf>
    <xf numFmtId="164" fontId="67" fillId="9" borderId="60" xfId="10" applyFont="1" applyFill="1" applyBorder="1" applyAlignment="1">
      <alignment horizontal="center"/>
    </xf>
    <xf numFmtId="164" fontId="67" fillId="9" borderId="62" xfId="10" applyFont="1" applyFill="1" applyBorder="1" applyAlignment="1">
      <alignment horizontal="center"/>
    </xf>
    <xf numFmtId="0" fontId="67" fillId="9" borderId="29" xfId="0" applyFont="1" applyFill="1" applyBorder="1" applyAlignment="1">
      <alignment horizontal="center"/>
    </xf>
    <xf numFmtId="0" fontId="67" fillId="9" borderId="64" xfId="0" applyFont="1" applyFill="1" applyBorder="1" applyAlignment="1">
      <alignment horizontal="center"/>
    </xf>
    <xf numFmtId="0" fontId="11" fillId="9" borderId="18" xfId="0" applyFont="1" applyFill="1" applyBorder="1" applyAlignment="1">
      <alignment horizontal="center"/>
    </xf>
    <xf numFmtId="0" fontId="11" fillId="9" borderId="32" xfId="0" applyFont="1" applyFill="1" applyBorder="1" applyAlignment="1">
      <alignment horizontal="center"/>
    </xf>
    <xf numFmtId="0" fontId="11" fillId="9" borderId="36" xfId="0" applyFont="1" applyFill="1" applyBorder="1" applyAlignment="1">
      <alignment horizontal="center" vertical="center" wrapText="1"/>
    </xf>
    <xf numFmtId="0" fontId="11" fillId="9" borderId="66" xfId="0" applyFont="1" applyFill="1" applyBorder="1" applyAlignment="1">
      <alignment horizontal="center" vertical="center" wrapText="1"/>
    </xf>
    <xf numFmtId="0" fontId="11" fillId="9" borderId="37" xfId="0" applyFont="1" applyFill="1" applyBorder="1" applyAlignment="1">
      <alignment horizontal="center" vertical="center" wrapText="1"/>
    </xf>
    <xf numFmtId="170" fontId="73" fillId="17" borderId="9" xfId="10" applyNumberFormat="1" applyFont="1" applyFill="1" applyBorder="1" applyAlignment="1">
      <alignment horizontal="center" vertical="center" wrapText="1"/>
    </xf>
    <xf numFmtId="164" fontId="73" fillId="17" borderId="9" xfId="10" applyFont="1" applyFill="1" applyBorder="1" applyAlignment="1">
      <alignment horizontal="center" vertical="center"/>
    </xf>
    <xf numFmtId="170" fontId="73" fillId="17" borderId="9" xfId="10" applyNumberFormat="1" applyFont="1" applyFill="1" applyBorder="1" applyAlignment="1">
      <alignment horizontal="center" vertical="center"/>
    </xf>
    <xf numFmtId="4" fontId="84" fillId="34" borderId="7" xfId="0" applyNumberFormat="1" applyFont="1" applyFill="1" applyBorder="1" applyAlignment="1">
      <alignment horizontal="center" vertical="center"/>
    </xf>
    <xf numFmtId="4" fontId="84" fillId="34" borderId="11" xfId="0" applyNumberFormat="1" applyFont="1" applyFill="1" applyBorder="1" applyAlignment="1">
      <alignment horizontal="center" vertical="center"/>
    </xf>
    <xf numFmtId="0" fontId="84" fillId="32" borderId="86" xfId="0" applyFont="1" applyFill="1" applyBorder="1" applyAlignment="1">
      <alignment horizontal="center" vertical="center"/>
    </xf>
    <xf numFmtId="0" fontId="84" fillId="32" borderId="83" xfId="0" applyFont="1" applyFill="1" applyBorder="1" applyAlignment="1">
      <alignment horizontal="center" vertical="center"/>
    </xf>
    <xf numFmtId="0" fontId="84" fillId="32" borderId="81" xfId="0" applyFont="1" applyFill="1" applyBorder="1" applyAlignment="1">
      <alignment horizontal="center" vertical="center"/>
    </xf>
    <xf numFmtId="4" fontId="82" fillId="33" borderId="79" xfId="0" applyNumberFormat="1" applyFont="1" applyFill="1" applyBorder="1" applyAlignment="1">
      <alignment horizontal="center" vertical="center" wrapText="1"/>
    </xf>
    <xf numFmtId="4" fontId="84" fillId="34" borderId="80" xfId="0" applyNumberFormat="1" applyFont="1" applyFill="1" applyBorder="1" applyAlignment="1">
      <alignment horizontal="center" vertical="center"/>
    </xf>
    <xf numFmtId="0" fontId="84" fillId="34" borderId="80" xfId="0" applyFont="1" applyFill="1" applyBorder="1" applyAlignment="1">
      <alignment horizontal="center" vertical="center"/>
    </xf>
    <xf numFmtId="0" fontId="82" fillId="26" borderId="18" xfId="0" applyFont="1" applyFill="1" applyBorder="1" applyAlignment="1">
      <alignment horizontal="center"/>
    </xf>
    <xf numFmtId="0" fontId="82" fillId="26" borderId="19" xfId="0" applyFont="1" applyFill="1" applyBorder="1" applyAlignment="1">
      <alignment horizontal="center"/>
    </xf>
    <xf numFmtId="0" fontId="82" fillId="26" borderId="32" xfId="0" applyFont="1" applyFill="1" applyBorder="1" applyAlignment="1">
      <alignment horizontal="center"/>
    </xf>
    <xf numFmtId="0" fontId="36" fillId="27" borderId="73" xfId="0" applyFont="1" applyFill="1" applyBorder="1" applyAlignment="1">
      <alignment horizontal="left" vertical="center"/>
    </xf>
    <xf numFmtId="0" fontId="36" fillId="27" borderId="74" xfId="0" applyFont="1" applyFill="1" applyBorder="1" applyAlignment="1">
      <alignment horizontal="left" vertical="center"/>
    </xf>
    <xf numFmtId="0" fontId="36" fillId="27" borderId="75" xfId="0" applyFont="1" applyFill="1" applyBorder="1" applyAlignment="1">
      <alignment horizontal="left" vertical="center"/>
    </xf>
    <xf numFmtId="0" fontId="82" fillId="0" borderId="0" xfId="0" applyFont="1" applyAlignment="1">
      <alignment horizontal="center" vertical="center" wrapText="1"/>
    </xf>
    <xf numFmtId="0" fontId="82" fillId="31" borderId="17" xfId="0" applyFont="1" applyFill="1" applyBorder="1" applyAlignment="1">
      <alignment horizontal="center" vertical="center"/>
    </xf>
    <xf numFmtId="0" fontId="82" fillId="31" borderId="45" xfId="0" applyFont="1" applyFill="1" applyBorder="1" applyAlignment="1">
      <alignment horizontal="center" vertical="center"/>
    </xf>
    <xf numFmtId="0" fontId="82" fillId="31" borderId="5" xfId="0" applyFont="1" applyFill="1" applyBorder="1" applyAlignment="1">
      <alignment horizontal="center" vertical="center"/>
    </xf>
    <xf numFmtId="0" fontId="82" fillId="31" borderId="21" xfId="0" applyFont="1" applyFill="1" applyBorder="1" applyAlignment="1">
      <alignment horizontal="center" vertical="center"/>
    </xf>
    <xf numFmtId="0" fontId="82" fillId="31" borderId="0" xfId="0" applyFont="1" applyFill="1" applyAlignment="1">
      <alignment horizontal="center" vertical="center"/>
    </xf>
    <xf numFmtId="0" fontId="82" fillId="31" borderId="7" xfId="0" applyFont="1" applyFill="1" applyBorder="1" applyAlignment="1">
      <alignment horizontal="center" vertical="center"/>
    </xf>
    <xf numFmtId="0" fontId="82" fillId="31" borderId="10" xfId="0" applyFont="1" applyFill="1" applyBorder="1" applyAlignment="1">
      <alignment horizontal="center" vertical="center"/>
    </xf>
    <xf numFmtId="0" fontId="82" fillId="31" borderId="44" xfId="0" applyFont="1" applyFill="1" applyBorder="1" applyAlignment="1">
      <alignment horizontal="center" vertical="center"/>
    </xf>
    <xf numFmtId="0" fontId="82" fillId="31" borderId="11" xfId="0" applyFont="1" applyFill="1" applyBorder="1" applyAlignment="1">
      <alignment horizontal="center" vertical="center"/>
    </xf>
    <xf numFmtId="0" fontId="82" fillId="32" borderId="17" xfId="0" applyFont="1" applyFill="1" applyBorder="1" applyAlignment="1">
      <alignment horizontal="center" vertical="center"/>
    </xf>
    <xf numFmtId="0" fontId="82" fillId="32" borderId="45" xfId="0" applyFont="1" applyFill="1" applyBorder="1" applyAlignment="1">
      <alignment horizontal="center" vertical="center"/>
    </xf>
    <xf numFmtId="0" fontId="82" fillId="32" borderId="5" xfId="0" applyFont="1" applyFill="1" applyBorder="1" applyAlignment="1">
      <alignment horizontal="center" vertical="center"/>
    </xf>
    <xf numFmtId="0" fontId="82" fillId="32" borderId="21" xfId="0" applyFont="1" applyFill="1" applyBorder="1" applyAlignment="1">
      <alignment horizontal="center" vertical="center"/>
    </xf>
    <xf numFmtId="0" fontId="82" fillId="32" borderId="0" xfId="0" applyFont="1" applyFill="1" applyAlignment="1">
      <alignment horizontal="center" vertical="center"/>
    </xf>
    <xf numFmtId="0" fontId="82" fillId="32" borderId="7" xfId="0" applyFont="1" applyFill="1" applyBorder="1" applyAlignment="1">
      <alignment horizontal="center" vertical="center"/>
    </xf>
    <xf numFmtId="0" fontId="82" fillId="32" borderId="10" xfId="0" applyFont="1" applyFill="1" applyBorder="1" applyAlignment="1">
      <alignment horizontal="center" vertical="center"/>
    </xf>
    <xf numFmtId="0" fontId="82" fillId="32" borderId="44" xfId="0" applyFont="1" applyFill="1" applyBorder="1" applyAlignment="1">
      <alignment horizontal="center" vertical="center"/>
    </xf>
    <xf numFmtId="0" fontId="82" fillId="32" borderId="11" xfId="0" applyFont="1" applyFill="1" applyBorder="1" applyAlignment="1">
      <alignment horizontal="center" vertical="center"/>
    </xf>
    <xf numFmtId="0" fontId="82" fillId="33" borderId="84" xfId="0" applyFont="1" applyFill="1" applyBorder="1" applyAlignment="1">
      <alignment horizontal="center" vertical="center" wrapText="1"/>
    </xf>
    <xf numFmtId="0" fontId="82" fillId="34" borderId="17" xfId="0" applyFont="1" applyFill="1" applyBorder="1" applyAlignment="1">
      <alignment horizontal="center" vertical="center"/>
    </xf>
    <xf numFmtId="0" fontId="82" fillId="34" borderId="45" xfId="0" applyFont="1" applyFill="1" applyBorder="1" applyAlignment="1">
      <alignment horizontal="center" vertical="center"/>
    </xf>
    <xf numFmtId="0" fontId="82" fillId="34" borderId="5" xfId="0" applyFont="1" applyFill="1" applyBorder="1" applyAlignment="1">
      <alignment horizontal="center" vertical="center"/>
    </xf>
    <xf numFmtId="0" fontId="82" fillId="34" borderId="21" xfId="0" applyFont="1" applyFill="1" applyBorder="1" applyAlignment="1">
      <alignment horizontal="center" vertical="center"/>
    </xf>
    <xf numFmtId="0" fontId="82" fillId="34" borderId="0" xfId="0" applyFont="1" applyFill="1" applyAlignment="1">
      <alignment horizontal="center" vertical="center"/>
    </xf>
    <xf numFmtId="0" fontId="82" fillId="34" borderId="7" xfId="0" applyFont="1" applyFill="1" applyBorder="1" applyAlignment="1">
      <alignment horizontal="center" vertical="center"/>
    </xf>
    <xf numFmtId="0" fontId="82" fillId="34" borderId="10" xfId="0" applyFont="1" applyFill="1" applyBorder="1" applyAlignment="1">
      <alignment horizontal="center" vertical="center"/>
    </xf>
    <xf numFmtId="0" fontId="82" fillId="34" borderId="44" xfId="0" applyFont="1" applyFill="1" applyBorder="1" applyAlignment="1">
      <alignment horizontal="center" vertical="center"/>
    </xf>
    <xf numFmtId="0" fontId="82" fillId="34" borderId="11" xfId="0" applyFont="1" applyFill="1" applyBorder="1" applyAlignment="1">
      <alignment horizontal="center" vertical="center"/>
    </xf>
    <xf numFmtId="0" fontId="84" fillId="31" borderId="6" xfId="0" applyFont="1" applyFill="1" applyBorder="1" applyAlignment="1">
      <alignment horizontal="center" vertical="center"/>
    </xf>
    <xf numFmtId="0" fontId="84" fillId="31" borderId="8" xfId="0" applyFont="1" applyFill="1" applyBorder="1" applyAlignment="1">
      <alignment horizontal="center" vertical="center"/>
    </xf>
    <xf numFmtId="0" fontId="84" fillId="31" borderId="1" xfId="0" applyFont="1" applyFill="1" applyBorder="1" applyAlignment="1">
      <alignment horizontal="center" vertical="center"/>
    </xf>
    <xf numFmtId="0" fontId="84" fillId="31" borderId="85" xfId="0" applyFont="1" applyFill="1" applyBorder="1" applyAlignment="1">
      <alignment horizontal="center" vertical="center"/>
    </xf>
    <xf numFmtId="0" fontId="84" fillId="31" borderId="87" xfId="0" applyFont="1" applyFill="1" applyBorder="1" applyAlignment="1">
      <alignment horizontal="center" vertical="center"/>
    </xf>
    <xf numFmtId="4" fontId="84" fillId="34" borderId="9" xfId="0" applyNumberFormat="1" applyFont="1" applyFill="1" applyBorder="1" applyAlignment="1">
      <alignment horizontal="center" vertical="center"/>
    </xf>
    <xf numFmtId="4" fontId="84" fillId="34" borderId="1" xfId="0" applyNumberFormat="1" applyFont="1" applyFill="1" applyBorder="1" applyAlignment="1">
      <alignment horizontal="center" vertical="center"/>
    </xf>
    <xf numFmtId="4" fontId="84" fillId="34" borderId="6" xfId="0" applyNumberFormat="1" applyFont="1" applyFill="1" applyBorder="1" applyAlignment="1">
      <alignment horizontal="center" vertical="center"/>
    </xf>
    <xf numFmtId="4" fontId="84" fillId="34" borderId="8" xfId="0" applyNumberFormat="1" applyFont="1" applyFill="1" applyBorder="1" applyAlignment="1">
      <alignment horizontal="center" vertical="center"/>
    </xf>
    <xf numFmtId="49" fontId="110" fillId="0" borderId="0" xfId="6" applyNumberFormat="1" applyFont="1" applyAlignment="1">
      <alignment horizontal="center" vertical="center" wrapText="1"/>
    </xf>
    <xf numFmtId="0" fontId="6" fillId="0" borderId="2" xfId="2" applyFont="1" applyBorder="1" applyAlignment="1">
      <alignment horizontal="center"/>
    </xf>
    <xf numFmtId="0" fontId="6" fillId="0" borderId="4" xfId="2" applyFont="1" applyBorder="1" applyAlignment="1">
      <alignment horizontal="center"/>
    </xf>
    <xf numFmtId="0" fontId="6" fillId="12" borderId="36" xfId="2" applyFont="1" applyFill="1" applyBorder="1" applyAlignment="1">
      <alignment horizontal="center"/>
    </xf>
    <xf numFmtId="0" fontId="6" fillId="12" borderId="37" xfId="2" applyFont="1" applyFill="1" applyBorder="1" applyAlignment="1">
      <alignment horizontal="center"/>
    </xf>
    <xf numFmtId="0" fontId="7" fillId="0" borderId="0" xfId="2" applyFont="1" applyAlignment="1">
      <alignment horizontal="left"/>
    </xf>
    <xf numFmtId="0" fontId="9" fillId="0" borderId="0" xfId="2" applyFont="1" applyAlignment="1">
      <alignment horizontal="center"/>
    </xf>
    <xf numFmtId="0" fontId="6" fillId="0" borderId="0" xfId="2" applyFont="1" applyAlignment="1">
      <alignment horizontal="center"/>
    </xf>
    <xf numFmtId="0" fontId="6" fillId="0" borderId="3" xfId="2" applyFont="1" applyBorder="1" applyAlignment="1">
      <alignment horizontal="center"/>
    </xf>
    <xf numFmtId="10" fontId="6" fillId="0" borderId="2" xfId="2" applyNumberFormat="1" applyFont="1" applyBorder="1" applyAlignment="1">
      <alignment horizontal="center"/>
    </xf>
    <xf numFmtId="10" fontId="6" fillId="0" borderId="3" xfId="2" applyNumberFormat="1" applyFont="1" applyBorder="1" applyAlignment="1">
      <alignment horizontal="center"/>
    </xf>
    <xf numFmtId="10" fontId="6" fillId="0" borderId="4" xfId="2" applyNumberFormat="1" applyFont="1" applyBorder="1" applyAlignment="1">
      <alignment horizontal="center"/>
    </xf>
    <xf numFmtId="4" fontId="6" fillId="0" borderId="2" xfId="2" applyNumberFormat="1" applyFont="1" applyBorder="1" applyAlignment="1">
      <alignment horizontal="center"/>
    </xf>
    <xf numFmtId="4" fontId="6" fillId="0" borderId="4" xfId="2" applyNumberFormat="1" applyFont="1" applyBorder="1" applyAlignment="1">
      <alignment horizontal="center"/>
    </xf>
    <xf numFmtId="0" fontId="5" fillId="0" borderId="7" xfId="2" applyFont="1" applyBorder="1" applyAlignment="1">
      <alignment horizont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5" fillId="0" borderId="9" xfId="2" applyFont="1" applyBorder="1" applyAlignment="1">
      <alignment horizontal="left" vertical="center" wrapText="1"/>
    </xf>
    <xf numFmtId="4" fontId="6" fillId="0" borderId="1" xfId="2" applyNumberFormat="1" applyFont="1" applyBorder="1" applyAlignment="1">
      <alignment horizontal="center" vertical="center"/>
    </xf>
    <xf numFmtId="4" fontId="6" fillId="0" borderId="6" xfId="2" applyNumberFormat="1" applyFont="1" applyBorder="1" applyAlignment="1">
      <alignment horizontal="center" vertical="center"/>
    </xf>
    <xf numFmtId="4" fontId="6" fillId="0" borderId="8" xfId="2" applyNumberFormat="1" applyFont="1" applyBorder="1" applyAlignment="1">
      <alignment horizontal="center" vertical="center"/>
    </xf>
    <xf numFmtId="4" fontId="6" fillId="0" borderId="1" xfId="2" applyNumberFormat="1" applyFont="1" applyBorder="1" applyAlignment="1">
      <alignment horizontal="center" vertical="center" wrapText="1"/>
    </xf>
    <xf numFmtId="4" fontId="6" fillId="0" borderId="6" xfId="2" applyNumberFormat="1" applyFont="1" applyBorder="1" applyAlignment="1">
      <alignment horizontal="center" vertical="center" wrapText="1"/>
    </xf>
    <xf numFmtId="4" fontId="6" fillId="0" borderId="8" xfId="2" applyNumberFormat="1" applyFont="1" applyBorder="1" applyAlignment="1">
      <alignment horizontal="center" vertical="center" wrapText="1"/>
    </xf>
    <xf numFmtId="1" fontId="22" fillId="6" borderId="1" xfId="0" applyNumberFormat="1" applyFont="1" applyFill="1" applyBorder="1" applyAlignment="1">
      <alignment horizontal="center" vertical="center" wrapText="1"/>
    </xf>
    <xf numFmtId="1" fontId="22" fillId="6" borderId="6" xfId="0" applyNumberFormat="1" applyFont="1" applyFill="1" applyBorder="1" applyAlignment="1">
      <alignment horizontal="center" vertical="center" wrapText="1"/>
    </xf>
    <xf numFmtId="1" fontId="22" fillId="6" borderId="8" xfId="0" applyNumberFormat="1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22" fillId="6" borderId="6" xfId="0" applyFont="1" applyFill="1" applyBorder="1" applyAlignment="1">
      <alignment horizontal="center" vertical="center" wrapText="1"/>
    </xf>
    <xf numFmtId="0" fontId="22" fillId="6" borderId="8" xfId="0" applyFont="1" applyFill="1" applyBorder="1" applyAlignment="1">
      <alignment horizontal="center" vertical="center" wrapText="1"/>
    </xf>
    <xf numFmtId="0" fontId="22" fillId="6" borderId="9" xfId="0" applyFont="1" applyFill="1" applyBorder="1" applyAlignment="1">
      <alignment horizontal="center" vertical="center" wrapText="1"/>
    </xf>
    <xf numFmtId="1" fontId="22" fillId="6" borderId="9" xfId="0" applyNumberFormat="1" applyFont="1" applyFill="1" applyBorder="1" applyAlignment="1">
      <alignment horizontal="center" vertical="center" wrapText="1"/>
    </xf>
    <xf numFmtId="0" fontId="22" fillId="6" borderId="9" xfId="0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6" borderId="1" xfId="2" applyFont="1" applyFill="1" applyBorder="1" applyAlignment="1">
      <alignment horizontal="center" vertical="center" wrapText="1"/>
    </xf>
    <xf numFmtId="0" fontId="6" fillId="6" borderId="6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</cellXfs>
  <cellStyles count="48">
    <cellStyle name="Hipervínculo" xfId="47" builtinId="8"/>
    <cellStyle name="Millares" xfId="10" builtinId="3"/>
    <cellStyle name="Millares 10" xfId="16" xr:uid="{59B6997B-8017-4B6F-A7B5-58F2162680E0}"/>
    <cellStyle name="Millares 11" xfId="17" xr:uid="{CDF1D51A-0C68-4A06-9754-AE1BA85B371D}"/>
    <cellStyle name="Millares 12" xfId="18" xr:uid="{1CD2D9F8-ADF9-4868-9358-E79C83D1EC4A}"/>
    <cellStyle name="Millares 13" xfId="19" xr:uid="{5B410346-5245-4631-9326-F14261242265}"/>
    <cellStyle name="Millares 14" xfId="20" xr:uid="{EABABFE9-479A-406C-A242-B8F191D4AD46}"/>
    <cellStyle name="Millares 15" xfId="21" xr:uid="{11485499-7F2C-4D5B-BED6-F5E048D5158E}"/>
    <cellStyle name="Millares 2" xfId="3" xr:uid="{00000000-0005-0000-0000-000001000000}"/>
    <cellStyle name="Millares 2 2" xfId="13" xr:uid="{00000000-0005-0000-0000-000002000000}"/>
    <cellStyle name="Millares 3" xfId="8" xr:uid="{00000000-0005-0000-0000-000003000000}"/>
    <cellStyle name="Millares 3 2" xfId="22" xr:uid="{DCF3B947-DA11-41BF-824A-8DE194382858}"/>
    <cellStyle name="Millares 4" xfId="12" xr:uid="{00000000-0005-0000-0000-000004000000}"/>
    <cellStyle name="Millares 4 2" xfId="23" xr:uid="{FB95B3D3-9B9C-49E8-9777-BC0BACADCCE9}"/>
    <cellStyle name="Millares 5" xfId="24" xr:uid="{994D7F3C-DB44-4A80-B54F-24C4CE78C660}"/>
    <cellStyle name="Millares 6" xfId="25" xr:uid="{79C110BD-CADB-4506-AFF8-A3E5E66A88FE}"/>
    <cellStyle name="Millares 7" xfId="26" xr:uid="{FEDB4172-5176-45BE-A4D5-ECFC27626321}"/>
    <cellStyle name="Millares 8" xfId="27" xr:uid="{744E40D7-987C-4174-BD59-FFDDD4AC16BD}"/>
    <cellStyle name="Millares 9" xfId="28" xr:uid="{04E8430C-02E6-462E-899D-C5E94D7816BB}"/>
    <cellStyle name="Millares_PlanillaEjercicio" xfId="5" xr:uid="{00000000-0005-0000-0000-000005000000}"/>
    <cellStyle name="Normal" xfId="0" builtinId="0"/>
    <cellStyle name="Normal 11" xfId="15" xr:uid="{0BD1D9EF-960C-4689-AD2D-2F54DF2800BB}"/>
    <cellStyle name="Normal 2" xfId="9" xr:uid="{00000000-0005-0000-0000-000007000000}"/>
    <cellStyle name="Normal 2 10" xfId="29" xr:uid="{FC6E539B-83FD-4DA5-BE90-7E8F237085AA}"/>
    <cellStyle name="Normal 2 11" xfId="30" xr:uid="{59843878-E9FF-4479-A6DA-CE0E4277A239}"/>
    <cellStyle name="Normal 2 12" xfId="31" xr:uid="{561980F9-A40B-4B08-86E2-C218AECB4277}"/>
    <cellStyle name="Normal 2 13" xfId="32" xr:uid="{1CE4252D-C3E8-4F4A-9A94-3CF0F74CE51D}"/>
    <cellStyle name="Normal 2 14" xfId="33" xr:uid="{82453F18-610C-41C0-9294-E87C98CBD78D}"/>
    <cellStyle name="Normal 2 15" xfId="34" xr:uid="{F64FFC46-11E7-4F42-BCF8-15AAFA945D70}"/>
    <cellStyle name="Normal 2 2" xfId="2" xr:uid="{00000000-0005-0000-0000-000008000000}"/>
    <cellStyle name="Normal 2 3" xfId="14" xr:uid="{00000000-0005-0000-0000-000009000000}"/>
    <cellStyle name="Normal 2 3 2" xfId="35" xr:uid="{3AB79843-3871-4F4C-8FD7-6848D66B4762}"/>
    <cellStyle name="Normal 2 4" xfId="36" xr:uid="{9924D17A-7613-4EEE-B03E-0B71586E7D53}"/>
    <cellStyle name="Normal 2 5" xfId="37" xr:uid="{68C95672-E516-48AD-95CB-80F1B23ECCE6}"/>
    <cellStyle name="Normal 2 6" xfId="38" xr:uid="{A8EB7725-78CD-4F6B-86BA-D6535C087F7E}"/>
    <cellStyle name="Normal 2 7" xfId="39" xr:uid="{35A17B59-3024-4431-80CC-53D642404A30}"/>
    <cellStyle name="Normal 2 8" xfId="40" xr:uid="{2234F406-F27B-49E2-A067-3AFF8DE26CB2}"/>
    <cellStyle name="Normal 2 9" xfId="41" xr:uid="{87389DE5-83C8-48D3-96D0-C02516C95F1C}"/>
    <cellStyle name="Normal 3" xfId="11" xr:uid="{00000000-0005-0000-0000-00000A000000}"/>
    <cellStyle name="Normal 3 2" xfId="42" xr:uid="{EEBCE827-9746-4913-A332-F00C389261C1}"/>
    <cellStyle name="Normal 4" xfId="6" xr:uid="{00000000-0005-0000-0000-00000B000000}"/>
    <cellStyle name="Normal 5" xfId="45" xr:uid="{4DF9E651-C430-449B-A832-A5C4994ABE94}"/>
    <cellStyle name="Normal 6" xfId="46" xr:uid="{8B7F72D5-101E-4D2A-923F-39EF8C2D872A}"/>
    <cellStyle name="Normal 7" xfId="44" xr:uid="{C233B722-708C-4229-8374-EADE55F1CA63}"/>
    <cellStyle name="Normal 8" xfId="7" xr:uid="{00000000-0005-0000-0000-00000C000000}"/>
    <cellStyle name="Porcentaje" xfId="1" builtinId="5"/>
    <cellStyle name="Porcentaje 2" xfId="43" xr:uid="{9D2CD45B-2E0E-48A4-8524-962F10D13563}"/>
    <cellStyle name="Porcentual 2" xfId="4" xr:uid="{00000000-0005-0000-0000-00000E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CCECFF"/>
      <color rgb="FFE5F5FF"/>
      <color rgb="FF7D1EB2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connections" Target="connection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124799</xdr:colOff>
      <xdr:row>29</xdr:row>
      <xdr:rowOff>38850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8305CA-00D5-4281-9CDB-01A558547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6982799" cy="537285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20</xdr:col>
      <xdr:colOff>67642</xdr:colOff>
      <xdr:row>31</xdr:row>
      <xdr:rowOff>181798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D62760-EE63-4D77-BC5E-47740DF6F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0" y="190500"/>
          <a:ext cx="6925642" cy="58967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10</xdr:col>
      <xdr:colOff>48589</xdr:colOff>
      <xdr:row>64</xdr:row>
      <xdr:rowOff>38930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9582AAF-47F8-4237-B330-14B100D4E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6286500"/>
          <a:ext cx="6906589" cy="59444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1%20ENERO%20INPROCESS%202026/2DA%20QUINCENA%20PLANILLA%20-%20ENERO%202026.xlsx" TargetMode="External"/><Relationship Id="rId2" Type="http://schemas.openxmlformats.org/officeDocument/2006/relationships/externalLinkPath" Target="https://inprocessperu.sharepoint.com/sites/Contabilidad_InProcess/Documentos%20compartidos/01%20INDUSTRIAL%20PROCESS/PLE%202026/01%20ENERO%20INPROCESS%202026/2DA%20QUINCENA%20PLANILLA%20-%20ENERO%202026.xlsx" TargetMode="External"/><Relationship Id="rId1" Type="http://schemas.openxmlformats.org/officeDocument/2006/relationships/externalLinkPath" Target="/sites/Contabilidad_InProcess/Documentos%20compartidos/01%20INDUSTRIAL%20PROCESS/PLE%202026/01%20ENERO%20INPROCESS%202026/2DA%20QUINCENA%20PLANILLA%20-%20ENER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RHH/COMISIONES%20VENTAS/COMISIONES/2025/Comisiones%20julio%202025.xlsx" TargetMode="External"/><Relationship Id="rId2" Type="http://schemas.openxmlformats.org/officeDocument/2006/relationships/externalLinkPath" Target="https://inprocessperu.sharepoint.com/sites/Contabilidad_InProcess/Documentos%20compartidos/01%20INDUSTRIAL%20PROCESS/RRHH/COMISIONES%20VENTAS/COMISIONES/2025/Comisiones%20julio%202025.xlsx" TargetMode="External"/><Relationship Id="rId1" Type="http://schemas.openxmlformats.org/officeDocument/2006/relationships/externalLinkPath" Target="/sites/Contabilidad_InProcess/Documentos%20compartidos/01%20INDUSTRIAL%20PROCESS/RRHH/COMISIONES%20VENTAS/COMISIONES/2025/Comisiones%20julio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LE%202025/08%20AGOSTO%20INPROCESS%202025/2DA%20QUINCENA%20PLANILLA%20-%20MENSUAL%20AGOSTO%202025%20ACTUALIZADO.xlsx" TargetMode="External"/><Relationship Id="rId2" Type="http://schemas.openxmlformats.org/officeDocument/2006/relationships/externalLinkPath" Target="https://inprocessperu.sharepoint.com/sites/Contabilidad_InProcess/Documentos%20compartidos/01%20INDUSTRIAL%20PROCESS/PLE%202025/08%20AGOSTO%20INPROCESS%202025/2DA%20QUINCENA%20PLANILLA%20-%20MENSUAL%20AGOSTO%202025%20ACTUALIZADO.xlsx" TargetMode="External"/><Relationship Id="rId1" Type="http://schemas.openxmlformats.org/officeDocument/2006/relationships/externalLinkPath" Target="/sites/Contabilidad_InProcess/Documentos%20compartidos/01%20INDUSTRIAL%20PROCESS/PLE%202025/08%20AGOSTO%20INPROCESS%202025/2DA%20QUINCENA%20PLANILLA%20-%20MENSUAL%20AGOSTO%202025%20ACTUALIZADO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RHH/COMISIONES%20VENTAS/COMISIONES/2025/Comisiones%20agosto%202025%20-%20copia.xlsx" TargetMode="External"/><Relationship Id="rId2" Type="http://schemas.openxmlformats.org/officeDocument/2006/relationships/externalLinkPath" Target="https://inprocessperu.sharepoint.com/sites/Contabilidad_InProcess/Documentos%20compartidos/01%20INDUSTRIAL%20PROCESS/RRHH/COMISIONES%20VENTAS/COMISIONES/2025/Comisiones%20agosto%202025%20-%20copia.xlsx" TargetMode="External"/><Relationship Id="rId1" Type="http://schemas.openxmlformats.org/officeDocument/2006/relationships/externalLinkPath" Target="/sites/Contabilidad_InProcess/Documentos%20compartidos/01%20INDUSTRIAL%20PROCESS/RRHH/COMISIONES%20VENTAS/COMISIONES/2025/Comisiones%20agosto%202025%20-%20copia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RHH/COMISIONES%20VENTAS/COMISIONES/2025/Comisiones%20octubre%202025.xlsx" TargetMode="External"/><Relationship Id="rId2" Type="http://schemas.openxmlformats.org/officeDocument/2006/relationships/externalLinkPath" Target="https://inprocessperu.sharepoint.com/sites/Contabilidad_InProcess/Documentos%20compartidos/01%20INDUSTRIAL%20PROCESS/RRHH/COMISIONES%20VENTAS/COMISIONES/2025/Comisiones%20octubre%202025.xlsx" TargetMode="External"/><Relationship Id="rId1" Type="http://schemas.openxmlformats.org/officeDocument/2006/relationships/externalLinkPath" Target="/sites/Contabilidad_InProcess/Documentos%20compartidos/01%20INDUSTRIAL%20PROCESS/RRHH/COMISIONES%20VENTAS/COMISIONES/2025/Comisiones%20octubre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RHH/COMISIONES%20VENTAS/COMISIONES/2025/Comisiones%20noviembre%202025.xlsx" TargetMode="External"/><Relationship Id="rId2" Type="http://schemas.openxmlformats.org/officeDocument/2006/relationships/externalLinkPath" Target="https://inprocessperu.sharepoint.com/sites/Contabilidad_InProcess/Documentos%20compartidos/01%20INDUSTRIAL%20PROCESS/RRHH/COMISIONES%20VENTAS/COMISIONES/2025/Comisiones%20noviembre%202025.xlsx" TargetMode="External"/><Relationship Id="rId1" Type="http://schemas.openxmlformats.org/officeDocument/2006/relationships/externalLinkPath" Target="/sites/Contabilidad_InProcess/Documentos%20compartidos/01%20INDUSTRIAL%20PROCESS/RRHH/COMISIONES%20VENTAS/COMISIONES/2025/Comisiones%20noviembre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RHH/COMISIONES%20VENTAS/COMISIONES/2025/Comisiones%20diciembre%202025.xlsx" TargetMode="External"/><Relationship Id="rId2" Type="http://schemas.openxmlformats.org/officeDocument/2006/relationships/externalLinkPath" Target="https://inprocessperu.sharepoint.com/sites/Contabilidad_InProcess/Documentos%20compartidos/01%20INDUSTRIAL%20PROCESS/RRHH/COMISIONES%20VENTAS/COMISIONES/2025/Comisiones%20diciembre%202025.xlsx" TargetMode="External"/><Relationship Id="rId1" Type="http://schemas.openxmlformats.org/officeDocument/2006/relationships/externalLinkPath" Target="/sites/Contabilidad_InProcess/Documentos%20compartidos/01%20INDUSTRIAL%20PROCESS/RRHH/COMISIONES%20VENTAS/COMISIONES/2025/Comisiones%20diciembre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RecursosHumanos/Documentos%20compartidos/RR%20HH/1.%20INPROCESS/COMISIONES%20DE%20VENTA/Comisiones%20Junio%202026.xlsx" TargetMode="External"/><Relationship Id="rId2" Type="http://schemas.openxmlformats.org/officeDocument/2006/relationships/externalLinkPath" Target="https://inprocessperu.sharepoint.com/sites/RecursosHumanos/Documentos%20compartidos/RR%20HH/1.%20INPROCESS/COMISIONES%20DE%20VENTA/Comisiones%20Junio%202026.xlsx" TargetMode="External"/><Relationship Id="rId1" Type="http://schemas.openxmlformats.org/officeDocument/2006/relationships/externalLinkPath" Target="/sites/RecursosHumanos/Documentos%20compartidos/RR%20HH/1.%20INPROCESS/COMISIONES%20DE%20VENTA/Comisiones%20Junio%202026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RecursosHumanos/Documentos%20compartidos/RR%20HH/1.%20INPROCESS/11.%20PLANILLA/2026/05%20MAYO/2DA%20QUINCENA%20PLANILLA%20-%20MAYO%202026%20FINAL.xlsx" TargetMode="External"/><Relationship Id="rId2" Type="http://schemas.openxmlformats.org/officeDocument/2006/relationships/externalLinkPath" Target="https://inprocessperu.sharepoint.com/sites/RecursosHumanos/Documentos%20compartidos/RR%20HH/1.%20INPROCESS/11.%20PLANILLA/2026/05%20MAYO/2DA%20QUINCENA%20PLANILLA%20-%20MAYO%202026%20FINAL.xlsx" TargetMode="External"/><Relationship Id="rId1" Type="http://schemas.openxmlformats.org/officeDocument/2006/relationships/externalLinkPath" Target="/sites/RecursosHumanos/Documentos%20compartidos/RR%20HH/1.%20INPROCESS/11.%20PLANILLA/2026/05%20MAYO/2DA%20QUINCENA%20PLANILLA%20-%20MAYO%202026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A MAR P1"/>
      <sheetName val="Hoja1"/>
      <sheetName val="AFP SBS"/>
      <sheetName val="PLANILLA MENSUAL"/>
      <sheetName val="DIARIO"/>
      <sheetName val="COMISIONES"/>
      <sheetName val="RTA 5TA VTAS"/>
      <sheetName val="RTA 5TA"/>
      <sheetName val="SEGURO PACIFICO"/>
      <sheetName val="VACACIONES"/>
      <sheetName val="HT. EPS"/>
      <sheetName val="TARDANZA"/>
      <sheetName val="SLV"/>
      <sheetName val="Hoja3"/>
      <sheetName val="TRANSF"/>
      <sheetName val="PLANILLA BRUTA"/>
      <sheetName val="COSTO GRATIFICACIONES"/>
      <sheetName val="COSTO CTS "/>
      <sheetName val="COSTO VACACIONES"/>
      <sheetName val="COSTO TOTAL"/>
    </sheetNames>
    <sheetDataSet>
      <sheetData sheetId="0"/>
      <sheetData sheetId="1"/>
      <sheetData sheetId="2"/>
      <sheetData sheetId="3">
        <row r="25">
          <cell r="U25">
            <v>397.83333333333331</v>
          </cell>
        </row>
        <row r="27">
          <cell r="U27">
            <v>197.75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orge Echevarria"/>
      <sheetName val="Luis Siccha"/>
      <sheetName val="Luis Quevedo"/>
      <sheetName val="Juan Estrada"/>
      <sheetName val="Frank Estacio"/>
      <sheetName val="Cesar Arevalo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23774.611999999994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A MAR P1"/>
      <sheetName val="Hoja1"/>
      <sheetName val="AFP SBS"/>
      <sheetName val="PLANILLA MENSUAL"/>
      <sheetName val="DIARIO"/>
      <sheetName val="COMISIONES"/>
      <sheetName val="RTA 5TA VTAS"/>
      <sheetName val="RTA 5TA"/>
      <sheetName val="SEGURO PACIFICO"/>
      <sheetName val="VACACIONES"/>
      <sheetName val="HT. EPS"/>
      <sheetName val="TARDANZA"/>
      <sheetName val="SLV"/>
      <sheetName val="Hoja3"/>
      <sheetName val="TRANSF"/>
      <sheetName val="PLANILLA BRUTA"/>
      <sheetName val="COSTO GRATIFICACIONES"/>
      <sheetName val="COSTO CTS "/>
      <sheetName val="COSTO VACACIONES"/>
      <sheetName val="COSTO TOTAL"/>
    </sheetNames>
    <sheetDataSet>
      <sheetData sheetId="0"/>
      <sheetData sheetId="1"/>
      <sheetData sheetId="2"/>
      <sheetData sheetId="3"/>
      <sheetData sheetId="4"/>
      <sheetData sheetId="5">
        <row r="13">
          <cell r="K13">
            <v>22050.223459999997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orge Echevarria"/>
      <sheetName val="Luis Siccha x rev"/>
      <sheetName val="Luis Quevedo x rev"/>
      <sheetName val="Juan Estrada x rev"/>
      <sheetName val="Frank Estacio"/>
      <sheetName val="Cesar Arevalo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24471.375460000003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orge Echevarria"/>
      <sheetName val="Luis Siccha "/>
      <sheetName val="Luis Quevedo"/>
      <sheetName val="Juan Estrada"/>
      <sheetName val="Frank Estacio"/>
      <sheetName val="Cesar Arevalo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28603.947200000002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orge Echevarria"/>
      <sheetName val="Luis Siccha "/>
      <sheetName val="Luis Quevedo"/>
      <sheetName val="Juan Estrada"/>
      <sheetName val="Frank Estacio"/>
      <sheetName val="Cesar Arevalo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17271.956999999999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orge Echevarria"/>
      <sheetName val="Luis Siccha "/>
      <sheetName val="Luis Quevedo"/>
      <sheetName val="Juan Estrada"/>
      <sheetName val="Frank Estacio"/>
      <sheetName val="Cesar Arevalo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14322.999599999999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ficina"/>
      <sheetName val="Ernesto"/>
      <sheetName val="Giusseppe"/>
      <sheetName val="Jorge Echevarria"/>
      <sheetName val="Luis Siccha "/>
      <sheetName val="Luis Quevedo"/>
      <sheetName val="Juan Estrada"/>
      <sheetName val="Frank Estacio"/>
      <sheetName val="Cesar Arevalo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F4">
            <v>4331.4262500000004</v>
          </cell>
        </row>
        <row r="5">
          <cell r="F5">
            <v>1556.8993499999999</v>
          </cell>
        </row>
        <row r="6">
          <cell r="F6">
            <v>1994.6995500000003</v>
          </cell>
        </row>
        <row r="7">
          <cell r="F7">
            <v>1482.3352499999996</v>
          </cell>
        </row>
        <row r="8">
          <cell r="F8">
            <v>662.76479999999992</v>
          </cell>
        </row>
        <row r="11">
          <cell r="F11">
            <v>887.80799999999988</v>
          </cell>
        </row>
        <row r="15">
          <cell r="D15">
            <v>6403.7056999999995</v>
          </cell>
        </row>
        <row r="23">
          <cell r="D23">
            <v>8965.1879799999988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A MAR P1"/>
      <sheetName val="Hoja1"/>
      <sheetName val="AFP SBS"/>
      <sheetName val="PLANILLA MENSUAL"/>
      <sheetName val="DIARIO"/>
      <sheetName val="COMISIONES"/>
      <sheetName val="RTA 5TA VTAS"/>
      <sheetName val="RTA 5TA"/>
      <sheetName val="SEGURO PACIFICO"/>
      <sheetName val="VACACIONES"/>
      <sheetName val="HT. EPS"/>
      <sheetName val="TARDANZA"/>
      <sheetName val="SLV"/>
      <sheetName val="Hoja3"/>
      <sheetName val="TRANSF"/>
      <sheetName val="PLANILLA BRUTA"/>
      <sheetName val="COSTO GRATIFICACIONES"/>
      <sheetName val="COSTO CTS "/>
      <sheetName val="COSTO VACACIONES"/>
      <sheetName val="COSTO TOTAL"/>
    </sheetNames>
    <sheetDataSet>
      <sheetData sheetId="0"/>
      <sheetData sheetId="1"/>
      <sheetData sheetId="2"/>
      <sheetData sheetId="3">
        <row r="12">
          <cell r="AY12">
            <v>10338.514593013182</v>
          </cell>
          <cell r="BG12">
            <v>7600.2169711730094</v>
          </cell>
        </row>
        <row r="13">
          <cell r="AY13">
            <v>3565.916666666667</v>
          </cell>
          <cell r="BG13">
            <v>2483.2015271960081</v>
          </cell>
        </row>
        <row r="14">
          <cell r="AY14">
            <v>2410.1266666666666</v>
          </cell>
          <cell r="BG14">
            <v>1718.2537659090913</v>
          </cell>
        </row>
        <row r="15">
          <cell r="AY15">
            <v>2399.25</v>
          </cell>
          <cell r="BG15">
            <v>1821.9270438852809</v>
          </cell>
        </row>
        <row r="16">
          <cell r="AY16">
            <v>2302.2222222222222</v>
          </cell>
          <cell r="BG16">
            <v>1975.2048631594389</v>
          </cell>
        </row>
        <row r="17">
          <cell r="AY17">
            <v>3565.916666666667</v>
          </cell>
          <cell r="BG17">
            <v>1355.3325919491526</v>
          </cell>
        </row>
        <row r="18">
          <cell r="AY18">
            <v>7206.1772197222226</v>
          </cell>
          <cell r="BG18">
            <v>6474.1597730558206</v>
          </cell>
        </row>
        <row r="19">
          <cell r="AY19">
            <v>1625</v>
          </cell>
          <cell r="BG19">
            <v>1836.297503701498</v>
          </cell>
        </row>
        <row r="20">
          <cell r="AY20">
            <v>1458.3333333333333</v>
          </cell>
          <cell r="BG20">
            <v>1070.766594610589</v>
          </cell>
        </row>
        <row r="21">
          <cell r="AY21">
            <v>1232.5833333333333</v>
          </cell>
          <cell r="AZ21">
            <v>500</v>
          </cell>
          <cell r="BG21">
            <v>613.00390000000016</v>
          </cell>
        </row>
        <row r="22">
          <cell r="AY22">
            <v>3536.7371083333337</v>
          </cell>
          <cell r="BG22">
            <v>4262.5647098332947</v>
          </cell>
        </row>
        <row r="23">
          <cell r="AY23">
            <v>765.91666666666663</v>
          </cell>
          <cell r="BG23">
            <v>719.60190000000011</v>
          </cell>
        </row>
        <row r="24">
          <cell r="AY24">
            <v>1633.3333333333335</v>
          </cell>
          <cell r="BG24">
            <v>1143.4047345240092</v>
          </cell>
        </row>
        <row r="25">
          <cell r="AY25">
            <v>1750</v>
          </cell>
          <cell r="BG25">
            <v>1331.9097689828832</v>
          </cell>
        </row>
        <row r="26">
          <cell r="AY26">
            <v>1633.3333333333335</v>
          </cell>
          <cell r="BG26">
            <v>1366.0950000000003</v>
          </cell>
        </row>
        <row r="27">
          <cell r="AY27">
            <v>2739.7348467172787</v>
          </cell>
          <cell r="BG27">
            <v>1836.1624159791509</v>
          </cell>
        </row>
        <row r="28">
          <cell r="AY28">
            <v>1524.25</v>
          </cell>
          <cell r="BG28">
            <v>1255.0969999999998</v>
          </cell>
        </row>
        <row r="29">
          <cell r="AY29">
            <v>659.16666666666663</v>
          </cell>
          <cell r="BB29"/>
          <cell r="BG29">
            <v>470.74</v>
          </cell>
        </row>
        <row r="30">
          <cell r="AY30">
            <v>1465.2415277777777</v>
          </cell>
          <cell r="AZ30">
            <v>500</v>
          </cell>
          <cell r="BB30"/>
          <cell r="BG30">
            <v>723.73020833333385</v>
          </cell>
        </row>
        <row r="31">
          <cell r="AY31">
            <v>1458.3333333333333</v>
          </cell>
          <cell r="BG31">
            <v>1133.1865946105891</v>
          </cell>
        </row>
        <row r="32">
          <cell r="AY32">
            <v>1171.5093055555556</v>
          </cell>
          <cell r="BG32">
            <v>1115.75</v>
          </cell>
        </row>
        <row r="33">
          <cell r="AY33">
            <v>1173.3506944444443</v>
          </cell>
          <cell r="BG33">
            <v>1115.75</v>
          </cell>
        </row>
        <row r="34">
          <cell r="AY34">
            <v>1283.3333333333333</v>
          </cell>
          <cell r="BG34">
            <v>1115.75</v>
          </cell>
        </row>
        <row r="35">
          <cell r="AY35">
            <v>1458.3333333333333</v>
          </cell>
          <cell r="BG35">
            <v>1035.1026963055042</v>
          </cell>
        </row>
        <row r="36">
          <cell r="AY36">
            <v>2212.0566004943503</v>
          </cell>
          <cell r="BG36">
            <v>2561.4771363719246</v>
          </cell>
        </row>
        <row r="37">
          <cell r="AY37">
            <v>2182.2730277777778</v>
          </cell>
          <cell r="BG37">
            <v>1671.0850420249999</v>
          </cell>
        </row>
        <row r="38">
          <cell r="AY38">
            <v>1633.3333333333335</v>
          </cell>
          <cell r="BG38">
            <v>1227.9733333333338</v>
          </cell>
        </row>
        <row r="39">
          <cell r="AY39">
            <v>999.86430555555557</v>
          </cell>
          <cell r="BG39">
            <v>892.60000000000036</v>
          </cell>
        </row>
        <row r="53">
          <cell r="AV53">
            <v>0</v>
          </cell>
        </row>
        <row r="54">
          <cell r="BE54">
            <v>-11422.285143478852</v>
          </cell>
        </row>
        <row r="64">
          <cell r="Q64">
            <v>9130</v>
          </cell>
          <cell r="R64">
            <v>226</v>
          </cell>
          <cell r="X64">
            <v>100</v>
          </cell>
          <cell r="BI64">
            <v>842.04000000000008</v>
          </cell>
        </row>
        <row r="65">
          <cell r="Q65">
            <v>8300</v>
          </cell>
          <cell r="X65">
            <v>100</v>
          </cell>
          <cell r="AT65">
            <v>3018.4661192355934</v>
          </cell>
          <cell r="BI65">
            <v>747</v>
          </cell>
        </row>
        <row r="66">
          <cell r="Q66">
            <v>4960</v>
          </cell>
          <cell r="X66">
            <v>76.190476190476161</v>
          </cell>
          <cell r="AT66">
            <v>12926.042308079665</v>
          </cell>
          <cell r="BI66">
            <v>579.59999999999991</v>
          </cell>
        </row>
        <row r="68">
          <cell r="Q68">
            <v>38800</v>
          </cell>
          <cell r="R68">
            <v>452</v>
          </cell>
          <cell r="S68">
            <v>23159.636756440679</v>
          </cell>
          <cell r="T68">
            <v>0</v>
          </cell>
          <cell r="Z68">
            <v>0</v>
          </cell>
          <cell r="AT68">
            <v>4452.7931506768364</v>
          </cell>
          <cell r="BI68">
            <v>5689.0473080796601</v>
          </cell>
        </row>
        <row r="69">
          <cell r="Q69">
            <v>19300</v>
          </cell>
          <cell r="R69">
            <v>339</v>
          </cell>
          <cell r="U69">
            <v>0</v>
          </cell>
          <cell r="V69">
            <v>0</v>
          </cell>
          <cell r="X69">
            <v>100</v>
          </cell>
          <cell r="AT69">
            <v>7711.2219980968639</v>
          </cell>
          <cell r="BI69">
            <v>1767.51</v>
          </cell>
        </row>
        <row r="70">
          <cell r="Q70">
            <v>3200</v>
          </cell>
          <cell r="AT70">
            <v>1404.8772000000001</v>
          </cell>
          <cell r="BI70">
            <v>288.00000000000006</v>
          </cell>
        </row>
        <row r="71">
          <cell r="Q71">
            <v>12050</v>
          </cell>
          <cell r="R71">
            <v>113</v>
          </cell>
          <cell r="Z71">
            <v>0</v>
          </cell>
          <cell r="AT71">
            <v>626.82810000000006</v>
          </cell>
          <cell r="BI71">
            <v>1114.2450000000001</v>
          </cell>
        </row>
        <row r="72">
          <cell r="Q72">
            <v>13006.966666666667</v>
          </cell>
          <cell r="R72">
            <v>452</v>
          </cell>
          <cell r="U72">
            <v>0</v>
          </cell>
          <cell r="V72">
            <v>0</v>
          </cell>
          <cell r="X72">
            <v>100</v>
          </cell>
          <cell r="BI72">
            <v>1249.3800000000001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7"/>
  <sheetViews>
    <sheetView zoomScaleNormal="100" zoomScaleSheetLayoutView="100" workbookViewId="0">
      <selection activeCell="E21" sqref="E21:E23"/>
    </sheetView>
  </sheetViews>
  <sheetFormatPr baseColWidth="10" defaultColWidth="11.42578125" defaultRowHeight="20.100000000000001" customHeight="1"/>
  <cols>
    <col min="1" max="1" width="2.28515625" style="69" customWidth="1"/>
    <col min="2" max="2" width="5.5703125" style="61" customWidth="1"/>
    <col min="3" max="3" width="34.28515625" style="69" customWidth="1"/>
    <col min="4" max="4" width="41.5703125" style="69" customWidth="1"/>
    <col min="5" max="7" width="10.140625" style="69" customWidth="1"/>
    <col min="8" max="10" width="10.140625" style="61" customWidth="1"/>
    <col min="11" max="11" width="11" style="61" customWidth="1"/>
    <col min="12" max="12" width="10.140625" style="61" customWidth="1"/>
    <col min="13" max="13" width="10.5703125" style="61" customWidth="1"/>
    <col min="14" max="16" width="10.140625" style="61" customWidth="1"/>
    <col min="17" max="17" width="4.140625" style="61" customWidth="1"/>
    <col min="18" max="20" width="10.42578125" style="61" customWidth="1"/>
    <col min="21" max="21" width="9.85546875" style="61" customWidth="1"/>
    <col min="22" max="22" width="21.5703125" style="61" customWidth="1"/>
    <col min="23" max="23" width="25.7109375" style="61" customWidth="1"/>
    <col min="24" max="26" width="21.5703125" style="61" customWidth="1"/>
    <col min="27" max="27" width="29.85546875" style="61" customWidth="1"/>
    <col min="28" max="256" width="11.42578125" style="69"/>
    <col min="257" max="257" width="2.28515625" style="69" customWidth="1"/>
    <col min="258" max="258" width="5.5703125" style="69" customWidth="1"/>
    <col min="259" max="259" width="34.28515625" style="69" customWidth="1"/>
    <col min="260" max="260" width="41.5703125" style="69" customWidth="1"/>
    <col min="261" max="266" width="10.140625" style="69" customWidth="1"/>
    <col min="267" max="267" width="11" style="69" customWidth="1"/>
    <col min="268" max="268" width="10.140625" style="69" customWidth="1"/>
    <col min="269" max="269" width="10.5703125" style="69" customWidth="1"/>
    <col min="270" max="272" width="10.140625" style="69" customWidth="1"/>
    <col min="273" max="273" width="4.140625" style="69" customWidth="1"/>
    <col min="274" max="276" width="10.42578125" style="69" customWidth="1"/>
    <col min="277" max="277" width="9.85546875" style="69" customWidth="1"/>
    <col min="278" max="278" width="21.5703125" style="69" customWidth="1"/>
    <col min="279" max="279" width="25.7109375" style="69" customWidth="1"/>
    <col min="280" max="282" width="21.5703125" style="69" customWidth="1"/>
    <col min="283" max="283" width="29.85546875" style="69" customWidth="1"/>
    <col min="284" max="512" width="11.42578125" style="69"/>
    <col min="513" max="513" width="2.28515625" style="69" customWidth="1"/>
    <col min="514" max="514" width="5.5703125" style="69" customWidth="1"/>
    <col min="515" max="515" width="34.28515625" style="69" customWidth="1"/>
    <col min="516" max="516" width="41.5703125" style="69" customWidth="1"/>
    <col min="517" max="522" width="10.140625" style="69" customWidth="1"/>
    <col min="523" max="523" width="11" style="69" customWidth="1"/>
    <col min="524" max="524" width="10.140625" style="69" customWidth="1"/>
    <col min="525" max="525" width="10.5703125" style="69" customWidth="1"/>
    <col min="526" max="528" width="10.140625" style="69" customWidth="1"/>
    <col min="529" max="529" width="4.140625" style="69" customWidth="1"/>
    <col min="530" max="532" width="10.42578125" style="69" customWidth="1"/>
    <col min="533" max="533" width="9.85546875" style="69" customWidth="1"/>
    <col min="534" max="534" width="21.5703125" style="69" customWidth="1"/>
    <col min="535" max="535" width="25.7109375" style="69" customWidth="1"/>
    <col min="536" max="538" width="21.5703125" style="69" customWidth="1"/>
    <col min="539" max="539" width="29.85546875" style="69" customWidth="1"/>
    <col min="540" max="768" width="11.42578125" style="69"/>
    <col min="769" max="769" width="2.28515625" style="69" customWidth="1"/>
    <col min="770" max="770" width="5.5703125" style="69" customWidth="1"/>
    <col min="771" max="771" width="34.28515625" style="69" customWidth="1"/>
    <col min="772" max="772" width="41.5703125" style="69" customWidth="1"/>
    <col min="773" max="778" width="10.140625" style="69" customWidth="1"/>
    <col min="779" max="779" width="11" style="69" customWidth="1"/>
    <col min="780" max="780" width="10.140625" style="69" customWidth="1"/>
    <col min="781" max="781" width="10.5703125" style="69" customWidth="1"/>
    <col min="782" max="784" width="10.140625" style="69" customWidth="1"/>
    <col min="785" max="785" width="4.140625" style="69" customWidth="1"/>
    <col min="786" max="788" width="10.42578125" style="69" customWidth="1"/>
    <col min="789" max="789" width="9.85546875" style="69" customWidth="1"/>
    <col min="790" max="790" width="21.5703125" style="69" customWidth="1"/>
    <col min="791" max="791" width="25.7109375" style="69" customWidth="1"/>
    <col min="792" max="794" width="21.5703125" style="69" customWidth="1"/>
    <col min="795" max="795" width="29.85546875" style="69" customWidth="1"/>
    <col min="796" max="1024" width="11.42578125" style="69"/>
    <col min="1025" max="1025" width="2.28515625" style="69" customWidth="1"/>
    <col min="1026" max="1026" width="5.5703125" style="69" customWidth="1"/>
    <col min="1027" max="1027" width="34.28515625" style="69" customWidth="1"/>
    <col min="1028" max="1028" width="41.5703125" style="69" customWidth="1"/>
    <col min="1029" max="1034" width="10.140625" style="69" customWidth="1"/>
    <col min="1035" max="1035" width="11" style="69" customWidth="1"/>
    <col min="1036" max="1036" width="10.140625" style="69" customWidth="1"/>
    <col min="1037" max="1037" width="10.5703125" style="69" customWidth="1"/>
    <col min="1038" max="1040" width="10.140625" style="69" customWidth="1"/>
    <col min="1041" max="1041" width="4.140625" style="69" customWidth="1"/>
    <col min="1042" max="1044" width="10.42578125" style="69" customWidth="1"/>
    <col min="1045" max="1045" width="9.85546875" style="69" customWidth="1"/>
    <col min="1046" max="1046" width="21.5703125" style="69" customWidth="1"/>
    <col min="1047" max="1047" width="25.7109375" style="69" customWidth="1"/>
    <col min="1048" max="1050" width="21.5703125" style="69" customWidth="1"/>
    <col min="1051" max="1051" width="29.85546875" style="69" customWidth="1"/>
    <col min="1052" max="1280" width="11.42578125" style="69"/>
    <col min="1281" max="1281" width="2.28515625" style="69" customWidth="1"/>
    <col min="1282" max="1282" width="5.5703125" style="69" customWidth="1"/>
    <col min="1283" max="1283" width="34.28515625" style="69" customWidth="1"/>
    <col min="1284" max="1284" width="41.5703125" style="69" customWidth="1"/>
    <col min="1285" max="1290" width="10.140625" style="69" customWidth="1"/>
    <col min="1291" max="1291" width="11" style="69" customWidth="1"/>
    <col min="1292" max="1292" width="10.140625" style="69" customWidth="1"/>
    <col min="1293" max="1293" width="10.5703125" style="69" customWidth="1"/>
    <col min="1294" max="1296" width="10.140625" style="69" customWidth="1"/>
    <col min="1297" max="1297" width="4.140625" style="69" customWidth="1"/>
    <col min="1298" max="1300" width="10.42578125" style="69" customWidth="1"/>
    <col min="1301" max="1301" width="9.85546875" style="69" customWidth="1"/>
    <col min="1302" max="1302" width="21.5703125" style="69" customWidth="1"/>
    <col min="1303" max="1303" width="25.7109375" style="69" customWidth="1"/>
    <col min="1304" max="1306" width="21.5703125" style="69" customWidth="1"/>
    <col min="1307" max="1307" width="29.85546875" style="69" customWidth="1"/>
    <col min="1308" max="1536" width="11.42578125" style="69"/>
    <col min="1537" max="1537" width="2.28515625" style="69" customWidth="1"/>
    <col min="1538" max="1538" width="5.5703125" style="69" customWidth="1"/>
    <col min="1539" max="1539" width="34.28515625" style="69" customWidth="1"/>
    <col min="1540" max="1540" width="41.5703125" style="69" customWidth="1"/>
    <col min="1541" max="1546" width="10.140625" style="69" customWidth="1"/>
    <col min="1547" max="1547" width="11" style="69" customWidth="1"/>
    <col min="1548" max="1548" width="10.140625" style="69" customWidth="1"/>
    <col min="1549" max="1549" width="10.5703125" style="69" customWidth="1"/>
    <col min="1550" max="1552" width="10.140625" style="69" customWidth="1"/>
    <col min="1553" max="1553" width="4.140625" style="69" customWidth="1"/>
    <col min="1554" max="1556" width="10.42578125" style="69" customWidth="1"/>
    <col min="1557" max="1557" width="9.85546875" style="69" customWidth="1"/>
    <col min="1558" max="1558" width="21.5703125" style="69" customWidth="1"/>
    <col min="1559" max="1559" width="25.7109375" style="69" customWidth="1"/>
    <col min="1560" max="1562" width="21.5703125" style="69" customWidth="1"/>
    <col min="1563" max="1563" width="29.85546875" style="69" customWidth="1"/>
    <col min="1564" max="1792" width="11.42578125" style="69"/>
    <col min="1793" max="1793" width="2.28515625" style="69" customWidth="1"/>
    <col min="1794" max="1794" width="5.5703125" style="69" customWidth="1"/>
    <col min="1795" max="1795" width="34.28515625" style="69" customWidth="1"/>
    <col min="1796" max="1796" width="41.5703125" style="69" customWidth="1"/>
    <col min="1797" max="1802" width="10.140625" style="69" customWidth="1"/>
    <col min="1803" max="1803" width="11" style="69" customWidth="1"/>
    <col min="1804" max="1804" width="10.140625" style="69" customWidth="1"/>
    <col min="1805" max="1805" width="10.5703125" style="69" customWidth="1"/>
    <col min="1806" max="1808" width="10.140625" style="69" customWidth="1"/>
    <col min="1809" max="1809" width="4.140625" style="69" customWidth="1"/>
    <col min="1810" max="1812" width="10.42578125" style="69" customWidth="1"/>
    <col min="1813" max="1813" width="9.85546875" style="69" customWidth="1"/>
    <col min="1814" max="1814" width="21.5703125" style="69" customWidth="1"/>
    <col min="1815" max="1815" width="25.7109375" style="69" customWidth="1"/>
    <col min="1816" max="1818" width="21.5703125" style="69" customWidth="1"/>
    <col min="1819" max="1819" width="29.85546875" style="69" customWidth="1"/>
    <col min="1820" max="2048" width="11.42578125" style="69"/>
    <col min="2049" max="2049" width="2.28515625" style="69" customWidth="1"/>
    <col min="2050" max="2050" width="5.5703125" style="69" customWidth="1"/>
    <col min="2051" max="2051" width="34.28515625" style="69" customWidth="1"/>
    <col min="2052" max="2052" width="41.5703125" style="69" customWidth="1"/>
    <col min="2053" max="2058" width="10.140625" style="69" customWidth="1"/>
    <col min="2059" max="2059" width="11" style="69" customWidth="1"/>
    <col min="2060" max="2060" width="10.140625" style="69" customWidth="1"/>
    <col min="2061" max="2061" width="10.5703125" style="69" customWidth="1"/>
    <col min="2062" max="2064" width="10.140625" style="69" customWidth="1"/>
    <col min="2065" max="2065" width="4.140625" style="69" customWidth="1"/>
    <col min="2066" max="2068" width="10.42578125" style="69" customWidth="1"/>
    <col min="2069" max="2069" width="9.85546875" style="69" customWidth="1"/>
    <col min="2070" max="2070" width="21.5703125" style="69" customWidth="1"/>
    <col min="2071" max="2071" width="25.7109375" style="69" customWidth="1"/>
    <col min="2072" max="2074" width="21.5703125" style="69" customWidth="1"/>
    <col min="2075" max="2075" width="29.85546875" style="69" customWidth="1"/>
    <col min="2076" max="2304" width="11.42578125" style="69"/>
    <col min="2305" max="2305" width="2.28515625" style="69" customWidth="1"/>
    <col min="2306" max="2306" width="5.5703125" style="69" customWidth="1"/>
    <col min="2307" max="2307" width="34.28515625" style="69" customWidth="1"/>
    <col min="2308" max="2308" width="41.5703125" style="69" customWidth="1"/>
    <col min="2309" max="2314" width="10.140625" style="69" customWidth="1"/>
    <col min="2315" max="2315" width="11" style="69" customWidth="1"/>
    <col min="2316" max="2316" width="10.140625" style="69" customWidth="1"/>
    <col min="2317" max="2317" width="10.5703125" style="69" customWidth="1"/>
    <col min="2318" max="2320" width="10.140625" style="69" customWidth="1"/>
    <col min="2321" max="2321" width="4.140625" style="69" customWidth="1"/>
    <col min="2322" max="2324" width="10.42578125" style="69" customWidth="1"/>
    <col min="2325" max="2325" width="9.85546875" style="69" customWidth="1"/>
    <col min="2326" max="2326" width="21.5703125" style="69" customWidth="1"/>
    <col min="2327" max="2327" width="25.7109375" style="69" customWidth="1"/>
    <col min="2328" max="2330" width="21.5703125" style="69" customWidth="1"/>
    <col min="2331" max="2331" width="29.85546875" style="69" customWidth="1"/>
    <col min="2332" max="2560" width="11.42578125" style="69"/>
    <col min="2561" max="2561" width="2.28515625" style="69" customWidth="1"/>
    <col min="2562" max="2562" width="5.5703125" style="69" customWidth="1"/>
    <col min="2563" max="2563" width="34.28515625" style="69" customWidth="1"/>
    <col min="2564" max="2564" width="41.5703125" style="69" customWidth="1"/>
    <col min="2565" max="2570" width="10.140625" style="69" customWidth="1"/>
    <col min="2571" max="2571" width="11" style="69" customWidth="1"/>
    <col min="2572" max="2572" width="10.140625" style="69" customWidth="1"/>
    <col min="2573" max="2573" width="10.5703125" style="69" customWidth="1"/>
    <col min="2574" max="2576" width="10.140625" style="69" customWidth="1"/>
    <col min="2577" max="2577" width="4.140625" style="69" customWidth="1"/>
    <col min="2578" max="2580" width="10.42578125" style="69" customWidth="1"/>
    <col min="2581" max="2581" width="9.85546875" style="69" customWidth="1"/>
    <col min="2582" max="2582" width="21.5703125" style="69" customWidth="1"/>
    <col min="2583" max="2583" width="25.7109375" style="69" customWidth="1"/>
    <col min="2584" max="2586" width="21.5703125" style="69" customWidth="1"/>
    <col min="2587" max="2587" width="29.85546875" style="69" customWidth="1"/>
    <col min="2588" max="2816" width="11.42578125" style="69"/>
    <col min="2817" max="2817" width="2.28515625" style="69" customWidth="1"/>
    <col min="2818" max="2818" width="5.5703125" style="69" customWidth="1"/>
    <col min="2819" max="2819" width="34.28515625" style="69" customWidth="1"/>
    <col min="2820" max="2820" width="41.5703125" style="69" customWidth="1"/>
    <col min="2821" max="2826" width="10.140625" style="69" customWidth="1"/>
    <col min="2827" max="2827" width="11" style="69" customWidth="1"/>
    <col min="2828" max="2828" width="10.140625" style="69" customWidth="1"/>
    <col min="2829" max="2829" width="10.5703125" style="69" customWidth="1"/>
    <col min="2830" max="2832" width="10.140625" style="69" customWidth="1"/>
    <col min="2833" max="2833" width="4.140625" style="69" customWidth="1"/>
    <col min="2834" max="2836" width="10.42578125" style="69" customWidth="1"/>
    <col min="2837" max="2837" width="9.85546875" style="69" customWidth="1"/>
    <col min="2838" max="2838" width="21.5703125" style="69" customWidth="1"/>
    <col min="2839" max="2839" width="25.7109375" style="69" customWidth="1"/>
    <col min="2840" max="2842" width="21.5703125" style="69" customWidth="1"/>
    <col min="2843" max="2843" width="29.85546875" style="69" customWidth="1"/>
    <col min="2844" max="3072" width="11.42578125" style="69"/>
    <col min="3073" max="3073" width="2.28515625" style="69" customWidth="1"/>
    <col min="3074" max="3074" width="5.5703125" style="69" customWidth="1"/>
    <col min="3075" max="3075" width="34.28515625" style="69" customWidth="1"/>
    <col min="3076" max="3076" width="41.5703125" style="69" customWidth="1"/>
    <col min="3077" max="3082" width="10.140625" style="69" customWidth="1"/>
    <col min="3083" max="3083" width="11" style="69" customWidth="1"/>
    <col min="3084" max="3084" width="10.140625" style="69" customWidth="1"/>
    <col min="3085" max="3085" width="10.5703125" style="69" customWidth="1"/>
    <col min="3086" max="3088" width="10.140625" style="69" customWidth="1"/>
    <col min="3089" max="3089" width="4.140625" style="69" customWidth="1"/>
    <col min="3090" max="3092" width="10.42578125" style="69" customWidth="1"/>
    <col min="3093" max="3093" width="9.85546875" style="69" customWidth="1"/>
    <col min="3094" max="3094" width="21.5703125" style="69" customWidth="1"/>
    <col min="3095" max="3095" width="25.7109375" style="69" customWidth="1"/>
    <col min="3096" max="3098" width="21.5703125" style="69" customWidth="1"/>
    <col min="3099" max="3099" width="29.85546875" style="69" customWidth="1"/>
    <col min="3100" max="3328" width="11.42578125" style="69"/>
    <col min="3329" max="3329" width="2.28515625" style="69" customWidth="1"/>
    <col min="3330" max="3330" width="5.5703125" style="69" customWidth="1"/>
    <col min="3331" max="3331" width="34.28515625" style="69" customWidth="1"/>
    <col min="3332" max="3332" width="41.5703125" style="69" customWidth="1"/>
    <col min="3333" max="3338" width="10.140625" style="69" customWidth="1"/>
    <col min="3339" max="3339" width="11" style="69" customWidth="1"/>
    <col min="3340" max="3340" width="10.140625" style="69" customWidth="1"/>
    <col min="3341" max="3341" width="10.5703125" style="69" customWidth="1"/>
    <col min="3342" max="3344" width="10.140625" style="69" customWidth="1"/>
    <col min="3345" max="3345" width="4.140625" style="69" customWidth="1"/>
    <col min="3346" max="3348" width="10.42578125" style="69" customWidth="1"/>
    <col min="3349" max="3349" width="9.85546875" style="69" customWidth="1"/>
    <col min="3350" max="3350" width="21.5703125" style="69" customWidth="1"/>
    <col min="3351" max="3351" width="25.7109375" style="69" customWidth="1"/>
    <col min="3352" max="3354" width="21.5703125" style="69" customWidth="1"/>
    <col min="3355" max="3355" width="29.85546875" style="69" customWidth="1"/>
    <col min="3356" max="3584" width="11.42578125" style="69"/>
    <col min="3585" max="3585" width="2.28515625" style="69" customWidth="1"/>
    <col min="3586" max="3586" width="5.5703125" style="69" customWidth="1"/>
    <col min="3587" max="3587" width="34.28515625" style="69" customWidth="1"/>
    <col min="3588" max="3588" width="41.5703125" style="69" customWidth="1"/>
    <col min="3589" max="3594" width="10.140625" style="69" customWidth="1"/>
    <col min="3595" max="3595" width="11" style="69" customWidth="1"/>
    <col min="3596" max="3596" width="10.140625" style="69" customWidth="1"/>
    <col min="3597" max="3597" width="10.5703125" style="69" customWidth="1"/>
    <col min="3598" max="3600" width="10.140625" style="69" customWidth="1"/>
    <col min="3601" max="3601" width="4.140625" style="69" customWidth="1"/>
    <col min="3602" max="3604" width="10.42578125" style="69" customWidth="1"/>
    <col min="3605" max="3605" width="9.85546875" style="69" customWidth="1"/>
    <col min="3606" max="3606" width="21.5703125" style="69" customWidth="1"/>
    <col min="3607" max="3607" width="25.7109375" style="69" customWidth="1"/>
    <col min="3608" max="3610" width="21.5703125" style="69" customWidth="1"/>
    <col min="3611" max="3611" width="29.85546875" style="69" customWidth="1"/>
    <col min="3612" max="3840" width="11.42578125" style="69"/>
    <col min="3841" max="3841" width="2.28515625" style="69" customWidth="1"/>
    <col min="3842" max="3842" width="5.5703125" style="69" customWidth="1"/>
    <col min="3843" max="3843" width="34.28515625" style="69" customWidth="1"/>
    <col min="3844" max="3844" width="41.5703125" style="69" customWidth="1"/>
    <col min="3845" max="3850" width="10.140625" style="69" customWidth="1"/>
    <col min="3851" max="3851" width="11" style="69" customWidth="1"/>
    <col min="3852" max="3852" width="10.140625" style="69" customWidth="1"/>
    <col min="3853" max="3853" width="10.5703125" style="69" customWidth="1"/>
    <col min="3854" max="3856" width="10.140625" style="69" customWidth="1"/>
    <col min="3857" max="3857" width="4.140625" style="69" customWidth="1"/>
    <col min="3858" max="3860" width="10.42578125" style="69" customWidth="1"/>
    <col min="3861" max="3861" width="9.85546875" style="69" customWidth="1"/>
    <col min="3862" max="3862" width="21.5703125" style="69" customWidth="1"/>
    <col min="3863" max="3863" width="25.7109375" style="69" customWidth="1"/>
    <col min="3864" max="3866" width="21.5703125" style="69" customWidth="1"/>
    <col min="3867" max="3867" width="29.85546875" style="69" customWidth="1"/>
    <col min="3868" max="4096" width="11.42578125" style="69"/>
    <col min="4097" max="4097" width="2.28515625" style="69" customWidth="1"/>
    <col min="4098" max="4098" width="5.5703125" style="69" customWidth="1"/>
    <col min="4099" max="4099" width="34.28515625" style="69" customWidth="1"/>
    <col min="4100" max="4100" width="41.5703125" style="69" customWidth="1"/>
    <col min="4101" max="4106" width="10.140625" style="69" customWidth="1"/>
    <col min="4107" max="4107" width="11" style="69" customWidth="1"/>
    <col min="4108" max="4108" width="10.140625" style="69" customWidth="1"/>
    <col min="4109" max="4109" width="10.5703125" style="69" customWidth="1"/>
    <col min="4110" max="4112" width="10.140625" style="69" customWidth="1"/>
    <col min="4113" max="4113" width="4.140625" style="69" customWidth="1"/>
    <col min="4114" max="4116" width="10.42578125" style="69" customWidth="1"/>
    <col min="4117" max="4117" width="9.85546875" style="69" customWidth="1"/>
    <col min="4118" max="4118" width="21.5703125" style="69" customWidth="1"/>
    <col min="4119" max="4119" width="25.7109375" style="69" customWidth="1"/>
    <col min="4120" max="4122" width="21.5703125" style="69" customWidth="1"/>
    <col min="4123" max="4123" width="29.85546875" style="69" customWidth="1"/>
    <col min="4124" max="4352" width="11.42578125" style="69"/>
    <col min="4353" max="4353" width="2.28515625" style="69" customWidth="1"/>
    <col min="4354" max="4354" width="5.5703125" style="69" customWidth="1"/>
    <col min="4355" max="4355" width="34.28515625" style="69" customWidth="1"/>
    <col min="4356" max="4356" width="41.5703125" style="69" customWidth="1"/>
    <col min="4357" max="4362" width="10.140625" style="69" customWidth="1"/>
    <col min="4363" max="4363" width="11" style="69" customWidth="1"/>
    <col min="4364" max="4364" width="10.140625" style="69" customWidth="1"/>
    <col min="4365" max="4365" width="10.5703125" style="69" customWidth="1"/>
    <col min="4366" max="4368" width="10.140625" style="69" customWidth="1"/>
    <col min="4369" max="4369" width="4.140625" style="69" customWidth="1"/>
    <col min="4370" max="4372" width="10.42578125" style="69" customWidth="1"/>
    <col min="4373" max="4373" width="9.85546875" style="69" customWidth="1"/>
    <col min="4374" max="4374" width="21.5703125" style="69" customWidth="1"/>
    <col min="4375" max="4375" width="25.7109375" style="69" customWidth="1"/>
    <col min="4376" max="4378" width="21.5703125" style="69" customWidth="1"/>
    <col min="4379" max="4379" width="29.85546875" style="69" customWidth="1"/>
    <col min="4380" max="4608" width="11.42578125" style="69"/>
    <col min="4609" max="4609" width="2.28515625" style="69" customWidth="1"/>
    <col min="4610" max="4610" width="5.5703125" style="69" customWidth="1"/>
    <col min="4611" max="4611" width="34.28515625" style="69" customWidth="1"/>
    <col min="4612" max="4612" width="41.5703125" style="69" customWidth="1"/>
    <col min="4613" max="4618" width="10.140625" style="69" customWidth="1"/>
    <col min="4619" max="4619" width="11" style="69" customWidth="1"/>
    <col min="4620" max="4620" width="10.140625" style="69" customWidth="1"/>
    <col min="4621" max="4621" width="10.5703125" style="69" customWidth="1"/>
    <col min="4622" max="4624" width="10.140625" style="69" customWidth="1"/>
    <col min="4625" max="4625" width="4.140625" style="69" customWidth="1"/>
    <col min="4626" max="4628" width="10.42578125" style="69" customWidth="1"/>
    <col min="4629" max="4629" width="9.85546875" style="69" customWidth="1"/>
    <col min="4630" max="4630" width="21.5703125" style="69" customWidth="1"/>
    <col min="4631" max="4631" width="25.7109375" style="69" customWidth="1"/>
    <col min="4632" max="4634" width="21.5703125" style="69" customWidth="1"/>
    <col min="4635" max="4635" width="29.85546875" style="69" customWidth="1"/>
    <col min="4636" max="4864" width="11.42578125" style="69"/>
    <col min="4865" max="4865" width="2.28515625" style="69" customWidth="1"/>
    <col min="4866" max="4866" width="5.5703125" style="69" customWidth="1"/>
    <col min="4867" max="4867" width="34.28515625" style="69" customWidth="1"/>
    <col min="4868" max="4868" width="41.5703125" style="69" customWidth="1"/>
    <col min="4869" max="4874" width="10.140625" style="69" customWidth="1"/>
    <col min="4875" max="4875" width="11" style="69" customWidth="1"/>
    <col min="4876" max="4876" width="10.140625" style="69" customWidth="1"/>
    <col min="4877" max="4877" width="10.5703125" style="69" customWidth="1"/>
    <col min="4878" max="4880" width="10.140625" style="69" customWidth="1"/>
    <col min="4881" max="4881" width="4.140625" style="69" customWidth="1"/>
    <col min="4882" max="4884" width="10.42578125" style="69" customWidth="1"/>
    <col min="4885" max="4885" width="9.85546875" style="69" customWidth="1"/>
    <col min="4886" max="4886" width="21.5703125" style="69" customWidth="1"/>
    <col min="4887" max="4887" width="25.7109375" style="69" customWidth="1"/>
    <col min="4888" max="4890" width="21.5703125" style="69" customWidth="1"/>
    <col min="4891" max="4891" width="29.85546875" style="69" customWidth="1"/>
    <col min="4892" max="5120" width="11.42578125" style="69"/>
    <col min="5121" max="5121" width="2.28515625" style="69" customWidth="1"/>
    <col min="5122" max="5122" width="5.5703125" style="69" customWidth="1"/>
    <col min="5123" max="5123" width="34.28515625" style="69" customWidth="1"/>
    <col min="5124" max="5124" width="41.5703125" style="69" customWidth="1"/>
    <col min="5125" max="5130" width="10.140625" style="69" customWidth="1"/>
    <col min="5131" max="5131" width="11" style="69" customWidth="1"/>
    <col min="5132" max="5132" width="10.140625" style="69" customWidth="1"/>
    <col min="5133" max="5133" width="10.5703125" style="69" customWidth="1"/>
    <col min="5134" max="5136" width="10.140625" style="69" customWidth="1"/>
    <col min="5137" max="5137" width="4.140625" style="69" customWidth="1"/>
    <col min="5138" max="5140" width="10.42578125" style="69" customWidth="1"/>
    <col min="5141" max="5141" width="9.85546875" style="69" customWidth="1"/>
    <col min="5142" max="5142" width="21.5703125" style="69" customWidth="1"/>
    <col min="5143" max="5143" width="25.7109375" style="69" customWidth="1"/>
    <col min="5144" max="5146" width="21.5703125" style="69" customWidth="1"/>
    <col min="5147" max="5147" width="29.85546875" style="69" customWidth="1"/>
    <col min="5148" max="5376" width="11.42578125" style="69"/>
    <col min="5377" max="5377" width="2.28515625" style="69" customWidth="1"/>
    <col min="5378" max="5378" width="5.5703125" style="69" customWidth="1"/>
    <col min="5379" max="5379" width="34.28515625" style="69" customWidth="1"/>
    <col min="5380" max="5380" width="41.5703125" style="69" customWidth="1"/>
    <col min="5381" max="5386" width="10.140625" style="69" customWidth="1"/>
    <col min="5387" max="5387" width="11" style="69" customWidth="1"/>
    <col min="5388" max="5388" width="10.140625" style="69" customWidth="1"/>
    <col min="5389" max="5389" width="10.5703125" style="69" customWidth="1"/>
    <col min="5390" max="5392" width="10.140625" style="69" customWidth="1"/>
    <col min="5393" max="5393" width="4.140625" style="69" customWidth="1"/>
    <col min="5394" max="5396" width="10.42578125" style="69" customWidth="1"/>
    <col min="5397" max="5397" width="9.85546875" style="69" customWidth="1"/>
    <col min="5398" max="5398" width="21.5703125" style="69" customWidth="1"/>
    <col min="5399" max="5399" width="25.7109375" style="69" customWidth="1"/>
    <col min="5400" max="5402" width="21.5703125" style="69" customWidth="1"/>
    <col min="5403" max="5403" width="29.85546875" style="69" customWidth="1"/>
    <col min="5404" max="5632" width="11.42578125" style="69"/>
    <col min="5633" max="5633" width="2.28515625" style="69" customWidth="1"/>
    <col min="5634" max="5634" width="5.5703125" style="69" customWidth="1"/>
    <col min="5635" max="5635" width="34.28515625" style="69" customWidth="1"/>
    <col min="5636" max="5636" width="41.5703125" style="69" customWidth="1"/>
    <col min="5637" max="5642" width="10.140625" style="69" customWidth="1"/>
    <col min="5643" max="5643" width="11" style="69" customWidth="1"/>
    <col min="5644" max="5644" width="10.140625" style="69" customWidth="1"/>
    <col min="5645" max="5645" width="10.5703125" style="69" customWidth="1"/>
    <col min="5646" max="5648" width="10.140625" style="69" customWidth="1"/>
    <col min="5649" max="5649" width="4.140625" style="69" customWidth="1"/>
    <col min="5650" max="5652" width="10.42578125" style="69" customWidth="1"/>
    <col min="5653" max="5653" width="9.85546875" style="69" customWidth="1"/>
    <col min="5654" max="5654" width="21.5703125" style="69" customWidth="1"/>
    <col min="5655" max="5655" width="25.7109375" style="69" customWidth="1"/>
    <col min="5656" max="5658" width="21.5703125" style="69" customWidth="1"/>
    <col min="5659" max="5659" width="29.85546875" style="69" customWidth="1"/>
    <col min="5660" max="5888" width="11.42578125" style="69"/>
    <col min="5889" max="5889" width="2.28515625" style="69" customWidth="1"/>
    <col min="5890" max="5890" width="5.5703125" style="69" customWidth="1"/>
    <col min="5891" max="5891" width="34.28515625" style="69" customWidth="1"/>
    <col min="5892" max="5892" width="41.5703125" style="69" customWidth="1"/>
    <col min="5893" max="5898" width="10.140625" style="69" customWidth="1"/>
    <col min="5899" max="5899" width="11" style="69" customWidth="1"/>
    <col min="5900" max="5900" width="10.140625" style="69" customWidth="1"/>
    <col min="5901" max="5901" width="10.5703125" style="69" customWidth="1"/>
    <col min="5902" max="5904" width="10.140625" style="69" customWidth="1"/>
    <col min="5905" max="5905" width="4.140625" style="69" customWidth="1"/>
    <col min="5906" max="5908" width="10.42578125" style="69" customWidth="1"/>
    <col min="5909" max="5909" width="9.85546875" style="69" customWidth="1"/>
    <col min="5910" max="5910" width="21.5703125" style="69" customWidth="1"/>
    <col min="5911" max="5911" width="25.7109375" style="69" customWidth="1"/>
    <col min="5912" max="5914" width="21.5703125" style="69" customWidth="1"/>
    <col min="5915" max="5915" width="29.85546875" style="69" customWidth="1"/>
    <col min="5916" max="6144" width="11.42578125" style="69"/>
    <col min="6145" max="6145" width="2.28515625" style="69" customWidth="1"/>
    <col min="6146" max="6146" width="5.5703125" style="69" customWidth="1"/>
    <col min="6147" max="6147" width="34.28515625" style="69" customWidth="1"/>
    <col min="6148" max="6148" width="41.5703125" style="69" customWidth="1"/>
    <col min="6149" max="6154" width="10.140625" style="69" customWidth="1"/>
    <col min="6155" max="6155" width="11" style="69" customWidth="1"/>
    <col min="6156" max="6156" width="10.140625" style="69" customWidth="1"/>
    <col min="6157" max="6157" width="10.5703125" style="69" customWidth="1"/>
    <col min="6158" max="6160" width="10.140625" style="69" customWidth="1"/>
    <col min="6161" max="6161" width="4.140625" style="69" customWidth="1"/>
    <col min="6162" max="6164" width="10.42578125" style="69" customWidth="1"/>
    <col min="6165" max="6165" width="9.85546875" style="69" customWidth="1"/>
    <col min="6166" max="6166" width="21.5703125" style="69" customWidth="1"/>
    <col min="6167" max="6167" width="25.7109375" style="69" customWidth="1"/>
    <col min="6168" max="6170" width="21.5703125" style="69" customWidth="1"/>
    <col min="6171" max="6171" width="29.85546875" style="69" customWidth="1"/>
    <col min="6172" max="6400" width="11.42578125" style="69"/>
    <col min="6401" max="6401" width="2.28515625" style="69" customWidth="1"/>
    <col min="6402" max="6402" width="5.5703125" style="69" customWidth="1"/>
    <col min="6403" max="6403" width="34.28515625" style="69" customWidth="1"/>
    <col min="6404" max="6404" width="41.5703125" style="69" customWidth="1"/>
    <col min="6405" max="6410" width="10.140625" style="69" customWidth="1"/>
    <col min="6411" max="6411" width="11" style="69" customWidth="1"/>
    <col min="6412" max="6412" width="10.140625" style="69" customWidth="1"/>
    <col min="6413" max="6413" width="10.5703125" style="69" customWidth="1"/>
    <col min="6414" max="6416" width="10.140625" style="69" customWidth="1"/>
    <col min="6417" max="6417" width="4.140625" style="69" customWidth="1"/>
    <col min="6418" max="6420" width="10.42578125" style="69" customWidth="1"/>
    <col min="6421" max="6421" width="9.85546875" style="69" customWidth="1"/>
    <col min="6422" max="6422" width="21.5703125" style="69" customWidth="1"/>
    <col min="6423" max="6423" width="25.7109375" style="69" customWidth="1"/>
    <col min="6424" max="6426" width="21.5703125" style="69" customWidth="1"/>
    <col min="6427" max="6427" width="29.85546875" style="69" customWidth="1"/>
    <col min="6428" max="6656" width="11.42578125" style="69"/>
    <col min="6657" max="6657" width="2.28515625" style="69" customWidth="1"/>
    <col min="6658" max="6658" width="5.5703125" style="69" customWidth="1"/>
    <col min="6659" max="6659" width="34.28515625" style="69" customWidth="1"/>
    <col min="6660" max="6660" width="41.5703125" style="69" customWidth="1"/>
    <col min="6661" max="6666" width="10.140625" style="69" customWidth="1"/>
    <col min="6667" max="6667" width="11" style="69" customWidth="1"/>
    <col min="6668" max="6668" width="10.140625" style="69" customWidth="1"/>
    <col min="6669" max="6669" width="10.5703125" style="69" customWidth="1"/>
    <col min="6670" max="6672" width="10.140625" style="69" customWidth="1"/>
    <col min="6673" max="6673" width="4.140625" style="69" customWidth="1"/>
    <col min="6674" max="6676" width="10.42578125" style="69" customWidth="1"/>
    <col min="6677" max="6677" width="9.85546875" style="69" customWidth="1"/>
    <col min="6678" max="6678" width="21.5703125" style="69" customWidth="1"/>
    <col min="6679" max="6679" width="25.7109375" style="69" customWidth="1"/>
    <col min="6680" max="6682" width="21.5703125" style="69" customWidth="1"/>
    <col min="6683" max="6683" width="29.85546875" style="69" customWidth="1"/>
    <col min="6684" max="6912" width="11.42578125" style="69"/>
    <col min="6913" max="6913" width="2.28515625" style="69" customWidth="1"/>
    <col min="6914" max="6914" width="5.5703125" style="69" customWidth="1"/>
    <col min="6915" max="6915" width="34.28515625" style="69" customWidth="1"/>
    <col min="6916" max="6916" width="41.5703125" style="69" customWidth="1"/>
    <col min="6917" max="6922" width="10.140625" style="69" customWidth="1"/>
    <col min="6923" max="6923" width="11" style="69" customWidth="1"/>
    <col min="6924" max="6924" width="10.140625" style="69" customWidth="1"/>
    <col min="6925" max="6925" width="10.5703125" style="69" customWidth="1"/>
    <col min="6926" max="6928" width="10.140625" style="69" customWidth="1"/>
    <col min="6929" max="6929" width="4.140625" style="69" customWidth="1"/>
    <col min="6930" max="6932" width="10.42578125" style="69" customWidth="1"/>
    <col min="6933" max="6933" width="9.85546875" style="69" customWidth="1"/>
    <col min="6934" max="6934" width="21.5703125" style="69" customWidth="1"/>
    <col min="6935" max="6935" width="25.7109375" style="69" customWidth="1"/>
    <col min="6936" max="6938" width="21.5703125" style="69" customWidth="1"/>
    <col min="6939" max="6939" width="29.85546875" style="69" customWidth="1"/>
    <col min="6940" max="7168" width="11.42578125" style="69"/>
    <col min="7169" max="7169" width="2.28515625" style="69" customWidth="1"/>
    <col min="7170" max="7170" width="5.5703125" style="69" customWidth="1"/>
    <col min="7171" max="7171" width="34.28515625" style="69" customWidth="1"/>
    <col min="7172" max="7172" width="41.5703125" style="69" customWidth="1"/>
    <col min="7173" max="7178" width="10.140625" style="69" customWidth="1"/>
    <col min="7179" max="7179" width="11" style="69" customWidth="1"/>
    <col min="7180" max="7180" width="10.140625" style="69" customWidth="1"/>
    <col min="7181" max="7181" width="10.5703125" style="69" customWidth="1"/>
    <col min="7182" max="7184" width="10.140625" style="69" customWidth="1"/>
    <col min="7185" max="7185" width="4.140625" style="69" customWidth="1"/>
    <col min="7186" max="7188" width="10.42578125" style="69" customWidth="1"/>
    <col min="7189" max="7189" width="9.85546875" style="69" customWidth="1"/>
    <col min="7190" max="7190" width="21.5703125" style="69" customWidth="1"/>
    <col min="7191" max="7191" width="25.7109375" style="69" customWidth="1"/>
    <col min="7192" max="7194" width="21.5703125" style="69" customWidth="1"/>
    <col min="7195" max="7195" width="29.85546875" style="69" customWidth="1"/>
    <col min="7196" max="7424" width="11.42578125" style="69"/>
    <col min="7425" max="7425" width="2.28515625" style="69" customWidth="1"/>
    <col min="7426" max="7426" width="5.5703125" style="69" customWidth="1"/>
    <col min="7427" max="7427" width="34.28515625" style="69" customWidth="1"/>
    <col min="7428" max="7428" width="41.5703125" style="69" customWidth="1"/>
    <col min="7429" max="7434" width="10.140625" style="69" customWidth="1"/>
    <col min="7435" max="7435" width="11" style="69" customWidth="1"/>
    <col min="7436" max="7436" width="10.140625" style="69" customWidth="1"/>
    <col min="7437" max="7437" width="10.5703125" style="69" customWidth="1"/>
    <col min="7438" max="7440" width="10.140625" style="69" customWidth="1"/>
    <col min="7441" max="7441" width="4.140625" style="69" customWidth="1"/>
    <col min="7442" max="7444" width="10.42578125" style="69" customWidth="1"/>
    <col min="7445" max="7445" width="9.85546875" style="69" customWidth="1"/>
    <col min="7446" max="7446" width="21.5703125" style="69" customWidth="1"/>
    <col min="7447" max="7447" width="25.7109375" style="69" customWidth="1"/>
    <col min="7448" max="7450" width="21.5703125" style="69" customWidth="1"/>
    <col min="7451" max="7451" width="29.85546875" style="69" customWidth="1"/>
    <col min="7452" max="7680" width="11.42578125" style="69"/>
    <col min="7681" max="7681" width="2.28515625" style="69" customWidth="1"/>
    <col min="7682" max="7682" width="5.5703125" style="69" customWidth="1"/>
    <col min="7683" max="7683" width="34.28515625" style="69" customWidth="1"/>
    <col min="7684" max="7684" width="41.5703125" style="69" customWidth="1"/>
    <col min="7685" max="7690" width="10.140625" style="69" customWidth="1"/>
    <col min="7691" max="7691" width="11" style="69" customWidth="1"/>
    <col min="7692" max="7692" width="10.140625" style="69" customWidth="1"/>
    <col min="7693" max="7693" width="10.5703125" style="69" customWidth="1"/>
    <col min="7694" max="7696" width="10.140625" style="69" customWidth="1"/>
    <col min="7697" max="7697" width="4.140625" style="69" customWidth="1"/>
    <col min="7698" max="7700" width="10.42578125" style="69" customWidth="1"/>
    <col min="7701" max="7701" width="9.85546875" style="69" customWidth="1"/>
    <col min="7702" max="7702" width="21.5703125" style="69" customWidth="1"/>
    <col min="7703" max="7703" width="25.7109375" style="69" customWidth="1"/>
    <col min="7704" max="7706" width="21.5703125" style="69" customWidth="1"/>
    <col min="7707" max="7707" width="29.85546875" style="69" customWidth="1"/>
    <col min="7708" max="7936" width="11.42578125" style="69"/>
    <col min="7937" max="7937" width="2.28515625" style="69" customWidth="1"/>
    <col min="7938" max="7938" width="5.5703125" style="69" customWidth="1"/>
    <col min="7939" max="7939" width="34.28515625" style="69" customWidth="1"/>
    <col min="7940" max="7940" width="41.5703125" style="69" customWidth="1"/>
    <col min="7941" max="7946" width="10.140625" style="69" customWidth="1"/>
    <col min="7947" max="7947" width="11" style="69" customWidth="1"/>
    <col min="7948" max="7948" width="10.140625" style="69" customWidth="1"/>
    <col min="7949" max="7949" width="10.5703125" style="69" customWidth="1"/>
    <col min="7950" max="7952" width="10.140625" style="69" customWidth="1"/>
    <col min="7953" max="7953" width="4.140625" style="69" customWidth="1"/>
    <col min="7954" max="7956" width="10.42578125" style="69" customWidth="1"/>
    <col min="7957" max="7957" width="9.85546875" style="69" customWidth="1"/>
    <col min="7958" max="7958" width="21.5703125" style="69" customWidth="1"/>
    <col min="7959" max="7959" width="25.7109375" style="69" customWidth="1"/>
    <col min="7960" max="7962" width="21.5703125" style="69" customWidth="1"/>
    <col min="7963" max="7963" width="29.85546875" style="69" customWidth="1"/>
    <col min="7964" max="8192" width="11.42578125" style="69"/>
    <col min="8193" max="8193" width="2.28515625" style="69" customWidth="1"/>
    <col min="8194" max="8194" width="5.5703125" style="69" customWidth="1"/>
    <col min="8195" max="8195" width="34.28515625" style="69" customWidth="1"/>
    <col min="8196" max="8196" width="41.5703125" style="69" customWidth="1"/>
    <col min="8197" max="8202" width="10.140625" style="69" customWidth="1"/>
    <col min="8203" max="8203" width="11" style="69" customWidth="1"/>
    <col min="8204" max="8204" width="10.140625" style="69" customWidth="1"/>
    <col min="8205" max="8205" width="10.5703125" style="69" customWidth="1"/>
    <col min="8206" max="8208" width="10.140625" style="69" customWidth="1"/>
    <col min="8209" max="8209" width="4.140625" style="69" customWidth="1"/>
    <col min="8210" max="8212" width="10.42578125" style="69" customWidth="1"/>
    <col min="8213" max="8213" width="9.85546875" style="69" customWidth="1"/>
    <col min="8214" max="8214" width="21.5703125" style="69" customWidth="1"/>
    <col min="8215" max="8215" width="25.7109375" style="69" customWidth="1"/>
    <col min="8216" max="8218" width="21.5703125" style="69" customWidth="1"/>
    <col min="8219" max="8219" width="29.85546875" style="69" customWidth="1"/>
    <col min="8220" max="8448" width="11.42578125" style="69"/>
    <col min="8449" max="8449" width="2.28515625" style="69" customWidth="1"/>
    <col min="8450" max="8450" width="5.5703125" style="69" customWidth="1"/>
    <col min="8451" max="8451" width="34.28515625" style="69" customWidth="1"/>
    <col min="8452" max="8452" width="41.5703125" style="69" customWidth="1"/>
    <col min="8453" max="8458" width="10.140625" style="69" customWidth="1"/>
    <col min="8459" max="8459" width="11" style="69" customWidth="1"/>
    <col min="8460" max="8460" width="10.140625" style="69" customWidth="1"/>
    <col min="8461" max="8461" width="10.5703125" style="69" customWidth="1"/>
    <col min="8462" max="8464" width="10.140625" style="69" customWidth="1"/>
    <col min="8465" max="8465" width="4.140625" style="69" customWidth="1"/>
    <col min="8466" max="8468" width="10.42578125" style="69" customWidth="1"/>
    <col min="8469" max="8469" width="9.85546875" style="69" customWidth="1"/>
    <col min="8470" max="8470" width="21.5703125" style="69" customWidth="1"/>
    <col min="8471" max="8471" width="25.7109375" style="69" customWidth="1"/>
    <col min="8472" max="8474" width="21.5703125" style="69" customWidth="1"/>
    <col min="8475" max="8475" width="29.85546875" style="69" customWidth="1"/>
    <col min="8476" max="8704" width="11.42578125" style="69"/>
    <col min="8705" max="8705" width="2.28515625" style="69" customWidth="1"/>
    <col min="8706" max="8706" width="5.5703125" style="69" customWidth="1"/>
    <col min="8707" max="8707" width="34.28515625" style="69" customWidth="1"/>
    <col min="8708" max="8708" width="41.5703125" style="69" customWidth="1"/>
    <col min="8709" max="8714" width="10.140625" style="69" customWidth="1"/>
    <col min="8715" max="8715" width="11" style="69" customWidth="1"/>
    <col min="8716" max="8716" width="10.140625" style="69" customWidth="1"/>
    <col min="8717" max="8717" width="10.5703125" style="69" customWidth="1"/>
    <col min="8718" max="8720" width="10.140625" style="69" customWidth="1"/>
    <col min="8721" max="8721" width="4.140625" style="69" customWidth="1"/>
    <col min="8722" max="8724" width="10.42578125" style="69" customWidth="1"/>
    <col min="8725" max="8725" width="9.85546875" style="69" customWidth="1"/>
    <col min="8726" max="8726" width="21.5703125" style="69" customWidth="1"/>
    <col min="8727" max="8727" width="25.7109375" style="69" customWidth="1"/>
    <col min="8728" max="8730" width="21.5703125" style="69" customWidth="1"/>
    <col min="8731" max="8731" width="29.85546875" style="69" customWidth="1"/>
    <col min="8732" max="8960" width="11.42578125" style="69"/>
    <col min="8961" max="8961" width="2.28515625" style="69" customWidth="1"/>
    <col min="8962" max="8962" width="5.5703125" style="69" customWidth="1"/>
    <col min="8963" max="8963" width="34.28515625" style="69" customWidth="1"/>
    <col min="8964" max="8964" width="41.5703125" style="69" customWidth="1"/>
    <col min="8965" max="8970" width="10.140625" style="69" customWidth="1"/>
    <col min="8971" max="8971" width="11" style="69" customWidth="1"/>
    <col min="8972" max="8972" width="10.140625" style="69" customWidth="1"/>
    <col min="8973" max="8973" width="10.5703125" style="69" customWidth="1"/>
    <col min="8974" max="8976" width="10.140625" style="69" customWidth="1"/>
    <col min="8977" max="8977" width="4.140625" style="69" customWidth="1"/>
    <col min="8978" max="8980" width="10.42578125" style="69" customWidth="1"/>
    <col min="8981" max="8981" width="9.85546875" style="69" customWidth="1"/>
    <col min="8982" max="8982" width="21.5703125" style="69" customWidth="1"/>
    <col min="8983" max="8983" width="25.7109375" style="69" customWidth="1"/>
    <col min="8984" max="8986" width="21.5703125" style="69" customWidth="1"/>
    <col min="8987" max="8987" width="29.85546875" style="69" customWidth="1"/>
    <col min="8988" max="9216" width="11.42578125" style="69"/>
    <col min="9217" max="9217" width="2.28515625" style="69" customWidth="1"/>
    <col min="9218" max="9218" width="5.5703125" style="69" customWidth="1"/>
    <col min="9219" max="9219" width="34.28515625" style="69" customWidth="1"/>
    <col min="9220" max="9220" width="41.5703125" style="69" customWidth="1"/>
    <col min="9221" max="9226" width="10.140625" style="69" customWidth="1"/>
    <col min="9227" max="9227" width="11" style="69" customWidth="1"/>
    <col min="9228" max="9228" width="10.140625" style="69" customWidth="1"/>
    <col min="9229" max="9229" width="10.5703125" style="69" customWidth="1"/>
    <col min="9230" max="9232" width="10.140625" style="69" customWidth="1"/>
    <col min="9233" max="9233" width="4.140625" style="69" customWidth="1"/>
    <col min="9234" max="9236" width="10.42578125" style="69" customWidth="1"/>
    <col min="9237" max="9237" width="9.85546875" style="69" customWidth="1"/>
    <col min="9238" max="9238" width="21.5703125" style="69" customWidth="1"/>
    <col min="9239" max="9239" width="25.7109375" style="69" customWidth="1"/>
    <col min="9240" max="9242" width="21.5703125" style="69" customWidth="1"/>
    <col min="9243" max="9243" width="29.85546875" style="69" customWidth="1"/>
    <col min="9244" max="9472" width="11.42578125" style="69"/>
    <col min="9473" max="9473" width="2.28515625" style="69" customWidth="1"/>
    <col min="9474" max="9474" width="5.5703125" style="69" customWidth="1"/>
    <col min="9475" max="9475" width="34.28515625" style="69" customWidth="1"/>
    <col min="9476" max="9476" width="41.5703125" style="69" customWidth="1"/>
    <col min="9477" max="9482" width="10.140625" style="69" customWidth="1"/>
    <col min="9483" max="9483" width="11" style="69" customWidth="1"/>
    <col min="9484" max="9484" width="10.140625" style="69" customWidth="1"/>
    <col min="9485" max="9485" width="10.5703125" style="69" customWidth="1"/>
    <col min="9486" max="9488" width="10.140625" style="69" customWidth="1"/>
    <col min="9489" max="9489" width="4.140625" style="69" customWidth="1"/>
    <col min="9490" max="9492" width="10.42578125" style="69" customWidth="1"/>
    <col min="9493" max="9493" width="9.85546875" style="69" customWidth="1"/>
    <col min="9494" max="9494" width="21.5703125" style="69" customWidth="1"/>
    <col min="9495" max="9495" width="25.7109375" style="69" customWidth="1"/>
    <col min="9496" max="9498" width="21.5703125" style="69" customWidth="1"/>
    <col min="9499" max="9499" width="29.85546875" style="69" customWidth="1"/>
    <col min="9500" max="9728" width="11.42578125" style="69"/>
    <col min="9729" max="9729" width="2.28515625" style="69" customWidth="1"/>
    <col min="9730" max="9730" width="5.5703125" style="69" customWidth="1"/>
    <col min="9731" max="9731" width="34.28515625" style="69" customWidth="1"/>
    <col min="9732" max="9732" width="41.5703125" style="69" customWidth="1"/>
    <col min="9733" max="9738" width="10.140625" style="69" customWidth="1"/>
    <col min="9739" max="9739" width="11" style="69" customWidth="1"/>
    <col min="9740" max="9740" width="10.140625" style="69" customWidth="1"/>
    <col min="9741" max="9741" width="10.5703125" style="69" customWidth="1"/>
    <col min="9742" max="9744" width="10.140625" style="69" customWidth="1"/>
    <col min="9745" max="9745" width="4.140625" style="69" customWidth="1"/>
    <col min="9746" max="9748" width="10.42578125" style="69" customWidth="1"/>
    <col min="9749" max="9749" width="9.85546875" style="69" customWidth="1"/>
    <col min="9750" max="9750" width="21.5703125" style="69" customWidth="1"/>
    <col min="9751" max="9751" width="25.7109375" style="69" customWidth="1"/>
    <col min="9752" max="9754" width="21.5703125" style="69" customWidth="1"/>
    <col min="9755" max="9755" width="29.85546875" style="69" customWidth="1"/>
    <col min="9756" max="9984" width="11.42578125" style="69"/>
    <col min="9985" max="9985" width="2.28515625" style="69" customWidth="1"/>
    <col min="9986" max="9986" width="5.5703125" style="69" customWidth="1"/>
    <col min="9987" max="9987" width="34.28515625" style="69" customWidth="1"/>
    <col min="9988" max="9988" width="41.5703125" style="69" customWidth="1"/>
    <col min="9989" max="9994" width="10.140625" style="69" customWidth="1"/>
    <col min="9995" max="9995" width="11" style="69" customWidth="1"/>
    <col min="9996" max="9996" width="10.140625" style="69" customWidth="1"/>
    <col min="9997" max="9997" width="10.5703125" style="69" customWidth="1"/>
    <col min="9998" max="10000" width="10.140625" style="69" customWidth="1"/>
    <col min="10001" max="10001" width="4.140625" style="69" customWidth="1"/>
    <col min="10002" max="10004" width="10.42578125" style="69" customWidth="1"/>
    <col min="10005" max="10005" width="9.85546875" style="69" customWidth="1"/>
    <col min="10006" max="10006" width="21.5703125" style="69" customWidth="1"/>
    <col min="10007" max="10007" width="25.7109375" style="69" customWidth="1"/>
    <col min="10008" max="10010" width="21.5703125" style="69" customWidth="1"/>
    <col min="10011" max="10011" width="29.85546875" style="69" customWidth="1"/>
    <col min="10012" max="10240" width="11.42578125" style="69"/>
    <col min="10241" max="10241" width="2.28515625" style="69" customWidth="1"/>
    <col min="10242" max="10242" width="5.5703125" style="69" customWidth="1"/>
    <col min="10243" max="10243" width="34.28515625" style="69" customWidth="1"/>
    <col min="10244" max="10244" width="41.5703125" style="69" customWidth="1"/>
    <col min="10245" max="10250" width="10.140625" style="69" customWidth="1"/>
    <col min="10251" max="10251" width="11" style="69" customWidth="1"/>
    <col min="10252" max="10252" width="10.140625" style="69" customWidth="1"/>
    <col min="10253" max="10253" width="10.5703125" style="69" customWidth="1"/>
    <col min="10254" max="10256" width="10.140625" style="69" customWidth="1"/>
    <col min="10257" max="10257" width="4.140625" style="69" customWidth="1"/>
    <col min="10258" max="10260" width="10.42578125" style="69" customWidth="1"/>
    <col min="10261" max="10261" width="9.85546875" style="69" customWidth="1"/>
    <col min="10262" max="10262" width="21.5703125" style="69" customWidth="1"/>
    <col min="10263" max="10263" width="25.7109375" style="69" customWidth="1"/>
    <col min="10264" max="10266" width="21.5703125" style="69" customWidth="1"/>
    <col min="10267" max="10267" width="29.85546875" style="69" customWidth="1"/>
    <col min="10268" max="10496" width="11.42578125" style="69"/>
    <col min="10497" max="10497" width="2.28515625" style="69" customWidth="1"/>
    <col min="10498" max="10498" width="5.5703125" style="69" customWidth="1"/>
    <col min="10499" max="10499" width="34.28515625" style="69" customWidth="1"/>
    <col min="10500" max="10500" width="41.5703125" style="69" customWidth="1"/>
    <col min="10501" max="10506" width="10.140625" style="69" customWidth="1"/>
    <col min="10507" max="10507" width="11" style="69" customWidth="1"/>
    <col min="10508" max="10508" width="10.140625" style="69" customWidth="1"/>
    <col min="10509" max="10509" width="10.5703125" style="69" customWidth="1"/>
    <col min="10510" max="10512" width="10.140625" style="69" customWidth="1"/>
    <col min="10513" max="10513" width="4.140625" style="69" customWidth="1"/>
    <col min="10514" max="10516" width="10.42578125" style="69" customWidth="1"/>
    <col min="10517" max="10517" width="9.85546875" style="69" customWidth="1"/>
    <col min="10518" max="10518" width="21.5703125" style="69" customWidth="1"/>
    <col min="10519" max="10519" width="25.7109375" style="69" customWidth="1"/>
    <col min="10520" max="10522" width="21.5703125" style="69" customWidth="1"/>
    <col min="10523" max="10523" width="29.85546875" style="69" customWidth="1"/>
    <col min="10524" max="10752" width="11.42578125" style="69"/>
    <col min="10753" max="10753" width="2.28515625" style="69" customWidth="1"/>
    <col min="10754" max="10754" width="5.5703125" style="69" customWidth="1"/>
    <col min="10755" max="10755" width="34.28515625" style="69" customWidth="1"/>
    <col min="10756" max="10756" width="41.5703125" style="69" customWidth="1"/>
    <col min="10757" max="10762" width="10.140625" style="69" customWidth="1"/>
    <col min="10763" max="10763" width="11" style="69" customWidth="1"/>
    <col min="10764" max="10764" width="10.140625" style="69" customWidth="1"/>
    <col min="10765" max="10765" width="10.5703125" style="69" customWidth="1"/>
    <col min="10766" max="10768" width="10.140625" style="69" customWidth="1"/>
    <col min="10769" max="10769" width="4.140625" style="69" customWidth="1"/>
    <col min="10770" max="10772" width="10.42578125" style="69" customWidth="1"/>
    <col min="10773" max="10773" width="9.85546875" style="69" customWidth="1"/>
    <col min="10774" max="10774" width="21.5703125" style="69" customWidth="1"/>
    <col min="10775" max="10775" width="25.7109375" style="69" customWidth="1"/>
    <col min="10776" max="10778" width="21.5703125" style="69" customWidth="1"/>
    <col min="10779" max="10779" width="29.85546875" style="69" customWidth="1"/>
    <col min="10780" max="11008" width="11.42578125" style="69"/>
    <col min="11009" max="11009" width="2.28515625" style="69" customWidth="1"/>
    <col min="11010" max="11010" width="5.5703125" style="69" customWidth="1"/>
    <col min="11011" max="11011" width="34.28515625" style="69" customWidth="1"/>
    <col min="11012" max="11012" width="41.5703125" style="69" customWidth="1"/>
    <col min="11013" max="11018" width="10.140625" style="69" customWidth="1"/>
    <col min="11019" max="11019" width="11" style="69" customWidth="1"/>
    <col min="11020" max="11020" width="10.140625" style="69" customWidth="1"/>
    <col min="11021" max="11021" width="10.5703125" style="69" customWidth="1"/>
    <col min="11022" max="11024" width="10.140625" style="69" customWidth="1"/>
    <col min="11025" max="11025" width="4.140625" style="69" customWidth="1"/>
    <col min="11026" max="11028" width="10.42578125" style="69" customWidth="1"/>
    <col min="11029" max="11029" width="9.85546875" style="69" customWidth="1"/>
    <col min="11030" max="11030" width="21.5703125" style="69" customWidth="1"/>
    <col min="11031" max="11031" width="25.7109375" style="69" customWidth="1"/>
    <col min="11032" max="11034" width="21.5703125" style="69" customWidth="1"/>
    <col min="11035" max="11035" width="29.85546875" style="69" customWidth="1"/>
    <col min="11036" max="11264" width="11.42578125" style="69"/>
    <col min="11265" max="11265" width="2.28515625" style="69" customWidth="1"/>
    <col min="11266" max="11266" width="5.5703125" style="69" customWidth="1"/>
    <col min="11267" max="11267" width="34.28515625" style="69" customWidth="1"/>
    <col min="11268" max="11268" width="41.5703125" style="69" customWidth="1"/>
    <col min="11269" max="11274" width="10.140625" style="69" customWidth="1"/>
    <col min="11275" max="11275" width="11" style="69" customWidth="1"/>
    <col min="11276" max="11276" width="10.140625" style="69" customWidth="1"/>
    <col min="11277" max="11277" width="10.5703125" style="69" customWidth="1"/>
    <col min="11278" max="11280" width="10.140625" style="69" customWidth="1"/>
    <col min="11281" max="11281" width="4.140625" style="69" customWidth="1"/>
    <col min="11282" max="11284" width="10.42578125" style="69" customWidth="1"/>
    <col min="11285" max="11285" width="9.85546875" style="69" customWidth="1"/>
    <col min="11286" max="11286" width="21.5703125" style="69" customWidth="1"/>
    <col min="11287" max="11287" width="25.7109375" style="69" customWidth="1"/>
    <col min="11288" max="11290" width="21.5703125" style="69" customWidth="1"/>
    <col min="11291" max="11291" width="29.85546875" style="69" customWidth="1"/>
    <col min="11292" max="11520" width="11.42578125" style="69"/>
    <col min="11521" max="11521" width="2.28515625" style="69" customWidth="1"/>
    <col min="11522" max="11522" width="5.5703125" style="69" customWidth="1"/>
    <col min="11523" max="11523" width="34.28515625" style="69" customWidth="1"/>
    <col min="11524" max="11524" width="41.5703125" style="69" customWidth="1"/>
    <col min="11525" max="11530" width="10.140625" style="69" customWidth="1"/>
    <col min="11531" max="11531" width="11" style="69" customWidth="1"/>
    <col min="11532" max="11532" width="10.140625" style="69" customWidth="1"/>
    <col min="11533" max="11533" width="10.5703125" style="69" customWidth="1"/>
    <col min="11534" max="11536" width="10.140625" style="69" customWidth="1"/>
    <col min="11537" max="11537" width="4.140625" style="69" customWidth="1"/>
    <col min="11538" max="11540" width="10.42578125" style="69" customWidth="1"/>
    <col min="11541" max="11541" width="9.85546875" style="69" customWidth="1"/>
    <col min="11542" max="11542" width="21.5703125" style="69" customWidth="1"/>
    <col min="11543" max="11543" width="25.7109375" style="69" customWidth="1"/>
    <col min="11544" max="11546" width="21.5703125" style="69" customWidth="1"/>
    <col min="11547" max="11547" width="29.85546875" style="69" customWidth="1"/>
    <col min="11548" max="11776" width="11.42578125" style="69"/>
    <col min="11777" max="11777" width="2.28515625" style="69" customWidth="1"/>
    <col min="11778" max="11778" width="5.5703125" style="69" customWidth="1"/>
    <col min="11779" max="11779" width="34.28515625" style="69" customWidth="1"/>
    <col min="11780" max="11780" width="41.5703125" style="69" customWidth="1"/>
    <col min="11781" max="11786" width="10.140625" style="69" customWidth="1"/>
    <col min="11787" max="11787" width="11" style="69" customWidth="1"/>
    <col min="11788" max="11788" width="10.140625" style="69" customWidth="1"/>
    <col min="11789" max="11789" width="10.5703125" style="69" customWidth="1"/>
    <col min="11790" max="11792" width="10.140625" style="69" customWidth="1"/>
    <col min="11793" max="11793" width="4.140625" style="69" customWidth="1"/>
    <col min="11794" max="11796" width="10.42578125" style="69" customWidth="1"/>
    <col min="11797" max="11797" width="9.85546875" style="69" customWidth="1"/>
    <col min="11798" max="11798" width="21.5703125" style="69" customWidth="1"/>
    <col min="11799" max="11799" width="25.7109375" style="69" customWidth="1"/>
    <col min="11800" max="11802" width="21.5703125" style="69" customWidth="1"/>
    <col min="11803" max="11803" width="29.85546875" style="69" customWidth="1"/>
    <col min="11804" max="12032" width="11.42578125" style="69"/>
    <col min="12033" max="12033" width="2.28515625" style="69" customWidth="1"/>
    <col min="12034" max="12034" width="5.5703125" style="69" customWidth="1"/>
    <col min="12035" max="12035" width="34.28515625" style="69" customWidth="1"/>
    <col min="12036" max="12036" width="41.5703125" style="69" customWidth="1"/>
    <col min="12037" max="12042" width="10.140625" style="69" customWidth="1"/>
    <col min="12043" max="12043" width="11" style="69" customWidth="1"/>
    <col min="12044" max="12044" width="10.140625" style="69" customWidth="1"/>
    <col min="12045" max="12045" width="10.5703125" style="69" customWidth="1"/>
    <col min="12046" max="12048" width="10.140625" style="69" customWidth="1"/>
    <col min="12049" max="12049" width="4.140625" style="69" customWidth="1"/>
    <col min="12050" max="12052" width="10.42578125" style="69" customWidth="1"/>
    <col min="12053" max="12053" width="9.85546875" style="69" customWidth="1"/>
    <col min="12054" max="12054" width="21.5703125" style="69" customWidth="1"/>
    <col min="12055" max="12055" width="25.7109375" style="69" customWidth="1"/>
    <col min="12056" max="12058" width="21.5703125" style="69" customWidth="1"/>
    <col min="12059" max="12059" width="29.85546875" style="69" customWidth="1"/>
    <col min="12060" max="12288" width="11.42578125" style="69"/>
    <col min="12289" max="12289" width="2.28515625" style="69" customWidth="1"/>
    <col min="12290" max="12290" width="5.5703125" style="69" customWidth="1"/>
    <col min="12291" max="12291" width="34.28515625" style="69" customWidth="1"/>
    <col min="12292" max="12292" width="41.5703125" style="69" customWidth="1"/>
    <col min="12293" max="12298" width="10.140625" style="69" customWidth="1"/>
    <col min="12299" max="12299" width="11" style="69" customWidth="1"/>
    <col min="12300" max="12300" width="10.140625" style="69" customWidth="1"/>
    <col min="12301" max="12301" width="10.5703125" style="69" customWidth="1"/>
    <col min="12302" max="12304" width="10.140625" style="69" customWidth="1"/>
    <col min="12305" max="12305" width="4.140625" style="69" customWidth="1"/>
    <col min="12306" max="12308" width="10.42578125" style="69" customWidth="1"/>
    <col min="12309" max="12309" width="9.85546875" style="69" customWidth="1"/>
    <col min="12310" max="12310" width="21.5703125" style="69" customWidth="1"/>
    <col min="12311" max="12311" width="25.7109375" style="69" customWidth="1"/>
    <col min="12312" max="12314" width="21.5703125" style="69" customWidth="1"/>
    <col min="12315" max="12315" width="29.85546875" style="69" customWidth="1"/>
    <col min="12316" max="12544" width="11.42578125" style="69"/>
    <col min="12545" max="12545" width="2.28515625" style="69" customWidth="1"/>
    <col min="12546" max="12546" width="5.5703125" style="69" customWidth="1"/>
    <col min="12547" max="12547" width="34.28515625" style="69" customWidth="1"/>
    <col min="12548" max="12548" width="41.5703125" style="69" customWidth="1"/>
    <col min="12549" max="12554" width="10.140625" style="69" customWidth="1"/>
    <col min="12555" max="12555" width="11" style="69" customWidth="1"/>
    <col min="12556" max="12556" width="10.140625" style="69" customWidth="1"/>
    <col min="12557" max="12557" width="10.5703125" style="69" customWidth="1"/>
    <col min="12558" max="12560" width="10.140625" style="69" customWidth="1"/>
    <col min="12561" max="12561" width="4.140625" style="69" customWidth="1"/>
    <col min="12562" max="12564" width="10.42578125" style="69" customWidth="1"/>
    <col min="12565" max="12565" width="9.85546875" style="69" customWidth="1"/>
    <col min="12566" max="12566" width="21.5703125" style="69" customWidth="1"/>
    <col min="12567" max="12567" width="25.7109375" style="69" customWidth="1"/>
    <col min="12568" max="12570" width="21.5703125" style="69" customWidth="1"/>
    <col min="12571" max="12571" width="29.85546875" style="69" customWidth="1"/>
    <col min="12572" max="12800" width="11.42578125" style="69"/>
    <col min="12801" max="12801" width="2.28515625" style="69" customWidth="1"/>
    <col min="12802" max="12802" width="5.5703125" style="69" customWidth="1"/>
    <col min="12803" max="12803" width="34.28515625" style="69" customWidth="1"/>
    <col min="12804" max="12804" width="41.5703125" style="69" customWidth="1"/>
    <col min="12805" max="12810" width="10.140625" style="69" customWidth="1"/>
    <col min="12811" max="12811" width="11" style="69" customWidth="1"/>
    <col min="12812" max="12812" width="10.140625" style="69" customWidth="1"/>
    <col min="12813" max="12813" width="10.5703125" style="69" customWidth="1"/>
    <col min="12814" max="12816" width="10.140625" style="69" customWidth="1"/>
    <col min="12817" max="12817" width="4.140625" style="69" customWidth="1"/>
    <col min="12818" max="12820" width="10.42578125" style="69" customWidth="1"/>
    <col min="12821" max="12821" width="9.85546875" style="69" customWidth="1"/>
    <col min="12822" max="12822" width="21.5703125" style="69" customWidth="1"/>
    <col min="12823" max="12823" width="25.7109375" style="69" customWidth="1"/>
    <col min="12824" max="12826" width="21.5703125" style="69" customWidth="1"/>
    <col min="12827" max="12827" width="29.85546875" style="69" customWidth="1"/>
    <col min="12828" max="13056" width="11.42578125" style="69"/>
    <col min="13057" max="13057" width="2.28515625" style="69" customWidth="1"/>
    <col min="13058" max="13058" width="5.5703125" style="69" customWidth="1"/>
    <col min="13059" max="13059" width="34.28515625" style="69" customWidth="1"/>
    <col min="13060" max="13060" width="41.5703125" style="69" customWidth="1"/>
    <col min="13061" max="13066" width="10.140625" style="69" customWidth="1"/>
    <col min="13067" max="13067" width="11" style="69" customWidth="1"/>
    <col min="13068" max="13068" width="10.140625" style="69" customWidth="1"/>
    <col min="13069" max="13069" width="10.5703125" style="69" customWidth="1"/>
    <col min="13070" max="13072" width="10.140625" style="69" customWidth="1"/>
    <col min="13073" max="13073" width="4.140625" style="69" customWidth="1"/>
    <col min="13074" max="13076" width="10.42578125" style="69" customWidth="1"/>
    <col min="13077" max="13077" width="9.85546875" style="69" customWidth="1"/>
    <col min="13078" max="13078" width="21.5703125" style="69" customWidth="1"/>
    <col min="13079" max="13079" width="25.7109375" style="69" customWidth="1"/>
    <col min="13080" max="13082" width="21.5703125" style="69" customWidth="1"/>
    <col min="13083" max="13083" width="29.85546875" style="69" customWidth="1"/>
    <col min="13084" max="13312" width="11.42578125" style="69"/>
    <col min="13313" max="13313" width="2.28515625" style="69" customWidth="1"/>
    <col min="13314" max="13314" width="5.5703125" style="69" customWidth="1"/>
    <col min="13315" max="13315" width="34.28515625" style="69" customWidth="1"/>
    <col min="13316" max="13316" width="41.5703125" style="69" customWidth="1"/>
    <col min="13317" max="13322" width="10.140625" style="69" customWidth="1"/>
    <col min="13323" max="13323" width="11" style="69" customWidth="1"/>
    <col min="13324" max="13324" width="10.140625" style="69" customWidth="1"/>
    <col min="13325" max="13325" width="10.5703125" style="69" customWidth="1"/>
    <col min="13326" max="13328" width="10.140625" style="69" customWidth="1"/>
    <col min="13329" max="13329" width="4.140625" style="69" customWidth="1"/>
    <col min="13330" max="13332" width="10.42578125" style="69" customWidth="1"/>
    <col min="13333" max="13333" width="9.85546875" style="69" customWidth="1"/>
    <col min="13334" max="13334" width="21.5703125" style="69" customWidth="1"/>
    <col min="13335" max="13335" width="25.7109375" style="69" customWidth="1"/>
    <col min="13336" max="13338" width="21.5703125" style="69" customWidth="1"/>
    <col min="13339" max="13339" width="29.85546875" style="69" customWidth="1"/>
    <col min="13340" max="13568" width="11.42578125" style="69"/>
    <col min="13569" max="13569" width="2.28515625" style="69" customWidth="1"/>
    <col min="13570" max="13570" width="5.5703125" style="69" customWidth="1"/>
    <col min="13571" max="13571" width="34.28515625" style="69" customWidth="1"/>
    <col min="13572" max="13572" width="41.5703125" style="69" customWidth="1"/>
    <col min="13573" max="13578" width="10.140625" style="69" customWidth="1"/>
    <col min="13579" max="13579" width="11" style="69" customWidth="1"/>
    <col min="13580" max="13580" width="10.140625" style="69" customWidth="1"/>
    <col min="13581" max="13581" width="10.5703125" style="69" customWidth="1"/>
    <col min="13582" max="13584" width="10.140625" style="69" customWidth="1"/>
    <col min="13585" max="13585" width="4.140625" style="69" customWidth="1"/>
    <col min="13586" max="13588" width="10.42578125" style="69" customWidth="1"/>
    <col min="13589" max="13589" width="9.85546875" style="69" customWidth="1"/>
    <col min="13590" max="13590" width="21.5703125" style="69" customWidth="1"/>
    <col min="13591" max="13591" width="25.7109375" style="69" customWidth="1"/>
    <col min="13592" max="13594" width="21.5703125" style="69" customWidth="1"/>
    <col min="13595" max="13595" width="29.85546875" style="69" customWidth="1"/>
    <col min="13596" max="13824" width="11.42578125" style="69"/>
    <col min="13825" max="13825" width="2.28515625" style="69" customWidth="1"/>
    <col min="13826" max="13826" width="5.5703125" style="69" customWidth="1"/>
    <col min="13827" max="13827" width="34.28515625" style="69" customWidth="1"/>
    <col min="13828" max="13828" width="41.5703125" style="69" customWidth="1"/>
    <col min="13829" max="13834" width="10.140625" style="69" customWidth="1"/>
    <col min="13835" max="13835" width="11" style="69" customWidth="1"/>
    <col min="13836" max="13836" width="10.140625" style="69" customWidth="1"/>
    <col min="13837" max="13837" width="10.5703125" style="69" customWidth="1"/>
    <col min="13838" max="13840" width="10.140625" style="69" customWidth="1"/>
    <col min="13841" max="13841" width="4.140625" style="69" customWidth="1"/>
    <col min="13842" max="13844" width="10.42578125" style="69" customWidth="1"/>
    <col min="13845" max="13845" width="9.85546875" style="69" customWidth="1"/>
    <col min="13846" max="13846" width="21.5703125" style="69" customWidth="1"/>
    <col min="13847" max="13847" width="25.7109375" style="69" customWidth="1"/>
    <col min="13848" max="13850" width="21.5703125" style="69" customWidth="1"/>
    <col min="13851" max="13851" width="29.85546875" style="69" customWidth="1"/>
    <col min="13852" max="14080" width="11.42578125" style="69"/>
    <col min="14081" max="14081" width="2.28515625" style="69" customWidth="1"/>
    <col min="14082" max="14082" width="5.5703125" style="69" customWidth="1"/>
    <col min="14083" max="14083" width="34.28515625" style="69" customWidth="1"/>
    <col min="14084" max="14084" width="41.5703125" style="69" customWidth="1"/>
    <col min="14085" max="14090" width="10.140625" style="69" customWidth="1"/>
    <col min="14091" max="14091" width="11" style="69" customWidth="1"/>
    <col min="14092" max="14092" width="10.140625" style="69" customWidth="1"/>
    <col min="14093" max="14093" width="10.5703125" style="69" customWidth="1"/>
    <col min="14094" max="14096" width="10.140625" style="69" customWidth="1"/>
    <col min="14097" max="14097" width="4.140625" style="69" customWidth="1"/>
    <col min="14098" max="14100" width="10.42578125" style="69" customWidth="1"/>
    <col min="14101" max="14101" width="9.85546875" style="69" customWidth="1"/>
    <col min="14102" max="14102" width="21.5703125" style="69" customWidth="1"/>
    <col min="14103" max="14103" width="25.7109375" style="69" customWidth="1"/>
    <col min="14104" max="14106" width="21.5703125" style="69" customWidth="1"/>
    <col min="14107" max="14107" width="29.85546875" style="69" customWidth="1"/>
    <col min="14108" max="14336" width="11.42578125" style="69"/>
    <col min="14337" max="14337" width="2.28515625" style="69" customWidth="1"/>
    <col min="14338" max="14338" width="5.5703125" style="69" customWidth="1"/>
    <col min="14339" max="14339" width="34.28515625" style="69" customWidth="1"/>
    <col min="14340" max="14340" width="41.5703125" style="69" customWidth="1"/>
    <col min="14341" max="14346" width="10.140625" style="69" customWidth="1"/>
    <col min="14347" max="14347" width="11" style="69" customWidth="1"/>
    <col min="14348" max="14348" width="10.140625" style="69" customWidth="1"/>
    <col min="14349" max="14349" width="10.5703125" style="69" customWidth="1"/>
    <col min="14350" max="14352" width="10.140625" style="69" customWidth="1"/>
    <col min="14353" max="14353" width="4.140625" style="69" customWidth="1"/>
    <col min="14354" max="14356" width="10.42578125" style="69" customWidth="1"/>
    <col min="14357" max="14357" width="9.85546875" style="69" customWidth="1"/>
    <col min="14358" max="14358" width="21.5703125" style="69" customWidth="1"/>
    <col min="14359" max="14359" width="25.7109375" style="69" customWidth="1"/>
    <col min="14360" max="14362" width="21.5703125" style="69" customWidth="1"/>
    <col min="14363" max="14363" width="29.85546875" style="69" customWidth="1"/>
    <col min="14364" max="14592" width="11.42578125" style="69"/>
    <col min="14593" max="14593" width="2.28515625" style="69" customWidth="1"/>
    <col min="14594" max="14594" width="5.5703125" style="69" customWidth="1"/>
    <col min="14595" max="14595" width="34.28515625" style="69" customWidth="1"/>
    <col min="14596" max="14596" width="41.5703125" style="69" customWidth="1"/>
    <col min="14597" max="14602" width="10.140625" style="69" customWidth="1"/>
    <col min="14603" max="14603" width="11" style="69" customWidth="1"/>
    <col min="14604" max="14604" width="10.140625" style="69" customWidth="1"/>
    <col min="14605" max="14605" width="10.5703125" style="69" customWidth="1"/>
    <col min="14606" max="14608" width="10.140625" style="69" customWidth="1"/>
    <col min="14609" max="14609" width="4.140625" style="69" customWidth="1"/>
    <col min="14610" max="14612" width="10.42578125" style="69" customWidth="1"/>
    <col min="14613" max="14613" width="9.85546875" style="69" customWidth="1"/>
    <col min="14614" max="14614" width="21.5703125" style="69" customWidth="1"/>
    <col min="14615" max="14615" width="25.7109375" style="69" customWidth="1"/>
    <col min="14616" max="14618" width="21.5703125" style="69" customWidth="1"/>
    <col min="14619" max="14619" width="29.85546875" style="69" customWidth="1"/>
    <col min="14620" max="14848" width="11.42578125" style="69"/>
    <col min="14849" max="14849" width="2.28515625" style="69" customWidth="1"/>
    <col min="14850" max="14850" width="5.5703125" style="69" customWidth="1"/>
    <col min="14851" max="14851" width="34.28515625" style="69" customWidth="1"/>
    <col min="14852" max="14852" width="41.5703125" style="69" customWidth="1"/>
    <col min="14853" max="14858" width="10.140625" style="69" customWidth="1"/>
    <col min="14859" max="14859" width="11" style="69" customWidth="1"/>
    <col min="14860" max="14860" width="10.140625" style="69" customWidth="1"/>
    <col min="14861" max="14861" width="10.5703125" style="69" customWidth="1"/>
    <col min="14862" max="14864" width="10.140625" style="69" customWidth="1"/>
    <col min="14865" max="14865" width="4.140625" style="69" customWidth="1"/>
    <col min="14866" max="14868" width="10.42578125" style="69" customWidth="1"/>
    <col min="14869" max="14869" width="9.85546875" style="69" customWidth="1"/>
    <col min="14870" max="14870" width="21.5703125" style="69" customWidth="1"/>
    <col min="14871" max="14871" width="25.7109375" style="69" customWidth="1"/>
    <col min="14872" max="14874" width="21.5703125" style="69" customWidth="1"/>
    <col min="14875" max="14875" width="29.85546875" style="69" customWidth="1"/>
    <col min="14876" max="15104" width="11.42578125" style="69"/>
    <col min="15105" max="15105" width="2.28515625" style="69" customWidth="1"/>
    <col min="15106" max="15106" width="5.5703125" style="69" customWidth="1"/>
    <col min="15107" max="15107" width="34.28515625" style="69" customWidth="1"/>
    <col min="15108" max="15108" width="41.5703125" style="69" customWidth="1"/>
    <col min="15109" max="15114" width="10.140625" style="69" customWidth="1"/>
    <col min="15115" max="15115" width="11" style="69" customWidth="1"/>
    <col min="15116" max="15116" width="10.140625" style="69" customWidth="1"/>
    <col min="15117" max="15117" width="10.5703125" style="69" customWidth="1"/>
    <col min="15118" max="15120" width="10.140625" style="69" customWidth="1"/>
    <col min="15121" max="15121" width="4.140625" style="69" customWidth="1"/>
    <col min="15122" max="15124" width="10.42578125" style="69" customWidth="1"/>
    <col min="15125" max="15125" width="9.85546875" style="69" customWidth="1"/>
    <col min="15126" max="15126" width="21.5703125" style="69" customWidth="1"/>
    <col min="15127" max="15127" width="25.7109375" style="69" customWidth="1"/>
    <col min="15128" max="15130" width="21.5703125" style="69" customWidth="1"/>
    <col min="15131" max="15131" width="29.85546875" style="69" customWidth="1"/>
    <col min="15132" max="15360" width="11.42578125" style="69"/>
    <col min="15361" max="15361" width="2.28515625" style="69" customWidth="1"/>
    <col min="15362" max="15362" width="5.5703125" style="69" customWidth="1"/>
    <col min="15363" max="15363" width="34.28515625" style="69" customWidth="1"/>
    <col min="15364" max="15364" width="41.5703125" style="69" customWidth="1"/>
    <col min="15365" max="15370" width="10.140625" style="69" customWidth="1"/>
    <col min="15371" max="15371" width="11" style="69" customWidth="1"/>
    <col min="15372" max="15372" width="10.140625" style="69" customWidth="1"/>
    <col min="15373" max="15373" width="10.5703125" style="69" customWidth="1"/>
    <col min="15374" max="15376" width="10.140625" style="69" customWidth="1"/>
    <col min="15377" max="15377" width="4.140625" style="69" customWidth="1"/>
    <col min="15378" max="15380" width="10.42578125" style="69" customWidth="1"/>
    <col min="15381" max="15381" width="9.85546875" style="69" customWidth="1"/>
    <col min="15382" max="15382" width="21.5703125" style="69" customWidth="1"/>
    <col min="15383" max="15383" width="25.7109375" style="69" customWidth="1"/>
    <col min="15384" max="15386" width="21.5703125" style="69" customWidth="1"/>
    <col min="15387" max="15387" width="29.85546875" style="69" customWidth="1"/>
    <col min="15388" max="15616" width="11.42578125" style="69"/>
    <col min="15617" max="15617" width="2.28515625" style="69" customWidth="1"/>
    <col min="15618" max="15618" width="5.5703125" style="69" customWidth="1"/>
    <col min="15619" max="15619" width="34.28515625" style="69" customWidth="1"/>
    <col min="15620" max="15620" width="41.5703125" style="69" customWidth="1"/>
    <col min="15621" max="15626" width="10.140625" style="69" customWidth="1"/>
    <col min="15627" max="15627" width="11" style="69" customWidth="1"/>
    <col min="15628" max="15628" width="10.140625" style="69" customWidth="1"/>
    <col min="15629" max="15629" width="10.5703125" style="69" customWidth="1"/>
    <col min="15630" max="15632" width="10.140625" style="69" customWidth="1"/>
    <col min="15633" max="15633" width="4.140625" style="69" customWidth="1"/>
    <col min="15634" max="15636" width="10.42578125" style="69" customWidth="1"/>
    <col min="15637" max="15637" width="9.85546875" style="69" customWidth="1"/>
    <col min="15638" max="15638" width="21.5703125" style="69" customWidth="1"/>
    <col min="15639" max="15639" width="25.7109375" style="69" customWidth="1"/>
    <col min="15640" max="15642" width="21.5703125" style="69" customWidth="1"/>
    <col min="15643" max="15643" width="29.85546875" style="69" customWidth="1"/>
    <col min="15644" max="15872" width="11.42578125" style="69"/>
    <col min="15873" max="15873" width="2.28515625" style="69" customWidth="1"/>
    <col min="15874" max="15874" width="5.5703125" style="69" customWidth="1"/>
    <col min="15875" max="15875" width="34.28515625" style="69" customWidth="1"/>
    <col min="15876" max="15876" width="41.5703125" style="69" customWidth="1"/>
    <col min="15877" max="15882" width="10.140625" style="69" customWidth="1"/>
    <col min="15883" max="15883" width="11" style="69" customWidth="1"/>
    <col min="15884" max="15884" width="10.140625" style="69" customWidth="1"/>
    <col min="15885" max="15885" width="10.5703125" style="69" customWidth="1"/>
    <col min="15886" max="15888" width="10.140625" style="69" customWidth="1"/>
    <col min="15889" max="15889" width="4.140625" style="69" customWidth="1"/>
    <col min="15890" max="15892" width="10.42578125" style="69" customWidth="1"/>
    <col min="15893" max="15893" width="9.85546875" style="69" customWidth="1"/>
    <col min="15894" max="15894" width="21.5703125" style="69" customWidth="1"/>
    <col min="15895" max="15895" width="25.7109375" style="69" customWidth="1"/>
    <col min="15896" max="15898" width="21.5703125" style="69" customWidth="1"/>
    <col min="15899" max="15899" width="29.85546875" style="69" customWidth="1"/>
    <col min="15900" max="16128" width="11.42578125" style="69"/>
    <col min="16129" max="16129" width="2.28515625" style="69" customWidth="1"/>
    <col min="16130" max="16130" width="5.5703125" style="69" customWidth="1"/>
    <col min="16131" max="16131" width="34.28515625" style="69" customWidth="1"/>
    <col min="16132" max="16132" width="41.5703125" style="69" customWidth="1"/>
    <col min="16133" max="16138" width="10.140625" style="69" customWidth="1"/>
    <col min="16139" max="16139" width="11" style="69" customWidth="1"/>
    <col min="16140" max="16140" width="10.140625" style="69" customWidth="1"/>
    <col min="16141" max="16141" width="10.5703125" style="69" customWidth="1"/>
    <col min="16142" max="16144" width="10.140625" style="69" customWidth="1"/>
    <col min="16145" max="16145" width="4.140625" style="69" customWidth="1"/>
    <col min="16146" max="16148" width="10.42578125" style="69" customWidth="1"/>
    <col min="16149" max="16149" width="9.85546875" style="69" customWidth="1"/>
    <col min="16150" max="16150" width="21.5703125" style="69" customWidth="1"/>
    <col min="16151" max="16151" width="25.7109375" style="69" customWidth="1"/>
    <col min="16152" max="16154" width="21.5703125" style="69" customWidth="1"/>
    <col min="16155" max="16155" width="29.85546875" style="69" customWidth="1"/>
    <col min="16156" max="16384" width="11.42578125" style="69"/>
  </cols>
  <sheetData>
    <row r="1" spans="2:27" ht="20.100000000000001" customHeight="1">
      <c r="C1" s="62"/>
      <c r="D1" s="63"/>
      <c r="E1" s="64"/>
      <c r="F1" s="65"/>
      <c r="G1" s="65"/>
      <c r="H1" s="66"/>
      <c r="I1" s="66"/>
      <c r="J1" s="66"/>
      <c r="K1" s="67"/>
      <c r="L1" s="67"/>
      <c r="M1" s="67"/>
      <c r="N1" s="67"/>
      <c r="O1" s="68"/>
      <c r="P1" s="68"/>
    </row>
    <row r="2" spans="2:27" s="80" customFormat="1" ht="20.100000000000001" hidden="1" customHeight="1">
      <c r="B2" s="70"/>
      <c r="C2" s="71"/>
      <c r="D2" s="72"/>
      <c r="E2" s="73"/>
      <c r="F2" s="73"/>
      <c r="G2" s="73"/>
      <c r="H2" s="74"/>
      <c r="I2" s="74"/>
      <c r="J2" s="74"/>
      <c r="K2" s="75"/>
      <c r="L2" s="75"/>
      <c r="M2" s="71"/>
      <c r="N2" s="76"/>
      <c r="O2" s="76"/>
      <c r="P2" s="77"/>
      <c r="Q2" s="78"/>
      <c r="R2" s="79"/>
      <c r="S2" s="78"/>
      <c r="T2" s="78"/>
      <c r="U2" s="78"/>
      <c r="V2" s="78"/>
      <c r="W2" s="78"/>
      <c r="X2" s="78"/>
      <c r="Y2" s="78"/>
      <c r="Z2" s="78"/>
      <c r="AA2" s="78"/>
    </row>
    <row r="3" spans="2:27" ht="12" customHeight="1">
      <c r="B3" s="81"/>
      <c r="D3" s="63"/>
      <c r="E3" s="65"/>
      <c r="F3" s="65"/>
      <c r="G3" s="65"/>
      <c r="H3" s="82">
        <f>18.17%</f>
        <v>0.18170000000000003</v>
      </c>
      <c r="I3" s="82">
        <f>9.72%</f>
        <v>9.7200000000000009E-2</v>
      </c>
      <c r="J3" s="82">
        <f>8.333333%</f>
        <v>8.3333329999999997E-2</v>
      </c>
      <c r="K3" s="83">
        <v>0.09</v>
      </c>
      <c r="L3" s="83"/>
      <c r="O3" s="67"/>
      <c r="P3" s="67"/>
    </row>
    <row r="4" spans="2:27" s="65" customFormat="1" ht="20.100000000000001" customHeight="1">
      <c r="B4" s="84" t="s">
        <v>0</v>
      </c>
      <c r="E4" s="85"/>
      <c r="H4" s="82">
        <f>18.17%/2</f>
        <v>9.0850000000000014E-2</v>
      </c>
      <c r="I4" s="82">
        <f>9.72%/2</f>
        <v>4.8600000000000004E-2</v>
      </c>
      <c r="J4" s="82">
        <f>8.333333%/2</f>
        <v>4.1666664999999999E-2</v>
      </c>
      <c r="K4" s="83">
        <v>0.09</v>
      </c>
      <c r="L4" s="83"/>
      <c r="M4" s="86" t="s">
        <v>1</v>
      </c>
      <c r="N4" s="87">
        <v>30</v>
      </c>
      <c r="O4" s="87">
        <v>8</v>
      </c>
      <c r="P4" s="87">
        <v>60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</row>
    <row r="5" spans="2:27" s="65" customFormat="1" ht="20.100000000000001" customHeight="1" thickBot="1">
      <c r="B5" s="84"/>
      <c r="E5" s="85"/>
      <c r="H5" s="82"/>
      <c r="I5" s="82"/>
      <c r="J5" s="82"/>
      <c r="K5" s="83"/>
      <c r="L5" s="83"/>
      <c r="M5" s="86"/>
      <c r="N5" s="87"/>
      <c r="O5" s="87"/>
      <c r="P5" s="87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</row>
    <row r="6" spans="2:27" ht="20.100000000000001" customHeight="1">
      <c r="B6" s="1425" t="s">
        <v>2</v>
      </c>
      <c r="C6" s="1426" t="s">
        <v>3</v>
      </c>
      <c r="D6" s="1426" t="s">
        <v>4</v>
      </c>
      <c r="E6" s="1420" t="s">
        <v>5</v>
      </c>
      <c r="F6" s="1420" t="s">
        <v>6</v>
      </c>
      <c r="G6" s="1420" t="s">
        <v>7</v>
      </c>
      <c r="H6" s="1418" t="s">
        <v>8</v>
      </c>
      <c r="I6" s="1418" t="s">
        <v>9</v>
      </c>
      <c r="J6" s="1418" t="s">
        <v>10</v>
      </c>
      <c r="K6" s="1421" t="s">
        <v>11</v>
      </c>
      <c r="L6" s="89"/>
      <c r="M6" s="1422" t="s">
        <v>12</v>
      </c>
      <c r="N6" s="1424" t="s">
        <v>13</v>
      </c>
      <c r="O6" s="1418" t="s">
        <v>14</v>
      </c>
      <c r="P6" s="1418" t="s">
        <v>15</v>
      </c>
      <c r="Q6" s="69"/>
      <c r="R6" s="1418" t="s">
        <v>16</v>
      </c>
      <c r="S6" s="1418" t="s">
        <v>17</v>
      </c>
      <c r="T6" s="1418" t="s">
        <v>18</v>
      </c>
      <c r="U6" s="69"/>
      <c r="V6" s="69"/>
      <c r="W6" s="69"/>
      <c r="X6" s="69"/>
      <c r="Y6" s="69"/>
      <c r="Z6" s="69"/>
      <c r="AA6" s="69"/>
    </row>
    <row r="7" spans="2:27" ht="20.100000000000001" customHeight="1">
      <c r="B7" s="1425"/>
      <c r="C7" s="1426"/>
      <c r="D7" s="1426"/>
      <c r="E7" s="1420"/>
      <c r="F7" s="1420"/>
      <c r="G7" s="1420"/>
      <c r="H7" s="1418"/>
      <c r="I7" s="1418"/>
      <c r="J7" s="1418"/>
      <c r="K7" s="1421"/>
      <c r="L7" s="90" t="s">
        <v>19</v>
      </c>
      <c r="M7" s="1423"/>
      <c r="N7" s="1424"/>
      <c r="O7" s="1418"/>
      <c r="P7" s="1418"/>
      <c r="Q7" s="91"/>
      <c r="R7" s="1418"/>
      <c r="S7" s="1418"/>
      <c r="T7" s="1418"/>
      <c r="U7" s="69"/>
      <c r="V7" s="69"/>
      <c r="W7" s="69"/>
      <c r="X7" s="69"/>
      <c r="Y7" s="69"/>
      <c r="Z7" s="69"/>
      <c r="AA7" s="69"/>
    </row>
    <row r="8" spans="2:27" ht="20.100000000000001" customHeight="1">
      <c r="B8" s="1425"/>
      <c r="C8" s="1426"/>
      <c r="D8" s="1426"/>
      <c r="E8" s="1420"/>
      <c r="F8" s="1420"/>
      <c r="G8" s="1420"/>
      <c r="H8" s="1418"/>
      <c r="I8" s="1418"/>
      <c r="J8" s="1418"/>
      <c r="K8" s="1421"/>
      <c r="L8" s="92"/>
      <c r="M8" s="1423"/>
      <c r="N8" s="1424"/>
      <c r="O8" s="1418"/>
      <c r="P8" s="1418"/>
      <c r="Q8" s="69"/>
      <c r="R8" s="1418"/>
      <c r="S8" s="1418"/>
      <c r="T8" s="1419"/>
      <c r="U8" s="69"/>
      <c r="V8" s="69"/>
      <c r="W8" s="69"/>
      <c r="X8" s="69"/>
      <c r="Y8" s="69"/>
      <c r="Z8" s="69"/>
      <c r="AA8" s="69"/>
    </row>
    <row r="9" spans="2:27" ht="20.100000000000001" customHeight="1">
      <c r="B9" s="93">
        <v>1</v>
      </c>
      <c r="C9" s="94" t="s">
        <v>20</v>
      </c>
      <c r="D9" s="95" t="s">
        <v>21</v>
      </c>
      <c r="E9" s="96">
        <v>779.8</v>
      </c>
      <c r="F9" s="97">
        <v>0</v>
      </c>
      <c r="G9" s="98">
        <f t="shared" ref="G9:G16" si="0">E9+F9</f>
        <v>779.8</v>
      </c>
      <c r="H9" s="99">
        <f>G9*$H$3</f>
        <v>141.68966</v>
      </c>
      <c r="I9" s="99">
        <f>G9*$I$3</f>
        <v>75.796559999999999</v>
      </c>
      <c r="J9" s="99">
        <f>G9*$J$3</f>
        <v>64.983330733999992</v>
      </c>
      <c r="K9" s="100">
        <f t="shared" ref="K9:K16" si="1">G9*$K$4</f>
        <v>70.181999999999988</v>
      </c>
      <c r="L9" s="101">
        <v>0</v>
      </c>
      <c r="M9" s="102">
        <f t="shared" ref="M9:M16" si="2">G9+H9+I9+J9+K9+L9</f>
        <v>1132.451550734</v>
      </c>
      <c r="N9" s="103">
        <f t="shared" ref="N9:N16" si="3">M9/$N$4</f>
        <v>37.748385024466664</v>
      </c>
      <c r="O9" s="99">
        <f t="shared" ref="O9:O16" si="4">N9/$O$4</f>
        <v>4.718548128058333</v>
      </c>
      <c r="P9" s="99">
        <f t="shared" ref="P9:P16" si="5">O9/$P$4</f>
        <v>7.8642468800972212E-2</v>
      </c>
      <c r="Q9" s="69"/>
      <c r="R9" s="104">
        <f>G9*11.97%</f>
        <v>93.342059999999989</v>
      </c>
      <c r="S9" s="105">
        <v>0</v>
      </c>
      <c r="T9" s="104">
        <f t="shared" ref="T9:T16" si="6">G9+L9-R9-S9</f>
        <v>686.45794000000001</v>
      </c>
      <c r="U9" s="69"/>
      <c r="V9" s="69"/>
      <c r="W9" s="69"/>
      <c r="X9" s="69"/>
      <c r="Y9" s="69"/>
      <c r="Z9" s="69"/>
      <c r="AA9" s="69"/>
    </row>
    <row r="10" spans="2:27" ht="20.100000000000001" customHeight="1">
      <c r="B10" s="93">
        <f>B9+1</f>
        <v>2</v>
      </c>
      <c r="C10" s="106" t="s">
        <v>22</v>
      </c>
      <c r="D10" s="107" t="s">
        <v>23</v>
      </c>
      <c r="E10" s="108">
        <v>1908.19</v>
      </c>
      <c r="F10" s="97">
        <v>102.5</v>
      </c>
      <c r="G10" s="109">
        <f t="shared" si="0"/>
        <v>2010.69</v>
      </c>
      <c r="H10" s="99">
        <f t="shared" ref="H10:H16" si="7">G10*$H$4</f>
        <v>182.67118650000003</v>
      </c>
      <c r="I10" s="99">
        <f t="shared" ref="I10:I16" si="8">G10*$I$4</f>
        <v>97.71953400000001</v>
      </c>
      <c r="J10" s="99">
        <f t="shared" ref="J10:J16" si="9">G10*$J$4</f>
        <v>83.778746648850003</v>
      </c>
      <c r="K10" s="100">
        <f t="shared" si="1"/>
        <v>180.96209999999999</v>
      </c>
      <c r="L10" s="99">
        <v>0</v>
      </c>
      <c r="M10" s="102">
        <f t="shared" si="2"/>
        <v>2555.8215671488501</v>
      </c>
      <c r="N10" s="103">
        <f t="shared" si="3"/>
        <v>85.194052238295001</v>
      </c>
      <c r="O10" s="99">
        <f t="shared" si="4"/>
        <v>10.649256529786875</v>
      </c>
      <c r="P10" s="99">
        <f t="shared" si="5"/>
        <v>0.17748760882978126</v>
      </c>
      <c r="Q10" s="110"/>
      <c r="R10" s="104">
        <f>G10*11.74%</f>
        <v>236.05500600000002</v>
      </c>
      <c r="S10" s="105">
        <v>0</v>
      </c>
      <c r="T10" s="104">
        <f t="shared" si="6"/>
        <v>1774.634994</v>
      </c>
      <c r="U10" s="110"/>
      <c r="V10" s="69"/>
      <c r="W10" s="69"/>
      <c r="X10" s="69"/>
      <c r="Y10" s="69"/>
      <c r="Z10" s="69"/>
      <c r="AA10" s="69"/>
    </row>
    <row r="11" spans="2:27" ht="20.100000000000001" customHeight="1">
      <c r="B11" s="93">
        <f>B10+1</f>
        <v>3</v>
      </c>
      <c r="C11" s="111" t="s">
        <v>24</v>
      </c>
      <c r="D11" s="112" t="s">
        <v>25</v>
      </c>
      <c r="E11" s="108">
        <v>1537.34</v>
      </c>
      <c r="F11" s="97"/>
      <c r="G11" s="109">
        <f t="shared" si="0"/>
        <v>1537.34</v>
      </c>
      <c r="H11" s="99">
        <f t="shared" si="7"/>
        <v>139.66733900000003</v>
      </c>
      <c r="I11" s="99">
        <f t="shared" si="8"/>
        <v>74.714724000000004</v>
      </c>
      <c r="J11" s="99">
        <f t="shared" si="9"/>
        <v>64.055830771099991</v>
      </c>
      <c r="K11" s="100">
        <f t="shared" si="1"/>
        <v>138.36059999999998</v>
      </c>
      <c r="L11" s="99">
        <v>0</v>
      </c>
      <c r="M11" s="113">
        <f t="shared" si="2"/>
        <v>1954.1384937711</v>
      </c>
      <c r="N11" s="103">
        <f t="shared" si="3"/>
        <v>65.137949792369994</v>
      </c>
      <c r="O11" s="103">
        <f t="shared" si="4"/>
        <v>8.1422437240462493</v>
      </c>
      <c r="P11" s="103">
        <f t="shared" si="5"/>
        <v>0.13570406206743749</v>
      </c>
      <c r="Q11" s="110"/>
      <c r="R11" s="104">
        <f>G11*11.92%</f>
        <v>183.25092799999999</v>
      </c>
      <c r="S11" s="105">
        <v>0</v>
      </c>
      <c r="T11" s="104">
        <f t="shared" si="6"/>
        <v>1354.089072</v>
      </c>
      <c r="U11" s="110"/>
      <c r="V11" s="69"/>
      <c r="W11" s="69"/>
      <c r="X11" s="69"/>
      <c r="Y11" s="69"/>
      <c r="Z11" s="69"/>
      <c r="AA11" s="69"/>
    </row>
    <row r="12" spans="2:27" s="63" customFormat="1" ht="20.100000000000001" customHeight="1">
      <c r="B12" s="93">
        <v>4</v>
      </c>
      <c r="C12" s="106" t="s">
        <v>26</v>
      </c>
      <c r="D12" s="112" t="s">
        <v>27</v>
      </c>
      <c r="E12" s="96">
        <v>1422.21</v>
      </c>
      <c r="F12" s="96">
        <v>0</v>
      </c>
      <c r="G12" s="109">
        <f t="shared" si="0"/>
        <v>1422.21</v>
      </c>
      <c r="H12" s="99">
        <f t="shared" si="7"/>
        <v>129.20777850000002</v>
      </c>
      <c r="I12" s="99">
        <f t="shared" si="8"/>
        <v>69.119406000000012</v>
      </c>
      <c r="J12" s="99">
        <f t="shared" si="9"/>
        <v>59.258747629650003</v>
      </c>
      <c r="K12" s="100">
        <f t="shared" si="1"/>
        <v>127.99889999999999</v>
      </c>
      <c r="L12" s="99">
        <v>0</v>
      </c>
      <c r="M12" s="102">
        <f t="shared" si="2"/>
        <v>1807.7948321296503</v>
      </c>
      <c r="N12" s="114">
        <f t="shared" si="3"/>
        <v>60.259827737655009</v>
      </c>
      <c r="O12" s="104">
        <f t="shared" si="4"/>
        <v>7.5324784672068761</v>
      </c>
      <c r="P12" s="104">
        <f t="shared" si="5"/>
        <v>0.12554130778678127</v>
      </c>
      <c r="Q12" s="110"/>
      <c r="R12" s="104">
        <f>G12*11.97%</f>
        <v>170.23853700000001</v>
      </c>
      <c r="S12" s="105">
        <v>0</v>
      </c>
      <c r="T12" s="104">
        <f t="shared" si="6"/>
        <v>1251.9714630000001</v>
      </c>
      <c r="U12" s="110"/>
    </row>
    <row r="13" spans="2:27" s="63" customFormat="1" ht="20.100000000000001" customHeight="1">
      <c r="B13" s="93">
        <v>5</v>
      </c>
      <c r="C13" s="106" t="s">
        <v>28</v>
      </c>
      <c r="D13" s="106" t="s">
        <v>29</v>
      </c>
      <c r="E13" s="96">
        <v>1025</v>
      </c>
      <c r="F13" s="96"/>
      <c r="G13" s="109">
        <f t="shared" si="0"/>
        <v>1025</v>
      </c>
      <c r="H13" s="99">
        <f t="shared" si="7"/>
        <v>93.121250000000018</v>
      </c>
      <c r="I13" s="99">
        <f t="shared" si="8"/>
        <v>49.815000000000005</v>
      </c>
      <c r="J13" s="99">
        <f t="shared" si="9"/>
        <v>42.708331625</v>
      </c>
      <c r="K13" s="100">
        <f t="shared" si="1"/>
        <v>92.25</v>
      </c>
      <c r="L13" s="99">
        <v>0</v>
      </c>
      <c r="M13" s="102">
        <f t="shared" si="2"/>
        <v>1302.894581625</v>
      </c>
      <c r="N13" s="114">
        <f t="shared" si="3"/>
        <v>43.429819387499997</v>
      </c>
      <c r="O13" s="104">
        <f t="shared" si="4"/>
        <v>5.4287274234374996</v>
      </c>
      <c r="P13" s="104">
        <f t="shared" si="5"/>
        <v>9.0478790390624994E-2</v>
      </c>
      <c r="Q13" s="110"/>
      <c r="R13" s="104">
        <f>G13*11.92%</f>
        <v>122.18</v>
      </c>
      <c r="S13" s="105">
        <v>0</v>
      </c>
      <c r="T13" s="104">
        <f t="shared" si="6"/>
        <v>902.81999999999994</v>
      </c>
      <c r="U13" s="110"/>
    </row>
    <row r="14" spans="2:27" ht="20.100000000000001" customHeight="1">
      <c r="B14" s="93">
        <v>6</v>
      </c>
      <c r="C14" s="106" t="s">
        <v>30</v>
      </c>
      <c r="D14" s="107" t="s">
        <v>31</v>
      </c>
      <c r="E14" s="108">
        <v>800</v>
      </c>
      <c r="F14" s="97"/>
      <c r="G14" s="109">
        <f t="shared" si="0"/>
        <v>800</v>
      </c>
      <c r="H14" s="99">
        <f t="shared" si="7"/>
        <v>72.680000000000007</v>
      </c>
      <c r="I14" s="99">
        <f t="shared" si="8"/>
        <v>38.880000000000003</v>
      </c>
      <c r="J14" s="99">
        <f t="shared" si="9"/>
        <v>33.333331999999999</v>
      </c>
      <c r="K14" s="100">
        <f t="shared" si="1"/>
        <v>72</v>
      </c>
      <c r="L14" s="99">
        <v>0</v>
      </c>
      <c r="M14" s="102">
        <f t="shared" si="2"/>
        <v>1016.8933320000001</v>
      </c>
      <c r="N14" s="103">
        <f t="shared" si="3"/>
        <v>33.8964444</v>
      </c>
      <c r="O14" s="99">
        <f t="shared" si="4"/>
        <v>4.23705555</v>
      </c>
      <c r="P14" s="99">
        <f t="shared" si="5"/>
        <v>7.0617592500000007E-2</v>
      </c>
      <c r="Q14" s="110"/>
      <c r="R14" s="104">
        <f>G14*11.92%</f>
        <v>95.36</v>
      </c>
      <c r="S14" s="105">
        <v>0</v>
      </c>
      <c r="T14" s="104">
        <f t="shared" si="6"/>
        <v>704.64</v>
      </c>
      <c r="U14" s="110"/>
      <c r="V14" s="69"/>
      <c r="W14" s="69"/>
      <c r="X14" s="69"/>
      <c r="Y14" s="69"/>
      <c r="Z14" s="69"/>
      <c r="AA14" s="69"/>
    </row>
    <row r="15" spans="2:27" ht="20.100000000000001" customHeight="1">
      <c r="B15" s="93">
        <v>7</v>
      </c>
      <c r="C15" s="106" t="s">
        <v>32</v>
      </c>
      <c r="D15" s="134" t="s">
        <v>33</v>
      </c>
      <c r="E15" s="108">
        <v>3000</v>
      </c>
      <c r="F15" s="97">
        <v>102.5</v>
      </c>
      <c r="G15" s="109">
        <f t="shared" si="0"/>
        <v>3102.5</v>
      </c>
      <c r="H15" s="99">
        <f t="shared" si="7"/>
        <v>281.86212500000005</v>
      </c>
      <c r="I15" s="99">
        <f t="shared" si="8"/>
        <v>150.78150000000002</v>
      </c>
      <c r="J15" s="99">
        <f t="shared" si="9"/>
        <v>129.27082816250001</v>
      </c>
      <c r="K15" s="100">
        <f t="shared" si="1"/>
        <v>279.22499999999997</v>
      </c>
      <c r="L15" s="99">
        <v>0</v>
      </c>
      <c r="M15" s="102">
        <f t="shared" si="2"/>
        <v>3943.6394531625001</v>
      </c>
      <c r="N15" s="103">
        <f t="shared" si="3"/>
        <v>131.45464843875001</v>
      </c>
      <c r="O15" s="99">
        <f t="shared" si="4"/>
        <v>16.431831054843752</v>
      </c>
      <c r="P15" s="99">
        <f t="shared" si="5"/>
        <v>0.27386385091406251</v>
      </c>
      <c r="Q15" s="110"/>
      <c r="R15" s="104">
        <f>G15*11.92%</f>
        <v>369.81799999999998</v>
      </c>
      <c r="S15" s="105">
        <v>0</v>
      </c>
      <c r="T15" s="104">
        <f t="shared" si="6"/>
        <v>2732.6819999999998</v>
      </c>
      <c r="U15" s="110"/>
      <c r="V15" s="69"/>
      <c r="W15" s="69"/>
      <c r="X15" s="69"/>
      <c r="Y15" s="69"/>
      <c r="Z15" s="69"/>
      <c r="AA15" s="69"/>
    </row>
    <row r="16" spans="2:27" ht="20.100000000000001" customHeight="1">
      <c r="B16" s="93">
        <v>8</v>
      </c>
      <c r="C16" s="106" t="s">
        <v>20</v>
      </c>
      <c r="D16" s="134" t="s">
        <v>34</v>
      </c>
      <c r="E16" s="96">
        <v>1270.8</v>
      </c>
      <c r="F16" s="97"/>
      <c r="G16" s="109">
        <f t="shared" si="0"/>
        <v>1270.8</v>
      </c>
      <c r="H16" s="99">
        <f t="shared" si="7"/>
        <v>115.45218000000001</v>
      </c>
      <c r="I16" s="99">
        <f t="shared" si="8"/>
        <v>61.76088</v>
      </c>
      <c r="J16" s="99">
        <f t="shared" si="9"/>
        <v>52.949997881999998</v>
      </c>
      <c r="K16" s="100">
        <f t="shared" si="1"/>
        <v>114.37199999999999</v>
      </c>
      <c r="L16" s="99">
        <v>0</v>
      </c>
      <c r="M16" s="102">
        <f t="shared" si="2"/>
        <v>1615.335057882</v>
      </c>
      <c r="N16" s="103">
        <f t="shared" si="3"/>
        <v>53.844501929400003</v>
      </c>
      <c r="O16" s="99">
        <f t="shared" si="4"/>
        <v>6.7305627411750004</v>
      </c>
      <c r="P16" s="99">
        <f t="shared" si="5"/>
        <v>0.11217604568625</v>
      </c>
      <c r="Q16" s="110"/>
      <c r="R16" s="104">
        <f>G16*11.92%</f>
        <v>151.47935999999999</v>
      </c>
      <c r="S16" s="105">
        <v>0</v>
      </c>
      <c r="T16" s="104">
        <f t="shared" si="6"/>
        <v>1119.3206399999999</v>
      </c>
      <c r="U16" s="110"/>
      <c r="V16" s="69"/>
      <c r="W16" s="69"/>
      <c r="X16" s="69"/>
      <c r="Y16" s="69"/>
      <c r="Z16" s="69"/>
      <c r="AA16" s="69"/>
    </row>
    <row r="17" spans="2:27" ht="20.100000000000001" customHeight="1" thickBot="1">
      <c r="B17" s="93"/>
      <c r="C17" s="115"/>
      <c r="D17" s="106"/>
      <c r="E17" s="116"/>
      <c r="F17" s="117"/>
      <c r="G17" s="118"/>
      <c r="H17" s="119"/>
      <c r="I17" s="119"/>
      <c r="J17" s="120"/>
      <c r="K17" s="121"/>
      <c r="L17" s="120"/>
      <c r="M17" s="113"/>
      <c r="N17" s="122"/>
      <c r="O17" s="122"/>
      <c r="P17" s="122"/>
      <c r="Q17" s="110"/>
      <c r="R17" s="123"/>
      <c r="S17" s="124"/>
      <c r="T17" s="123"/>
      <c r="U17" s="110"/>
      <c r="V17" s="69"/>
      <c r="W17" s="69"/>
      <c r="X17" s="69"/>
      <c r="Y17" s="69"/>
      <c r="Z17" s="69"/>
      <c r="AA17" s="69"/>
    </row>
    <row r="18" spans="2:27" s="63" customFormat="1" ht="20.100000000000001" customHeight="1" thickBot="1">
      <c r="B18" s="125"/>
      <c r="C18" s="126"/>
      <c r="D18" s="127" t="s">
        <v>35</v>
      </c>
      <c r="E18" s="128">
        <f t="shared" ref="E18:M18" si="10">SUM(E9:E17)</f>
        <v>11743.34</v>
      </c>
      <c r="F18" s="128">
        <f t="shared" si="10"/>
        <v>205</v>
      </c>
      <c r="G18" s="128">
        <f t="shared" si="10"/>
        <v>11948.34</v>
      </c>
      <c r="H18" s="128">
        <f t="shared" si="10"/>
        <v>1156.3515190000003</v>
      </c>
      <c r="I18" s="128">
        <f t="shared" si="10"/>
        <v>618.58760400000006</v>
      </c>
      <c r="J18" s="128">
        <f t="shared" si="10"/>
        <v>530.33914545310006</v>
      </c>
      <c r="K18" s="128">
        <f t="shared" si="10"/>
        <v>1075.3506</v>
      </c>
      <c r="L18" s="128">
        <f t="shared" si="10"/>
        <v>0</v>
      </c>
      <c r="M18" s="129">
        <f t="shared" si="10"/>
        <v>15328.968868453099</v>
      </c>
      <c r="N18" s="128">
        <f>SUM(N9:N13)</f>
        <v>291.77003418028664</v>
      </c>
      <c r="O18" s="128">
        <f>SUM(O9:O13)</f>
        <v>36.47125427253583</v>
      </c>
      <c r="P18" s="128">
        <f>SUM(P9:P13)</f>
        <v>0.60785423787559723</v>
      </c>
      <c r="R18" s="130">
        <f>SUM(R9:R17)</f>
        <v>1421.7238909999999</v>
      </c>
      <c r="S18" s="130">
        <f>SUM(S9:S17)</f>
        <v>0</v>
      </c>
      <c r="T18" s="130">
        <f>SUM(T9:T17)</f>
        <v>10526.616109000001</v>
      </c>
    </row>
    <row r="19" spans="2:27" s="65" customFormat="1" ht="20.100000000000001" customHeight="1">
      <c r="B19" s="84"/>
      <c r="E19" s="85"/>
      <c r="H19" s="82"/>
      <c r="I19" s="82"/>
      <c r="J19" s="82"/>
      <c r="K19" s="83"/>
      <c r="L19" s="83"/>
      <c r="M19" s="86"/>
      <c r="N19" s="87"/>
      <c r="O19" s="87"/>
      <c r="P19" s="87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</row>
    <row r="20" spans="2:27" s="65" customFormat="1" ht="20.100000000000001" customHeight="1" thickBot="1">
      <c r="B20" s="84"/>
      <c r="E20" s="85"/>
      <c r="H20" s="82"/>
      <c r="I20" s="82"/>
      <c r="J20" s="82"/>
      <c r="K20" s="83"/>
      <c r="L20" s="83"/>
      <c r="M20" s="86"/>
      <c r="N20" s="87"/>
      <c r="O20" s="87"/>
      <c r="P20" s="87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</row>
    <row r="21" spans="2:27" ht="20.100000000000001" customHeight="1">
      <c r="B21" s="1425" t="s">
        <v>2</v>
      </c>
      <c r="C21" s="1426" t="s">
        <v>3</v>
      </c>
      <c r="D21" s="1426" t="s">
        <v>4</v>
      </c>
      <c r="E21" s="1420" t="s">
        <v>5</v>
      </c>
      <c r="F21" s="1420" t="s">
        <v>6</v>
      </c>
      <c r="G21" s="1420" t="s">
        <v>7</v>
      </c>
      <c r="H21" s="1418" t="s">
        <v>8</v>
      </c>
      <c r="I21" s="1418" t="s">
        <v>9</v>
      </c>
      <c r="J21" s="1418" t="s">
        <v>10</v>
      </c>
      <c r="K21" s="1421" t="s">
        <v>11</v>
      </c>
      <c r="L21" s="89"/>
      <c r="M21" s="1422" t="s">
        <v>12</v>
      </c>
      <c r="N21" s="1424" t="s">
        <v>13</v>
      </c>
      <c r="O21" s="1418" t="s">
        <v>14</v>
      </c>
      <c r="P21" s="1418" t="s">
        <v>15</v>
      </c>
      <c r="Q21" s="69"/>
      <c r="R21" s="1418" t="s">
        <v>16</v>
      </c>
      <c r="S21" s="1418" t="s">
        <v>17</v>
      </c>
      <c r="T21" s="1418" t="s">
        <v>18</v>
      </c>
      <c r="U21" s="69"/>
      <c r="V21" s="69"/>
      <c r="W21" s="69"/>
      <c r="X21" s="69"/>
      <c r="Y21" s="69"/>
      <c r="Z21" s="69"/>
      <c r="AA21" s="69"/>
    </row>
    <row r="22" spans="2:27" ht="20.100000000000001" customHeight="1">
      <c r="B22" s="1425"/>
      <c r="C22" s="1426"/>
      <c r="D22" s="1426"/>
      <c r="E22" s="1420"/>
      <c r="F22" s="1420"/>
      <c r="G22" s="1420"/>
      <c r="H22" s="1418"/>
      <c r="I22" s="1418"/>
      <c r="J22" s="1418"/>
      <c r="K22" s="1421"/>
      <c r="L22" s="90" t="s">
        <v>19</v>
      </c>
      <c r="M22" s="1423"/>
      <c r="N22" s="1424"/>
      <c r="O22" s="1418"/>
      <c r="P22" s="1418"/>
      <c r="Q22" s="91"/>
      <c r="R22" s="1418"/>
      <c r="S22" s="1418"/>
      <c r="T22" s="1418"/>
      <c r="U22" s="69"/>
      <c r="V22" s="69"/>
      <c r="W22" s="69"/>
      <c r="X22" s="69"/>
      <c r="Y22" s="69"/>
      <c r="Z22" s="69"/>
      <c r="AA22" s="69"/>
    </row>
    <row r="23" spans="2:27" ht="20.100000000000001" customHeight="1">
      <c r="B23" s="1425"/>
      <c r="C23" s="1426"/>
      <c r="D23" s="1426"/>
      <c r="E23" s="1420"/>
      <c r="F23" s="1420"/>
      <c r="G23" s="1420"/>
      <c r="H23" s="1418"/>
      <c r="I23" s="1418"/>
      <c r="J23" s="1418"/>
      <c r="K23" s="1421"/>
      <c r="L23" s="92"/>
      <c r="M23" s="1423"/>
      <c r="N23" s="1424"/>
      <c r="O23" s="1418"/>
      <c r="P23" s="1418"/>
      <c r="Q23" s="69"/>
      <c r="R23" s="1418"/>
      <c r="S23" s="1418"/>
      <c r="T23" s="1419"/>
      <c r="U23" s="69"/>
      <c r="V23" s="69"/>
      <c r="W23" s="69"/>
      <c r="X23" s="69"/>
      <c r="Y23" s="69"/>
      <c r="Z23" s="69"/>
      <c r="AA23" s="69"/>
    </row>
    <row r="24" spans="2:27" ht="20.100000000000001" customHeight="1">
      <c r="B24" s="93">
        <v>1</v>
      </c>
      <c r="C24" s="94" t="s">
        <v>36</v>
      </c>
      <c r="D24" s="95" t="s">
        <v>37</v>
      </c>
      <c r="E24" s="96">
        <v>4208.6000000000004</v>
      </c>
      <c r="F24" s="97">
        <v>0</v>
      </c>
      <c r="G24" s="98">
        <f>E24+F24</f>
        <v>4208.6000000000004</v>
      </c>
      <c r="H24" s="99">
        <f>G24*$H$3</f>
        <v>764.70262000000014</v>
      </c>
      <c r="I24" s="99">
        <f>G24*$I$3</f>
        <v>409.07592000000005</v>
      </c>
      <c r="J24" s="99">
        <f>G24*$J$3</f>
        <v>350.71665263800003</v>
      </c>
      <c r="K24" s="100">
        <f t="shared" ref="K24:K33" si="11">G24*$K$4</f>
        <v>378.774</v>
      </c>
      <c r="L24" s="101">
        <v>0</v>
      </c>
      <c r="M24" s="102">
        <f>G24+H24+I24+J24+K24+L24</f>
        <v>6111.8691926380006</v>
      </c>
      <c r="N24" s="103">
        <f t="shared" ref="N24:N33" si="12">M24/$N$4</f>
        <v>203.72897308793335</v>
      </c>
      <c r="O24" s="99">
        <f t="shared" ref="O24:O33" si="13">N24/$O$4</f>
        <v>25.466121635991669</v>
      </c>
      <c r="P24" s="99">
        <f t="shared" ref="P24:P33" si="14">O24/$P$4</f>
        <v>0.42443536059986114</v>
      </c>
      <c r="Q24" s="69"/>
      <c r="R24" s="104">
        <f>G24*11.97%</f>
        <v>503.76942000000003</v>
      </c>
      <c r="S24" s="105">
        <v>204</v>
      </c>
      <c r="T24" s="104">
        <f t="shared" ref="T24:T33" si="15">G24+L24-R24-S24</f>
        <v>3500.8305800000003</v>
      </c>
      <c r="U24" s="69"/>
      <c r="V24" s="69"/>
      <c r="W24" s="69"/>
      <c r="X24" s="69"/>
      <c r="Y24" s="69"/>
      <c r="Z24" s="69"/>
      <c r="AA24" s="69"/>
    </row>
    <row r="25" spans="2:27" ht="20.100000000000001" customHeight="1">
      <c r="B25" s="93">
        <f>B24+1</f>
        <v>2</v>
      </c>
      <c r="C25" s="94" t="s">
        <v>38</v>
      </c>
      <c r="D25" s="107" t="s">
        <v>39</v>
      </c>
      <c r="E25" s="108">
        <v>1706.7</v>
      </c>
      <c r="F25" s="97">
        <v>102.5</v>
      </c>
      <c r="G25" s="109">
        <f t="shared" ref="G25:G33" si="16">E25+F25</f>
        <v>1809.2</v>
      </c>
      <c r="H25" s="99">
        <f t="shared" ref="H25:H33" si="17">G25*$H$4</f>
        <v>164.36582000000004</v>
      </c>
      <c r="I25" s="99">
        <f>G25*$I$4</f>
        <v>87.927120000000016</v>
      </c>
      <c r="J25" s="99">
        <f>G25*$J$4</f>
        <v>75.383330318000006</v>
      </c>
      <c r="K25" s="100">
        <f t="shared" si="11"/>
        <v>162.828</v>
      </c>
      <c r="L25" s="99">
        <v>0</v>
      </c>
      <c r="M25" s="102">
        <f>G25+H25+I25+J25+K25+L25</f>
        <v>2299.704270318</v>
      </c>
      <c r="N25" s="103">
        <f>M25/$N$4</f>
        <v>76.6568090106</v>
      </c>
      <c r="O25" s="99">
        <f>N25/$O$4</f>
        <v>9.582101126325</v>
      </c>
      <c r="P25" s="99">
        <f>O25/$P$4</f>
        <v>0.15970168543874999</v>
      </c>
      <c r="Q25" s="110"/>
      <c r="R25" s="104">
        <f>G25*11.74%</f>
        <v>212.40008</v>
      </c>
      <c r="S25" s="105">
        <v>0</v>
      </c>
      <c r="T25" s="104">
        <f t="shared" si="15"/>
        <v>1596.7999199999999</v>
      </c>
      <c r="U25" s="110"/>
      <c r="V25" s="69"/>
      <c r="W25" s="69"/>
      <c r="X25" s="69"/>
      <c r="Y25" s="69"/>
      <c r="Z25" s="69"/>
      <c r="AA25" s="69"/>
    </row>
    <row r="26" spans="2:27" ht="20.100000000000001" customHeight="1">
      <c r="B26" s="93">
        <f>B25+1</f>
        <v>3</v>
      </c>
      <c r="C26" s="94" t="s">
        <v>40</v>
      </c>
      <c r="D26" s="112" t="s">
        <v>41</v>
      </c>
      <c r="E26" s="108">
        <v>1562.4</v>
      </c>
      <c r="F26" s="97"/>
      <c r="G26" s="109">
        <f t="shared" si="16"/>
        <v>1562.4</v>
      </c>
      <c r="H26" s="99">
        <f t="shared" si="17"/>
        <v>141.94404000000003</v>
      </c>
      <c r="I26" s="99">
        <f>G26*$I$4</f>
        <v>75.932640000000006</v>
      </c>
      <c r="J26" s="99">
        <f>G26*$J$4</f>
        <v>65.099997396000006</v>
      </c>
      <c r="K26" s="100">
        <f t="shared" si="11"/>
        <v>140.61600000000001</v>
      </c>
      <c r="L26" s="99">
        <v>0</v>
      </c>
      <c r="M26" s="113">
        <f>G26+H26+I26+J26+K26+L26</f>
        <v>1985.9926773960001</v>
      </c>
      <c r="N26" s="103">
        <f>M26/$N$4</f>
        <v>66.199755913200008</v>
      </c>
      <c r="O26" s="103">
        <f>N26/$O$4</f>
        <v>8.274969489150001</v>
      </c>
      <c r="P26" s="103">
        <f>O26/$P$4</f>
        <v>0.13791615815250002</v>
      </c>
      <c r="Q26" s="110"/>
      <c r="R26" s="104">
        <f>G26*11.92%</f>
        <v>186.23808000000002</v>
      </c>
      <c r="S26" s="105">
        <v>0</v>
      </c>
      <c r="T26" s="104">
        <f t="shared" si="15"/>
        <v>1376.16192</v>
      </c>
      <c r="U26" s="110"/>
      <c r="V26" s="69"/>
      <c r="W26" s="69"/>
      <c r="X26" s="69"/>
      <c r="Y26" s="69"/>
      <c r="Z26" s="69"/>
      <c r="AA26" s="69"/>
    </row>
    <row r="27" spans="2:27" s="63" customFormat="1" ht="20.100000000000001" customHeight="1">
      <c r="B27" s="93">
        <v>4</v>
      </c>
      <c r="C27" s="94" t="s">
        <v>42</v>
      </c>
      <c r="D27" s="112" t="s">
        <v>43</v>
      </c>
      <c r="E27" s="96">
        <v>1463.2</v>
      </c>
      <c r="F27" s="96"/>
      <c r="G27" s="109">
        <f>E27+F27</f>
        <v>1463.2</v>
      </c>
      <c r="H27" s="99">
        <f t="shared" si="17"/>
        <v>132.93172000000001</v>
      </c>
      <c r="I27" s="99">
        <f t="shared" ref="I27:I33" si="18">G27*$I$4</f>
        <v>71.111520000000013</v>
      </c>
      <c r="J27" s="99">
        <f t="shared" ref="J27:J33" si="19">G27*$J$4</f>
        <v>60.966664227999999</v>
      </c>
      <c r="K27" s="100">
        <f t="shared" si="11"/>
        <v>131.68799999999999</v>
      </c>
      <c r="L27" s="99">
        <v>0</v>
      </c>
      <c r="M27" s="102">
        <f t="shared" ref="M27:M33" si="20">G27+H27+I27+J27+K27+L27</f>
        <v>1859.8979042279998</v>
      </c>
      <c r="N27" s="114">
        <f t="shared" si="12"/>
        <v>61.996596807599992</v>
      </c>
      <c r="O27" s="104">
        <f t="shared" si="13"/>
        <v>7.7495746009499991</v>
      </c>
      <c r="P27" s="104">
        <f t="shared" si="14"/>
        <v>0.12915957668249997</v>
      </c>
      <c r="Q27" s="110"/>
      <c r="R27" s="104">
        <f>G27*13%</f>
        <v>190.21600000000001</v>
      </c>
      <c r="S27" s="105">
        <v>0</v>
      </c>
      <c r="T27" s="104">
        <f t="shared" si="15"/>
        <v>1272.9839999999999</v>
      </c>
      <c r="U27" s="110"/>
    </row>
    <row r="28" spans="2:27" s="63" customFormat="1" ht="20.100000000000001" customHeight="1">
      <c r="B28" s="93">
        <v>5</v>
      </c>
      <c r="C28" s="94" t="s">
        <v>44</v>
      </c>
      <c r="D28" s="112" t="s">
        <v>45</v>
      </c>
      <c r="E28" s="96">
        <v>1459.7</v>
      </c>
      <c r="F28" s="96">
        <v>0</v>
      </c>
      <c r="G28" s="109">
        <f t="shared" si="16"/>
        <v>1459.7</v>
      </c>
      <c r="H28" s="99">
        <f t="shared" si="17"/>
        <v>132.61374500000002</v>
      </c>
      <c r="I28" s="99">
        <f t="shared" si="18"/>
        <v>70.941420000000008</v>
      </c>
      <c r="J28" s="99">
        <f t="shared" si="19"/>
        <v>60.820830900499999</v>
      </c>
      <c r="K28" s="100">
        <f t="shared" si="11"/>
        <v>131.37299999999999</v>
      </c>
      <c r="L28" s="99">
        <v>0</v>
      </c>
      <c r="M28" s="102">
        <f>G28+H28+I28+J28+K28+L28</f>
        <v>1855.4489959005002</v>
      </c>
      <c r="N28" s="114">
        <f t="shared" si="12"/>
        <v>61.848299863350007</v>
      </c>
      <c r="O28" s="104">
        <f t="shared" si="13"/>
        <v>7.7310374829187509</v>
      </c>
      <c r="P28" s="104">
        <f t="shared" si="14"/>
        <v>0.12885062471531253</v>
      </c>
      <c r="Q28" s="110"/>
      <c r="R28" s="104">
        <f>G28*11.97%</f>
        <v>174.72609</v>
      </c>
      <c r="S28" s="105">
        <v>0</v>
      </c>
      <c r="T28" s="104">
        <f t="shared" si="15"/>
        <v>1284.9739100000002</v>
      </c>
      <c r="U28" s="110"/>
    </row>
    <row r="29" spans="2:27" ht="20.100000000000001" customHeight="1">
      <c r="B29" s="93">
        <v>6</v>
      </c>
      <c r="C29" s="94" t="s">
        <v>24</v>
      </c>
      <c r="D29" s="107" t="s">
        <v>46</v>
      </c>
      <c r="E29" s="108">
        <v>1686.22</v>
      </c>
      <c r="F29" s="97"/>
      <c r="G29" s="109">
        <f t="shared" si="16"/>
        <v>1686.22</v>
      </c>
      <c r="H29" s="99">
        <f t="shared" si="17"/>
        <v>153.19308700000002</v>
      </c>
      <c r="I29" s="99">
        <f t="shared" si="18"/>
        <v>81.950292000000005</v>
      </c>
      <c r="J29" s="99">
        <f t="shared" si="19"/>
        <v>70.259163856299992</v>
      </c>
      <c r="K29" s="100">
        <f t="shared" si="11"/>
        <v>151.75979999999998</v>
      </c>
      <c r="L29" s="99">
        <v>0</v>
      </c>
      <c r="M29" s="102">
        <f t="shared" si="20"/>
        <v>2143.3823428563001</v>
      </c>
      <c r="N29" s="103">
        <f t="shared" si="12"/>
        <v>71.446078095209998</v>
      </c>
      <c r="O29" s="99">
        <f t="shared" si="13"/>
        <v>8.9307597619012498</v>
      </c>
      <c r="P29" s="99">
        <f t="shared" si="14"/>
        <v>0.14884599603168749</v>
      </c>
      <c r="Q29" s="110"/>
      <c r="R29" s="104">
        <f>G29*11.74%</f>
        <v>197.96222800000001</v>
      </c>
      <c r="S29" s="105">
        <v>0</v>
      </c>
      <c r="T29" s="104">
        <f t="shared" si="15"/>
        <v>1488.2577719999999</v>
      </c>
      <c r="U29" s="110"/>
      <c r="V29" s="69"/>
      <c r="W29" s="69"/>
      <c r="X29" s="69"/>
      <c r="Y29" s="69"/>
      <c r="Z29" s="69"/>
      <c r="AA29" s="69"/>
    </row>
    <row r="30" spans="2:27" ht="20.100000000000001" customHeight="1">
      <c r="B30" s="93">
        <v>7</v>
      </c>
      <c r="C30" s="94" t="s">
        <v>30</v>
      </c>
      <c r="D30" s="107" t="s">
        <v>31</v>
      </c>
      <c r="E30" s="108">
        <v>800</v>
      </c>
      <c r="F30" s="97"/>
      <c r="G30" s="109">
        <f t="shared" si="16"/>
        <v>800</v>
      </c>
      <c r="H30" s="99">
        <f t="shared" si="17"/>
        <v>72.680000000000007</v>
      </c>
      <c r="I30" s="99">
        <f t="shared" si="18"/>
        <v>38.880000000000003</v>
      </c>
      <c r="J30" s="99">
        <f t="shared" si="19"/>
        <v>33.333331999999999</v>
      </c>
      <c r="K30" s="100">
        <f t="shared" si="11"/>
        <v>72</v>
      </c>
      <c r="L30" s="99">
        <v>0</v>
      </c>
      <c r="M30" s="102">
        <f t="shared" si="20"/>
        <v>1016.8933320000001</v>
      </c>
      <c r="N30" s="103">
        <f t="shared" si="12"/>
        <v>33.8964444</v>
      </c>
      <c r="O30" s="99">
        <f t="shared" si="13"/>
        <v>4.23705555</v>
      </c>
      <c r="P30" s="99">
        <f t="shared" si="14"/>
        <v>7.0617592500000007E-2</v>
      </c>
      <c r="Q30" s="110"/>
      <c r="R30" s="104">
        <f>G30*11.92%</f>
        <v>95.36</v>
      </c>
      <c r="S30" s="105">
        <v>0</v>
      </c>
      <c r="T30" s="104">
        <f t="shared" si="15"/>
        <v>704.64</v>
      </c>
      <c r="U30" s="110"/>
      <c r="V30" s="69"/>
      <c r="W30" s="69"/>
      <c r="X30" s="69"/>
      <c r="Y30" s="69"/>
      <c r="Z30" s="69"/>
      <c r="AA30" s="69"/>
    </row>
    <row r="31" spans="2:27" ht="20.100000000000001" customHeight="1">
      <c r="B31" s="93">
        <v>8</v>
      </c>
      <c r="C31" s="94" t="s">
        <v>24</v>
      </c>
      <c r="D31" s="112" t="s">
        <v>47</v>
      </c>
      <c r="E31" s="108">
        <v>2104.35</v>
      </c>
      <c r="F31" s="97"/>
      <c r="G31" s="109">
        <f t="shared" si="16"/>
        <v>2104.35</v>
      </c>
      <c r="H31" s="99">
        <f t="shared" si="17"/>
        <v>191.18019750000002</v>
      </c>
      <c r="I31" s="99">
        <f t="shared" si="18"/>
        <v>102.27141</v>
      </c>
      <c r="J31" s="99">
        <f t="shared" si="19"/>
        <v>87.681246492749992</v>
      </c>
      <c r="K31" s="100">
        <f t="shared" si="11"/>
        <v>189.39149999999998</v>
      </c>
      <c r="L31" s="99">
        <v>0</v>
      </c>
      <c r="M31" s="113">
        <f t="shared" si="20"/>
        <v>2674.8743539927495</v>
      </c>
      <c r="N31" s="103">
        <f t="shared" si="12"/>
        <v>89.162478466424986</v>
      </c>
      <c r="O31" s="103">
        <f t="shared" si="13"/>
        <v>11.145309808303123</v>
      </c>
      <c r="P31" s="103">
        <f t="shared" si="14"/>
        <v>0.18575516347171872</v>
      </c>
      <c r="Q31" s="110"/>
      <c r="R31" s="104">
        <f>G31*13.29%</f>
        <v>279.66811499999994</v>
      </c>
      <c r="S31" s="105">
        <v>0</v>
      </c>
      <c r="T31" s="104">
        <f t="shared" si="15"/>
        <v>1824.681885</v>
      </c>
      <c r="U31" s="110"/>
      <c r="V31" s="69"/>
      <c r="W31" s="69"/>
      <c r="X31" s="69"/>
      <c r="Y31" s="69"/>
      <c r="Z31" s="69"/>
      <c r="AA31" s="69"/>
    </row>
    <row r="32" spans="2:27" ht="20.100000000000001" customHeight="1">
      <c r="B32" s="93">
        <v>9</v>
      </c>
      <c r="C32" s="94" t="s">
        <v>28</v>
      </c>
      <c r="D32" s="106" t="s">
        <v>48</v>
      </c>
      <c r="E32" s="96">
        <v>1300</v>
      </c>
      <c r="F32" s="97"/>
      <c r="G32" s="109">
        <f t="shared" si="16"/>
        <v>1300</v>
      </c>
      <c r="H32" s="99">
        <f t="shared" si="17"/>
        <v>118.10500000000002</v>
      </c>
      <c r="I32" s="99">
        <f t="shared" si="18"/>
        <v>63.180000000000007</v>
      </c>
      <c r="J32" s="120">
        <f t="shared" si="19"/>
        <v>54.166664499999996</v>
      </c>
      <c r="K32" s="121">
        <f t="shared" si="11"/>
        <v>117</v>
      </c>
      <c r="L32" s="99">
        <v>0</v>
      </c>
      <c r="M32" s="113">
        <f t="shared" si="20"/>
        <v>1652.4516645000001</v>
      </c>
      <c r="N32" s="122">
        <f t="shared" si="12"/>
        <v>55.081722150000004</v>
      </c>
      <c r="O32" s="122">
        <f t="shared" si="13"/>
        <v>6.8852152687500006</v>
      </c>
      <c r="P32" s="122">
        <f t="shared" si="14"/>
        <v>0.11475358781250002</v>
      </c>
      <c r="Q32" s="110"/>
      <c r="R32" s="104">
        <f>G32*13.29%</f>
        <v>172.76999999999998</v>
      </c>
      <c r="S32" s="105">
        <v>0</v>
      </c>
      <c r="T32" s="104">
        <f t="shared" si="15"/>
        <v>1127.23</v>
      </c>
      <c r="U32" s="110"/>
      <c r="V32" s="69"/>
      <c r="W32" s="69"/>
      <c r="X32" s="69"/>
      <c r="Y32" s="69"/>
      <c r="Z32" s="69"/>
      <c r="AA32" s="69"/>
    </row>
    <row r="33" spans="2:27" ht="20.100000000000001" customHeight="1">
      <c r="B33" s="93">
        <v>10</v>
      </c>
      <c r="C33" s="94" t="s">
        <v>22</v>
      </c>
      <c r="D33" s="106" t="s">
        <v>49</v>
      </c>
      <c r="E33" s="96">
        <v>1762.5</v>
      </c>
      <c r="F33" s="97"/>
      <c r="G33" s="109">
        <f t="shared" si="16"/>
        <v>1762.5</v>
      </c>
      <c r="H33" s="99">
        <f t="shared" si="17"/>
        <v>160.12312500000002</v>
      </c>
      <c r="I33" s="99">
        <f t="shared" si="18"/>
        <v>85.657500000000013</v>
      </c>
      <c r="J33" s="120">
        <f t="shared" si="19"/>
        <v>73.4374970625</v>
      </c>
      <c r="K33" s="121">
        <f t="shared" si="11"/>
        <v>158.625</v>
      </c>
      <c r="L33" s="99">
        <v>0</v>
      </c>
      <c r="M33" s="113">
        <f t="shared" si="20"/>
        <v>2240.3431220625002</v>
      </c>
      <c r="N33" s="122">
        <f t="shared" si="12"/>
        <v>74.678104068750002</v>
      </c>
      <c r="O33" s="122">
        <f t="shared" si="13"/>
        <v>9.3347630085937503</v>
      </c>
      <c r="P33" s="122">
        <f t="shared" si="14"/>
        <v>0.1555793834765625</v>
      </c>
      <c r="Q33" s="110"/>
      <c r="R33" s="104">
        <f>G33*13.29%</f>
        <v>234.23624999999998</v>
      </c>
      <c r="S33" s="105">
        <v>0</v>
      </c>
      <c r="T33" s="104">
        <f t="shared" si="15"/>
        <v>1528.2637500000001</v>
      </c>
      <c r="U33" s="110"/>
      <c r="V33" s="69"/>
      <c r="W33" s="69"/>
      <c r="X33" s="69"/>
      <c r="Y33" s="69"/>
      <c r="Z33" s="69"/>
      <c r="AA33" s="69"/>
    </row>
    <row r="34" spans="2:27" ht="20.100000000000001" customHeight="1" thickBot="1">
      <c r="B34" s="93"/>
      <c r="C34" s="115"/>
      <c r="D34" s="106"/>
      <c r="E34" s="116"/>
      <c r="F34" s="117"/>
      <c r="G34" s="118"/>
      <c r="H34" s="119"/>
      <c r="I34" s="119"/>
      <c r="J34" s="120"/>
      <c r="K34" s="121"/>
      <c r="L34" s="120"/>
      <c r="M34" s="113"/>
      <c r="N34" s="122"/>
      <c r="O34" s="122"/>
      <c r="P34" s="122"/>
      <c r="Q34" s="110"/>
      <c r="R34" s="123"/>
      <c r="S34" s="124"/>
      <c r="T34" s="123"/>
      <c r="U34" s="110"/>
      <c r="V34" s="69"/>
      <c r="W34" s="69"/>
      <c r="X34" s="69"/>
      <c r="Y34" s="69"/>
      <c r="Z34" s="69"/>
      <c r="AA34" s="69"/>
    </row>
    <row r="35" spans="2:27" s="63" customFormat="1" ht="20.100000000000001" customHeight="1" thickBot="1">
      <c r="B35" s="125"/>
      <c r="C35" s="126"/>
      <c r="D35" s="127" t="s">
        <v>35</v>
      </c>
      <c r="E35" s="128">
        <f t="shared" ref="E35:M35" si="21">SUM(E24:E34)</f>
        <v>18053.670000000002</v>
      </c>
      <c r="F35" s="128">
        <f t="shared" si="21"/>
        <v>102.5</v>
      </c>
      <c r="G35" s="128">
        <f t="shared" si="21"/>
        <v>18156.170000000002</v>
      </c>
      <c r="H35" s="128">
        <f t="shared" si="21"/>
        <v>2031.8393545000008</v>
      </c>
      <c r="I35" s="128">
        <f t="shared" si="21"/>
        <v>1086.9278220000001</v>
      </c>
      <c r="J35" s="128">
        <f t="shared" si="21"/>
        <v>931.86537939205016</v>
      </c>
      <c r="K35" s="128">
        <f t="shared" si="21"/>
        <v>1634.0553</v>
      </c>
      <c r="L35" s="128">
        <f t="shared" si="21"/>
        <v>0</v>
      </c>
      <c r="M35" s="129">
        <f t="shared" si="21"/>
        <v>23840.857855892049</v>
      </c>
      <c r="N35" s="128">
        <f>SUM(N24:N33)</f>
        <v>794.69526186306837</v>
      </c>
      <c r="O35" s="128">
        <f>SUM(O24:O33)</f>
        <v>99.336907732883546</v>
      </c>
      <c r="P35" s="128">
        <f>SUM(P24:P33)</f>
        <v>1.6556151288813925</v>
      </c>
      <c r="R35" s="130">
        <f>SUM(R24:R34)</f>
        <v>2247.3462629999999</v>
      </c>
      <c r="S35" s="130">
        <f>SUM(S24:S34)</f>
        <v>204</v>
      </c>
      <c r="T35" s="130">
        <f>SUM(T24:T34)</f>
        <v>15704.823736999999</v>
      </c>
    </row>
    <row r="36" spans="2:27" ht="20.100000000000001" customHeight="1">
      <c r="D36" s="65"/>
      <c r="E36" s="131"/>
      <c r="F36" s="87"/>
      <c r="G36" s="131"/>
      <c r="H36" s="132"/>
      <c r="I36" s="132"/>
      <c r="J36" s="132"/>
      <c r="K36" s="132"/>
      <c r="L36" s="132"/>
      <c r="M36" s="133"/>
      <c r="N36" s="133"/>
      <c r="O36" s="133"/>
      <c r="P36" s="133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</row>
    <row r="37" spans="2:27" ht="20.100000000000001" customHeight="1">
      <c r="E37" s="132">
        <f>+E18+E35</f>
        <v>29797.010000000002</v>
      </c>
    </row>
  </sheetData>
  <mergeCells count="34">
    <mergeCell ref="N6:N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M6:M8"/>
    <mergeCell ref="B21:B23"/>
    <mergeCell ref="C21:C23"/>
    <mergeCell ref="D21:D23"/>
    <mergeCell ref="E21:E23"/>
    <mergeCell ref="F21:F23"/>
    <mergeCell ref="O6:O8"/>
    <mergeCell ref="P6:P8"/>
    <mergeCell ref="R6:R8"/>
    <mergeCell ref="S6:S8"/>
    <mergeCell ref="T6:T8"/>
    <mergeCell ref="T21:T23"/>
    <mergeCell ref="G21:G23"/>
    <mergeCell ref="H21:H23"/>
    <mergeCell ref="I21:I23"/>
    <mergeCell ref="J21:J23"/>
    <mergeCell ref="K21:K23"/>
    <mergeCell ref="M21:M23"/>
    <mergeCell ref="N21:N23"/>
    <mergeCell ref="O21:O23"/>
    <mergeCell ref="P21:P23"/>
    <mergeCell ref="R21:R23"/>
    <mergeCell ref="S21:S23"/>
  </mergeCells>
  <pageMargins left="0.70866141732283472" right="0.70866141732283472" top="0.55118110236220474" bottom="0.23622047244094491" header="0.31496062992125984" footer="0.31496062992125984"/>
  <pageSetup paperSize="8" scale="75" orientation="landscape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499984740745262"/>
  </sheetPr>
  <dimension ref="C2:E13"/>
  <sheetViews>
    <sheetView workbookViewId="0">
      <selection activeCell="H8" sqref="H8"/>
    </sheetView>
  </sheetViews>
  <sheetFormatPr baseColWidth="10" defaultColWidth="11.42578125" defaultRowHeight="15"/>
  <cols>
    <col min="3" max="3" width="21.5703125" customWidth="1"/>
    <col min="4" max="4" width="2.85546875" customWidth="1"/>
    <col min="5" max="5" width="66.140625" bestFit="1" customWidth="1"/>
    <col min="6" max="6" width="13" customWidth="1"/>
  </cols>
  <sheetData>
    <row r="2" spans="3:5" ht="23.25">
      <c r="D2" s="332" t="s">
        <v>2</v>
      </c>
      <c r="E2" s="331" t="s">
        <v>50</v>
      </c>
    </row>
    <row r="3" spans="3:5" ht="21">
      <c r="C3" s="232"/>
      <c r="D3" s="333">
        <v>1</v>
      </c>
      <c r="E3" s="329" t="s">
        <v>51</v>
      </c>
    </row>
    <row r="4" spans="3:5" ht="21">
      <c r="C4" s="316"/>
      <c r="D4" s="333">
        <v>2</v>
      </c>
      <c r="E4" s="329" t="s">
        <v>52</v>
      </c>
    </row>
    <row r="5" spans="3:5" ht="21">
      <c r="C5" s="6"/>
      <c r="D5" s="333">
        <v>3</v>
      </c>
      <c r="E5" s="329" t="s">
        <v>53</v>
      </c>
    </row>
    <row r="6" spans="3:5" ht="21">
      <c r="C6" s="6"/>
      <c r="D6" s="333">
        <v>4</v>
      </c>
      <c r="E6" s="329" t="s">
        <v>54</v>
      </c>
    </row>
    <row r="7" spans="3:5" ht="21">
      <c r="C7" s="232"/>
      <c r="D7" s="333">
        <v>5</v>
      </c>
      <c r="E7" s="329" t="s">
        <v>55</v>
      </c>
    </row>
    <row r="8" spans="3:5" ht="21">
      <c r="C8" s="6"/>
      <c r="D8" s="333">
        <v>6</v>
      </c>
      <c r="E8" s="329" t="s">
        <v>56</v>
      </c>
    </row>
    <row r="9" spans="3:5" ht="21">
      <c r="C9" s="6"/>
      <c r="D9" s="333">
        <v>7</v>
      </c>
      <c r="E9" s="329" t="s">
        <v>57</v>
      </c>
    </row>
    <row r="10" spans="3:5" ht="21">
      <c r="C10" s="6"/>
      <c r="D10" s="333">
        <v>8</v>
      </c>
      <c r="E10" s="329" t="s">
        <v>54</v>
      </c>
    </row>
    <row r="11" spans="3:5" ht="21">
      <c r="C11" s="6"/>
      <c r="D11" s="333">
        <v>9</v>
      </c>
      <c r="E11" s="329" t="s">
        <v>58</v>
      </c>
    </row>
    <row r="12" spans="3:5" ht="21">
      <c r="C12" s="284"/>
      <c r="D12" s="333">
        <v>10</v>
      </c>
      <c r="E12" s="330" t="s">
        <v>59</v>
      </c>
    </row>
    <row r="13" spans="3:5" ht="21">
      <c r="C13" s="6"/>
      <c r="D13" s="333">
        <v>11</v>
      </c>
      <c r="E13" s="329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8263-548C-4F42-AA91-AFE7AF1A0756}">
  <sheetPr codeName="Hoja1"/>
  <dimension ref="A2:H228"/>
  <sheetViews>
    <sheetView topLeftCell="A219" workbookViewId="0">
      <selection activeCell="F228" sqref="F228"/>
    </sheetView>
  </sheetViews>
  <sheetFormatPr baseColWidth="10" defaultColWidth="11.42578125" defaultRowHeight="15"/>
  <cols>
    <col min="1" max="1" width="12.5703125" customWidth="1"/>
  </cols>
  <sheetData>
    <row r="2" spans="1:6" ht="15.75" thickBot="1"/>
    <row r="3" spans="1:6">
      <c r="A3" s="1445" t="s">
        <v>61</v>
      </c>
      <c r="B3" s="1446"/>
      <c r="C3" s="1446"/>
      <c r="D3" s="1446"/>
      <c r="E3" s="1446"/>
      <c r="F3" s="1447"/>
    </row>
    <row r="4" spans="1:6" ht="26.25" customHeight="1">
      <c r="A4" s="1448" t="s">
        <v>62</v>
      </c>
      <c r="B4" s="617" t="s">
        <v>63</v>
      </c>
      <c r="C4" s="617" t="s">
        <v>63</v>
      </c>
      <c r="D4" s="617" t="s">
        <v>64</v>
      </c>
      <c r="E4" s="1448" t="s">
        <v>65</v>
      </c>
      <c r="F4" s="1448" t="s">
        <v>66</v>
      </c>
    </row>
    <row r="5" spans="1:6" ht="18.75" thickBot="1">
      <c r="A5" s="1449"/>
      <c r="B5" s="618" t="s">
        <v>67</v>
      </c>
      <c r="C5" s="618" t="s">
        <v>68</v>
      </c>
      <c r="D5" s="618" t="s">
        <v>69</v>
      </c>
      <c r="E5" s="1449"/>
      <c r="F5" s="1449"/>
    </row>
    <row r="6" spans="1:6">
      <c r="A6" s="623" t="s">
        <v>70</v>
      </c>
      <c r="B6" s="619"/>
      <c r="C6" s="620">
        <v>1.47</v>
      </c>
      <c r="D6" s="620">
        <v>1.37</v>
      </c>
      <c r="E6" s="620">
        <v>10</v>
      </c>
      <c r="F6" s="624">
        <v>12027.91</v>
      </c>
    </row>
    <row r="7" spans="1:6">
      <c r="A7" s="625" t="s">
        <v>71</v>
      </c>
      <c r="B7" s="621"/>
      <c r="C7" s="622">
        <v>1.55</v>
      </c>
      <c r="D7" s="622">
        <v>1.37</v>
      </c>
      <c r="E7" s="622">
        <v>10</v>
      </c>
      <c r="F7" s="626">
        <v>12027.91</v>
      </c>
    </row>
    <row r="8" spans="1:6">
      <c r="A8" s="623" t="s">
        <v>72</v>
      </c>
      <c r="B8" s="619"/>
      <c r="C8" s="620">
        <v>1.6</v>
      </c>
      <c r="D8" s="620">
        <v>1.37</v>
      </c>
      <c r="E8" s="620">
        <v>10</v>
      </c>
      <c r="F8" s="624">
        <v>12027.91</v>
      </c>
    </row>
    <row r="9" spans="1:6" ht="15.75" thickBot="1">
      <c r="A9" s="627" t="s">
        <v>73</v>
      </c>
      <c r="B9" s="628"/>
      <c r="C9" s="629">
        <v>1.69</v>
      </c>
      <c r="D9" s="629">
        <v>1.37</v>
      </c>
      <c r="E9" s="629">
        <v>10</v>
      </c>
      <c r="F9" s="630">
        <v>12027.91</v>
      </c>
    </row>
    <row r="10" spans="1:6">
      <c r="A10" s="1450"/>
      <c r="B10" s="1450"/>
      <c r="C10" s="1450"/>
      <c r="D10" s="1450"/>
      <c r="E10" s="1450"/>
      <c r="F10" s="1450"/>
    </row>
    <row r="11" spans="1:6" ht="27" customHeight="1">
      <c r="A11" s="1451" t="s">
        <v>74</v>
      </c>
      <c r="B11" s="1451"/>
      <c r="C11" s="1451"/>
      <c r="D11" s="1451"/>
      <c r="E11" s="1451"/>
      <c r="F11" s="1451"/>
    </row>
    <row r="12" spans="1:6" ht="27" customHeight="1">
      <c r="A12" s="1451" t="s">
        <v>75</v>
      </c>
      <c r="B12" s="1451"/>
      <c r="C12" s="1451"/>
      <c r="D12" s="1451"/>
      <c r="E12" s="1451"/>
      <c r="F12" s="1451"/>
    </row>
    <row r="13" spans="1:6">
      <c r="A13" s="1451" t="s">
        <v>76</v>
      </c>
      <c r="B13" s="1451"/>
      <c r="C13" s="1451"/>
      <c r="D13" s="1451"/>
      <c r="E13" s="1451"/>
      <c r="F13" s="1451"/>
    </row>
    <row r="14" spans="1:6" ht="40.5" customHeight="1">
      <c r="A14" s="1451" t="s">
        <v>77</v>
      </c>
      <c r="B14" s="1451"/>
      <c r="C14" s="1451"/>
      <c r="D14" s="1451"/>
      <c r="E14" s="1451"/>
      <c r="F14" s="1451"/>
    </row>
    <row r="15" spans="1:6" ht="15.75" thickBot="1"/>
    <row r="16" spans="1:6">
      <c r="A16" s="1445" t="s">
        <v>78</v>
      </c>
      <c r="B16" s="1446"/>
      <c r="C16" s="1446"/>
      <c r="D16" s="1446"/>
      <c r="E16" s="1446"/>
      <c r="F16" s="1447"/>
    </row>
    <row r="17" spans="1:6" ht="26.25" customHeight="1">
      <c r="A17" s="1448" t="s">
        <v>62</v>
      </c>
      <c r="B17" s="617" t="s">
        <v>63</v>
      </c>
      <c r="C17" s="617" t="s">
        <v>63</v>
      </c>
      <c r="D17" s="617" t="s">
        <v>64</v>
      </c>
      <c r="E17" s="1448" t="s">
        <v>65</v>
      </c>
      <c r="F17" s="1448" t="s">
        <v>66</v>
      </c>
    </row>
    <row r="18" spans="1:6" ht="18.75" thickBot="1">
      <c r="A18" s="1449"/>
      <c r="B18" s="618" t="s">
        <v>67</v>
      </c>
      <c r="C18" s="618" t="s">
        <v>68</v>
      </c>
      <c r="D18" s="618" t="s">
        <v>69</v>
      </c>
      <c r="E18" s="1449"/>
      <c r="F18" s="1449"/>
    </row>
    <row r="19" spans="1:6">
      <c r="A19" s="623" t="s">
        <v>70</v>
      </c>
      <c r="B19" s="619"/>
      <c r="C19" s="620">
        <v>1.47</v>
      </c>
      <c r="D19" s="620">
        <v>1.37</v>
      </c>
      <c r="E19" s="620">
        <v>10</v>
      </c>
      <c r="F19" s="624">
        <v>12027.91</v>
      </c>
    </row>
    <row r="20" spans="1:6">
      <c r="A20" s="625" t="s">
        <v>71</v>
      </c>
      <c r="B20" s="621"/>
      <c r="C20" s="622">
        <v>1.55</v>
      </c>
      <c r="D20" s="622">
        <v>1.37</v>
      </c>
      <c r="E20" s="622">
        <v>10</v>
      </c>
      <c r="F20" s="626">
        <v>12027.91</v>
      </c>
    </row>
    <row r="21" spans="1:6">
      <c r="A21" s="623" t="s">
        <v>72</v>
      </c>
      <c r="B21" s="619"/>
      <c r="C21" s="620">
        <v>1.6</v>
      </c>
      <c r="D21" s="620">
        <v>1.37</v>
      </c>
      <c r="E21" s="620">
        <v>10</v>
      </c>
      <c r="F21" s="624">
        <v>12027.91</v>
      </c>
    </row>
    <row r="22" spans="1:6" ht="15.75" thickBot="1">
      <c r="A22" s="627" t="s">
        <v>73</v>
      </c>
      <c r="B22" s="628"/>
      <c r="C22" s="629">
        <v>1.69</v>
      </c>
      <c r="D22" s="629">
        <v>1.37</v>
      </c>
      <c r="E22" s="629">
        <v>10</v>
      </c>
      <c r="F22" s="630">
        <v>12027.91</v>
      </c>
    </row>
    <row r="23" spans="1:6">
      <c r="A23" s="1450"/>
      <c r="B23" s="1450"/>
      <c r="C23" s="1450"/>
      <c r="D23" s="1450"/>
      <c r="E23" s="1450"/>
      <c r="F23" s="1450"/>
    </row>
    <row r="24" spans="1:6" ht="27" customHeight="1">
      <c r="A24" s="1451" t="s">
        <v>74</v>
      </c>
      <c r="B24" s="1451"/>
      <c r="C24" s="1451"/>
      <c r="D24" s="1451"/>
      <c r="E24" s="1451"/>
      <c r="F24" s="1451"/>
    </row>
    <row r="25" spans="1:6" ht="27" customHeight="1">
      <c r="A25" s="1451" t="s">
        <v>75</v>
      </c>
      <c r="B25" s="1451"/>
      <c r="C25" s="1451"/>
      <c r="D25" s="1451"/>
      <c r="E25" s="1451"/>
      <c r="F25" s="1451"/>
    </row>
    <row r="26" spans="1:6">
      <c r="A26" s="1451" t="s">
        <v>76</v>
      </c>
      <c r="B26" s="1451"/>
      <c r="C26" s="1451"/>
      <c r="D26" s="1451"/>
      <c r="E26" s="1451"/>
      <c r="F26" s="1451"/>
    </row>
    <row r="27" spans="1:6" ht="40.5" customHeight="1">
      <c r="A27" s="1451" t="s">
        <v>77</v>
      </c>
      <c r="B27" s="1451"/>
      <c r="C27" s="1451"/>
      <c r="D27" s="1451"/>
      <c r="E27" s="1451"/>
      <c r="F27" s="1451"/>
    </row>
    <row r="28" spans="1:6" ht="15.75" thickBot="1"/>
    <row r="29" spans="1:6">
      <c r="A29" s="1445" t="s">
        <v>79</v>
      </c>
      <c r="B29" s="1446"/>
      <c r="C29" s="1446"/>
      <c r="D29" s="1446"/>
      <c r="E29" s="1446"/>
      <c r="F29" s="1447"/>
    </row>
    <row r="30" spans="1:6" ht="26.25" customHeight="1">
      <c r="A30" s="1448" t="s">
        <v>62</v>
      </c>
      <c r="B30" s="617" t="s">
        <v>63</v>
      </c>
      <c r="C30" s="617" t="s">
        <v>63</v>
      </c>
      <c r="D30" s="617" t="s">
        <v>64</v>
      </c>
      <c r="E30" s="1448" t="s">
        <v>65</v>
      </c>
      <c r="F30" s="1448" t="s">
        <v>66</v>
      </c>
    </row>
    <row r="31" spans="1:6" ht="18.75" thickBot="1">
      <c r="A31" s="1449"/>
      <c r="B31" s="618" t="s">
        <v>67</v>
      </c>
      <c r="C31" s="618" t="s">
        <v>68</v>
      </c>
      <c r="D31" s="618" t="s">
        <v>69</v>
      </c>
      <c r="E31" s="1449"/>
      <c r="F31" s="1449"/>
    </row>
    <row r="32" spans="1:6">
      <c r="A32" s="623" t="s">
        <v>70</v>
      </c>
      <c r="B32" s="619"/>
      <c r="C32" s="620">
        <v>1.47</v>
      </c>
      <c r="D32" s="620">
        <v>1.37</v>
      </c>
      <c r="E32" s="620">
        <v>10</v>
      </c>
      <c r="F32" s="624">
        <v>12137.47</v>
      </c>
    </row>
    <row r="33" spans="1:6">
      <c r="A33" s="625" t="s">
        <v>71</v>
      </c>
      <c r="B33" s="621"/>
      <c r="C33" s="622">
        <v>1.55</v>
      </c>
      <c r="D33" s="622">
        <v>1.37</v>
      </c>
      <c r="E33" s="622">
        <v>10</v>
      </c>
      <c r="F33" s="626">
        <v>12137.47</v>
      </c>
    </row>
    <row r="34" spans="1:6">
      <c r="A34" s="623" t="s">
        <v>72</v>
      </c>
      <c r="B34" s="619"/>
      <c r="C34" s="620">
        <v>1.6</v>
      </c>
      <c r="D34" s="620">
        <v>1.37</v>
      </c>
      <c r="E34" s="620">
        <v>10</v>
      </c>
      <c r="F34" s="624">
        <v>12137.47</v>
      </c>
    </row>
    <row r="35" spans="1:6" ht="15.75" thickBot="1">
      <c r="A35" s="627" t="s">
        <v>73</v>
      </c>
      <c r="B35" s="628"/>
      <c r="C35" s="629">
        <v>1.69</v>
      </c>
      <c r="D35" s="629">
        <v>1.37</v>
      </c>
      <c r="E35" s="629">
        <v>10</v>
      </c>
      <c r="F35" s="630">
        <v>12137.47</v>
      </c>
    </row>
    <row r="36" spans="1:6" ht="27" customHeight="1">
      <c r="A36" s="1451" t="s">
        <v>74</v>
      </c>
      <c r="B36" s="1451"/>
      <c r="C36" s="1451"/>
      <c r="D36" s="1451"/>
      <c r="E36" s="1451"/>
      <c r="F36" s="1451"/>
    </row>
    <row r="37" spans="1:6" s="839" customFormat="1" ht="27" customHeight="1">
      <c r="A37" s="1451" t="s">
        <v>75</v>
      </c>
      <c r="B37" s="1451"/>
      <c r="C37" s="1451"/>
      <c r="D37" s="1451"/>
      <c r="E37" s="1451"/>
      <c r="F37" s="1451"/>
    </row>
    <row r="38" spans="1:6" ht="27" customHeight="1">
      <c r="A38" s="1451" t="s">
        <v>76</v>
      </c>
      <c r="B38" s="1451"/>
      <c r="C38" s="1451"/>
      <c r="D38" s="1451"/>
      <c r="E38" s="1451"/>
      <c r="F38" s="1451"/>
    </row>
    <row r="39" spans="1:6" ht="27" customHeight="1">
      <c r="A39" s="1451" t="s">
        <v>77</v>
      </c>
      <c r="B39" s="1451"/>
      <c r="C39" s="1451"/>
      <c r="D39" s="1451"/>
      <c r="E39" s="1451"/>
      <c r="F39" s="1451"/>
    </row>
    <row r="40" spans="1:6" ht="27" customHeight="1" thickBot="1">
      <c r="A40" s="833"/>
    </row>
    <row r="41" spans="1:6">
      <c r="A41" s="1445" t="s">
        <v>80</v>
      </c>
      <c r="B41" s="1446"/>
      <c r="C41" s="1446"/>
      <c r="D41" s="1446"/>
      <c r="E41" s="1446"/>
      <c r="F41" s="1447"/>
    </row>
    <row r="42" spans="1:6" ht="26.25" customHeight="1">
      <c r="A42" s="1448" t="s">
        <v>62</v>
      </c>
      <c r="B42" s="617" t="s">
        <v>63</v>
      </c>
      <c r="C42" s="617" t="s">
        <v>63</v>
      </c>
      <c r="D42" s="617" t="s">
        <v>64</v>
      </c>
      <c r="E42" s="1448" t="s">
        <v>65</v>
      </c>
      <c r="F42" s="1448" t="s">
        <v>66</v>
      </c>
    </row>
    <row r="43" spans="1:6" ht="18.75" thickBot="1">
      <c r="A43" s="1449"/>
      <c r="B43" s="618" t="s">
        <v>67</v>
      </c>
      <c r="C43" s="618" t="s">
        <v>68</v>
      </c>
      <c r="D43" s="618" t="s">
        <v>69</v>
      </c>
      <c r="E43" s="1449"/>
      <c r="F43" s="1449"/>
    </row>
    <row r="44" spans="1:6">
      <c r="A44" s="623" t="s">
        <v>70</v>
      </c>
      <c r="B44" s="619"/>
      <c r="C44" s="620">
        <v>1.47</v>
      </c>
      <c r="D44" s="620">
        <v>1.37</v>
      </c>
      <c r="E44" s="620">
        <v>10</v>
      </c>
      <c r="F44" s="624">
        <v>12137.47</v>
      </c>
    </row>
    <row r="45" spans="1:6">
      <c r="A45" s="625" t="s">
        <v>71</v>
      </c>
      <c r="B45" s="621"/>
      <c r="C45" s="622">
        <v>1.55</v>
      </c>
      <c r="D45" s="622">
        <v>1.37</v>
      </c>
      <c r="E45" s="622">
        <v>10</v>
      </c>
      <c r="F45" s="626">
        <v>12137.47</v>
      </c>
    </row>
    <row r="46" spans="1:6">
      <c r="A46" s="623" t="s">
        <v>72</v>
      </c>
      <c r="B46" s="619"/>
      <c r="C46" s="620">
        <v>1.6</v>
      </c>
      <c r="D46" s="620">
        <v>1.37</v>
      </c>
      <c r="E46" s="620">
        <v>10</v>
      </c>
      <c r="F46" s="624">
        <v>12137.47</v>
      </c>
    </row>
    <row r="47" spans="1:6" ht="15.75" thickBot="1">
      <c r="A47" s="627" t="s">
        <v>73</v>
      </c>
      <c r="B47" s="628"/>
      <c r="C47" s="629">
        <v>1.69</v>
      </c>
      <c r="D47" s="629">
        <v>1.37</v>
      </c>
      <c r="E47" s="629">
        <v>10</v>
      </c>
      <c r="F47" s="630">
        <v>12137.47</v>
      </c>
    </row>
    <row r="48" spans="1:6">
      <c r="A48" s="1450"/>
      <c r="B48" s="1450"/>
      <c r="C48" s="1450"/>
      <c r="D48" s="1450"/>
      <c r="E48" s="1450"/>
      <c r="F48" s="1450"/>
    </row>
    <row r="49" spans="1:6" ht="27" customHeight="1">
      <c r="A49" s="1451" t="s">
        <v>74</v>
      </c>
      <c r="B49" s="1451"/>
      <c r="C49" s="1451"/>
      <c r="D49" s="1451"/>
      <c r="E49" s="1451"/>
      <c r="F49" s="1451"/>
    </row>
    <row r="50" spans="1:6" ht="27" customHeight="1">
      <c r="A50" s="1451" t="s">
        <v>75</v>
      </c>
      <c r="B50" s="1451"/>
      <c r="C50" s="1451"/>
      <c r="D50" s="1451"/>
      <c r="E50" s="1451"/>
      <c r="F50" s="1451"/>
    </row>
    <row r="51" spans="1:6">
      <c r="A51" s="1451" t="s">
        <v>76</v>
      </c>
      <c r="B51" s="1451"/>
      <c r="C51" s="1451"/>
      <c r="D51" s="1451"/>
      <c r="E51" s="1451"/>
      <c r="F51" s="1451"/>
    </row>
    <row r="52" spans="1:6" ht="40.5" customHeight="1">
      <c r="A52" s="1451" t="s">
        <v>77</v>
      </c>
      <c r="B52" s="1451"/>
      <c r="C52" s="1451"/>
      <c r="D52" s="1451"/>
      <c r="E52" s="1451"/>
      <c r="F52" s="1451"/>
    </row>
    <row r="53" spans="1:6" ht="15.75" thickBot="1"/>
    <row r="54" spans="1:6">
      <c r="A54" s="1445" t="s">
        <v>81</v>
      </c>
      <c r="B54" s="1446"/>
      <c r="C54" s="1446"/>
      <c r="D54" s="1446"/>
      <c r="E54" s="1446"/>
      <c r="F54" s="1447"/>
    </row>
    <row r="55" spans="1:6" ht="26.25" customHeight="1">
      <c r="A55" s="1448" t="s">
        <v>62</v>
      </c>
      <c r="B55" s="617" t="s">
        <v>63</v>
      </c>
      <c r="C55" s="617" t="s">
        <v>63</v>
      </c>
      <c r="D55" s="617" t="s">
        <v>64</v>
      </c>
      <c r="E55" s="1448" t="s">
        <v>65</v>
      </c>
      <c r="F55" s="1448" t="s">
        <v>66</v>
      </c>
    </row>
    <row r="56" spans="1:6" ht="18.75" thickBot="1">
      <c r="A56" s="1449"/>
      <c r="B56" s="618" t="s">
        <v>67</v>
      </c>
      <c r="C56" s="618" t="s">
        <v>68</v>
      </c>
      <c r="D56" s="618" t="s">
        <v>69</v>
      </c>
      <c r="E56" s="1449"/>
      <c r="F56" s="1449"/>
    </row>
    <row r="57" spans="1:6">
      <c r="A57" s="623" t="s">
        <v>70</v>
      </c>
      <c r="B57" s="619"/>
      <c r="C57" s="620">
        <v>1.47</v>
      </c>
      <c r="D57" s="620">
        <v>1.37</v>
      </c>
      <c r="E57" s="620">
        <v>10</v>
      </c>
      <c r="F57" s="624">
        <v>12137.47</v>
      </c>
    </row>
    <row r="58" spans="1:6">
      <c r="A58" s="625" t="s">
        <v>71</v>
      </c>
      <c r="B58" s="621"/>
      <c r="C58" s="622">
        <v>1.55</v>
      </c>
      <c r="D58" s="622">
        <v>1.37</v>
      </c>
      <c r="E58" s="622">
        <v>10</v>
      </c>
      <c r="F58" s="626">
        <v>12137.47</v>
      </c>
    </row>
    <row r="59" spans="1:6">
      <c r="A59" s="623" t="s">
        <v>72</v>
      </c>
      <c r="B59" s="619"/>
      <c r="C59" s="620">
        <v>1.6</v>
      </c>
      <c r="D59" s="620">
        <v>1.37</v>
      </c>
      <c r="E59" s="620">
        <v>10</v>
      </c>
      <c r="F59" s="624">
        <v>12137.47</v>
      </c>
    </row>
    <row r="60" spans="1:6" ht="15.75" thickBot="1">
      <c r="A60" s="627" t="s">
        <v>73</v>
      </c>
      <c r="B60" s="628"/>
      <c r="C60" s="629">
        <v>1.69</v>
      </c>
      <c r="D60" s="629">
        <v>1.37</v>
      </c>
      <c r="E60" s="629">
        <v>10</v>
      </c>
      <c r="F60" s="630">
        <v>12137.47</v>
      </c>
    </row>
    <row r="62" spans="1:6">
      <c r="A62" s="927" t="s">
        <v>74</v>
      </c>
    </row>
    <row r="63" spans="1:6">
      <c r="A63" s="927" t="s">
        <v>75</v>
      </c>
    </row>
    <row r="64" spans="1:6">
      <c r="A64" s="927" t="s">
        <v>76</v>
      </c>
    </row>
    <row r="65" spans="1:6">
      <c r="A65" s="927" t="s">
        <v>77</v>
      </c>
    </row>
    <row r="66" spans="1:6" ht="15.75" thickBot="1"/>
    <row r="67" spans="1:6">
      <c r="A67" s="1445" t="s">
        <v>82</v>
      </c>
      <c r="B67" s="1446"/>
      <c r="C67" s="1446"/>
      <c r="D67" s="1446"/>
      <c r="E67" s="1446"/>
      <c r="F67" s="1447"/>
    </row>
    <row r="68" spans="1:6" ht="26.25" customHeight="1">
      <c r="A68" s="1448" t="s">
        <v>62</v>
      </c>
      <c r="B68" s="617" t="s">
        <v>63</v>
      </c>
      <c r="C68" s="617" t="s">
        <v>63</v>
      </c>
      <c r="D68" s="617" t="s">
        <v>64</v>
      </c>
      <c r="E68" s="1448" t="s">
        <v>65</v>
      </c>
      <c r="F68" s="1448" t="s">
        <v>66</v>
      </c>
    </row>
    <row r="69" spans="1:6" ht="18.75" thickBot="1">
      <c r="A69" s="1449"/>
      <c r="B69" s="618" t="s">
        <v>67</v>
      </c>
      <c r="C69" s="618" t="s">
        <v>68</v>
      </c>
      <c r="D69" s="618" t="s">
        <v>69</v>
      </c>
      <c r="E69" s="1449"/>
      <c r="F69" s="1449"/>
    </row>
    <row r="70" spans="1:6">
      <c r="A70" s="623" t="s">
        <v>70</v>
      </c>
      <c r="B70" s="619"/>
      <c r="C70" s="620">
        <v>1.47</v>
      </c>
      <c r="D70" s="620">
        <v>1.37</v>
      </c>
      <c r="E70" s="620">
        <v>10</v>
      </c>
      <c r="F70" s="624">
        <v>12184.88</v>
      </c>
    </row>
    <row r="71" spans="1:6">
      <c r="A71" s="625" t="s">
        <v>71</v>
      </c>
      <c r="B71" s="621"/>
      <c r="C71" s="622">
        <v>1.55</v>
      </c>
      <c r="D71" s="622">
        <v>1.37</v>
      </c>
      <c r="E71" s="622">
        <v>10</v>
      </c>
      <c r="F71" s="626">
        <v>12184.88</v>
      </c>
    </row>
    <row r="72" spans="1:6">
      <c r="A72" s="623" t="s">
        <v>72</v>
      </c>
      <c r="B72" s="619"/>
      <c r="C72" s="620">
        <v>1.6</v>
      </c>
      <c r="D72" s="620">
        <v>1.37</v>
      </c>
      <c r="E72" s="620">
        <v>10</v>
      </c>
      <c r="F72" s="624">
        <v>12184.88</v>
      </c>
    </row>
    <row r="73" spans="1:6" ht="15.75" thickBot="1">
      <c r="A73" s="627" t="s">
        <v>73</v>
      </c>
      <c r="B73" s="628"/>
      <c r="C73" s="629">
        <v>1.69</v>
      </c>
      <c r="D73" s="629">
        <v>1.37</v>
      </c>
      <c r="E73" s="629">
        <v>10</v>
      </c>
      <c r="F73" s="630">
        <v>12184.88</v>
      </c>
    </row>
    <row r="74" spans="1:6" ht="15" customHeight="1">
      <c r="A74" s="1450"/>
      <c r="B74" s="1450"/>
      <c r="C74" s="1450"/>
      <c r="D74" s="1450"/>
      <c r="E74" s="1450"/>
      <c r="F74" s="1450"/>
    </row>
    <row r="75" spans="1:6" ht="15" customHeight="1">
      <c r="A75" s="927" t="s">
        <v>74</v>
      </c>
      <c r="B75" s="927"/>
      <c r="C75" s="927"/>
      <c r="D75" s="927"/>
      <c r="E75" s="927"/>
      <c r="F75" s="927"/>
    </row>
    <row r="76" spans="1:6" ht="15" customHeight="1">
      <c r="A76" s="927" t="s">
        <v>75</v>
      </c>
      <c r="B76" s="927"/>
      <c r="C76" s="927"/>
      <c r="D76" s="927"/>
      <c r="E76" s="927"/>
      <c r="F76" s="927"/>
    </row>
    <row r="77" spans="1:6" ht="15" customHeight="1">
      <c r="A77" s="927" t="s">
        <v>76</v>
      </c>
      <c r="B77" s="927"/>
      <c r="C77" s="927"/>
      <c r="D77" s="927"/>
      <c r="E77" s="927"/>
      <c r="F77" s="927"/>
    </row>
    <row r="78" spans="1:6" ht="15" customHeight="1">
      <c r="A78" s="927" t="s">
        <v>77</v>
      </c>
      <c r="B78" s="927"/>
      <c r="C78" s="927"/>
      <c r="D78" s="927"/>
      <c r="E78" s="927"/>
      <c r="F78" s="927"/>
    </row>
    <row r="79" spans="1:6" ht="15.75" thickBot="1"/>
    <row r="80" spans="1:6">
      <c r="A80" s="1445" t="s">
        <v>83</v>
      </c>
      <c r="B80" s="1446"/>
      <c r="C80" s="1446"/>
      <c r="D80" s="1446"/>
      <c r="E80" s="1446"/>
      <c r="F80" s="1447"/>
    </row>
    <row r="81" spans="1:6" ht="26.25" customHeight="1">
      <c r="A81" s="1448" t="s">
        <v>62</v>
      </c>
      <c r="B81" s="617" t="s">
        <v>63</v>
      </c>
      <c r="C81" s="617" t="s">
        <v>63</v>
      </c>
      <c r="D81" s="617" t="s">
        <v>64</v>
      </c>
      <c r="E81" s="1448" t="s">
        <v>65</v>
      </c>
      <c r="F81" s="1448" t="s">
        <v>66</v>
      </c>
    </row>
    <row r="82" spans="1:6" ht="18.75" thickBot="1">
      <c r="A82" s="1449"/>
      <c r="B82" s="618" t="s">
        <v>67</v>
      </c>
      <c r="C82" s="618" t="s">
        <v>68</v>
      </c>
      <c r="D82" s="618" t="s">
        <v>69</v>
      </c>
      <c r="E82" s="1449"/>
      <c r="F82" s="1449"/>
    </row>
    <row r="83" spans="1:6">
      <c r="A83" s="623" t="s">
        <v>70</v>
      </c>
      <c r="B83" s="619"/>
      <c r="C83" s="620">
        <v>1.47</v>
      </c>
      <c r="D83" s="620">
        <v>1.37</v>
      </c>
      <c r="E83" s="620">
        <v>10</v>
      </c>
      <c r="F83" s="624">
        <v>12178.56</v>
      </c>
    </row>
    <row r="84" spans="1:6">
      <c r="A84" s="625" t="s">
        <v>71</v>
      </c>
      <c r="B84" s="621"/>
      <c r="C84" s="622">
        <v>1.55</v>
      </c>
      <c r="D84" s="622">
        <v>1.37</v>
      </c>
      <c r="E84" s="622">
        <v>10</v>
      </c>
      <c r="F84" s="626">
        <v>12178.56</v>
      </c>
    </row>
    <row r="85" spans="1:6">
      <c r="A85" s="623" t="s">
        <v>72</v>
      </c>
      <c r="B85" s="619"/>
      <c r="C85" s="620">
        <v>1.6</v>
      </c>
      <c r="D85" s="620">
        <v>1.37</v>
      </c>
      <c r="E85" s="620">
        <v>10</v>
      </c>
      <c r="F85" s="626">
        <v>12178.56</v>
      </c>
    </row>
    <row r="86" spans="1:6" ht="15.75" thickBot="1">
      <c r="A86" s="627" t="s">
        <v>73</v>
      </c>
      <c r="B86" s="628"/>
      <c r="C86" s="629">
        <v>1.69</v>
      </c>
      <c r="D86" s="629">
        <v>1.37</v>
      </c>
      <c r="E86" s="629">
        <v>10</v>
      </c>
      <c r="F86" s="626">
        <v>12178.56</v>
      </c>
    </row>
    <row r="88" spans="1:6">
      <c r="A88" s="927" t="s">
        <v>74</v>
      </c>
    </row>
    <row r="89" spans="1:6">
      <c r="A89" s="927" t="s">
        <v>75</v>
      </c>
    </row>
    <row r="90" spans="1:6">
      <c r="A90" s="927" t="s">
        <v>76</v>
      </c>
    </row>
    <row r="91" spans="1:6">
      <c r="A91" s="927" t="s">
        <v>77</v>
      </c>
    </row>
    <row r="93" spans="1:6" ht="15.75" thickBot="1">
      <c r="A93" s="1028" t="s">
        <v>84</v>
      </c>
      <c r="B93" s="1029" t="s">
        <v>85</v>
      </c>
      <c r="C93" s="1030"/>
    </row>
    <row r="94" spans="1:6" ht="18" customHeight="1" thickBot="1">
      <c r="A94" s="1433" t="s">
        <v>86</v>
      </c>
      <c r="B94" s="1434"/>
      <c r="C94" s="1434"/>
      <c r="D94" s="1434"/>
      <c r="E94" s="1434"/>
      <c r="F94" s="1435"/>
    </row>
    <row r="95" spans="1:6" ht="15.75">
      <c r="A95" s="1436" t="s">
        <v>62</v>
      </c>
      <c r="B95" s="1031" t="s">
        <v>87</v>
      </c>
      <c r="C95" s="1032" t="s">
        <v>87</v>
      </c>
      <c r="D95" s="1033" t="s">
        <v>88</v>
      </c>
      <c r="E95" s="1033" t="s">
        <v>89</v>
      </c>
      <c r="F95" s="1439" t="s">
        <v>90</v>
      </c>
    </row>
    <row r="96" spans="1:6" ht="18.75">
      <c r="A96" s="1437"/>
      <c r="B96" s="1034" t="s">
        <v>91</v>
      </c>
      <c r="C96" s="1035" t="s">
        <v>92</v>
      </c>
      <c r="D96" s="1036" t="s">
        <v>93</v>
      </c>
      <c r="E96" s="1037" t="s">
        <v>94</v>
      </c>
      <c r="F96" s="1440"/>
    </row>
    <row r="97" spans="1:6" ht="16.5" thickBot="1">
      <c r="A97" s="1438"/>
      <c r="B97" s="1038" t="s">
        <v>94</v>
      </c>
      <c r="C97" s="1039" t="s">
        <v>95</v>
      </c>
      <c r="D97" s="1040" t="s">
        <v>94</v>
      </c>
      <c r="E97" s="1041"/>
      <c r="F97" s="1441"/>
    </row>
    <row r="98" spans="1:6" ht="15.75" thickBot="1">
      <c r="A98" s="1025" t="s">
        <v>70</v>
      </c>
      <c r="B98" s="1026" t="s">
        <v>96</v>
      </c>
      <c r="C98" s="1026" t="s">
        <v>97</v>
      </c>
      <c r="D98" s="1026" t="s">
        <v>98</v>
      </c>
      <c r="E98" s="1026" t="s">
        <v>99</v>
      </c>
      <c r="F98" s="1026">
        <v>12178.56</v>
      </c>
    </row>
    <row r="99" spans="1:6" ht="15.75" thickBot="1">
      <c r="A99" s="1025" t="s">
        <v>71</v>
      </c>
      <c r="B99" s="1026" t="s">
        <v>100</v>
      </c>
      <c r="C99" s="1026" t="s">
        <v>101</v>
      </c>
      <c r="D99" s="1026" t="s">
        <v>98</v>
      </c>
      <c r="E99" s="1026" t="s">
        <v>99</v>
      </c>
      <c r="F99" s="1026">
        <v>12178.56</v>
      </c>
    </row>
    <row r="100" spans="1:6" ht="15.75" thickBot="1">
      <c r="A100" s="1025" t="s">
        <v>72</v>
      </c>
      <c r="B100" s="1026" t="s">
        <v>102</v>
      </c>
      <c r="C100" s="1026" t="s">
        <v>97</v>
      </c>
      <c r="D100" s="1026" t="s">
        <v>98</v>
      </c>
      <c r="E100" s="1026" t="s">
        <v>99</v>
      </c>
      <c r="F100" s="1026">
        <v>12178.56</v>
      </c>
    </row>
    <row r="101" spans="1:6" ht="29.25" thickBot="1">
      <c r="A101" s="1025" t="s">
        <v>73</v>
      </c>
      <c r="B101" s="1026" t="s">
        <v>103</v>
      </c>
      <c r="C101" s="1026" t="s">
        <v>104</v>
      </c>
      <c r="D101" s="1026" t="s">
        <v>98</v>
      </c>
      <c r="E101" s="1026" t="s">
        <v>99</v>
      </c>
      <c r="F101" s="1026">
        <v>12178.56</v>
      </c>
    </row>
    <row r="102" spans="1:6" ht="18.75">
      <c r="A102" s="1027"/>
    </row>
    <row r="103" spans="1:6">
      <c r="A103" s="1042" t="s">
        <v>105</v>
      </c>
    </row>
    <row r="104" spans="1:6">
      <c r="A104" s="1042" t="s">
        <v>76</v>
      </c>
    </row>
    <row r="105" spans="1:6">
      <c r="A105" s="1042" t="s">
        <v>106</v>
      </c>
    </row>
    <row r="106" spans="1:6">
      <c r="A106" s="1042" t="s">
        <v>107</v>
      </c>
    </row>
    <row r="107" spans="1:6" ht="15.75" thickBot="1"/>
    <row r="108" spans="1:6" ht="18" customHeight="1" thickBot="1">
      <c r="A108" s="1427" t="s">
        <v>108</v>
      </c>
      <c r="B108" s="1428"/>
      <c r="C108" s="1428"/>
      <c r="D108" s="1428"/>
      <c r="E108" s="1428"/>
      <c r="F108" s="1429"/>
    </row>
    <row r="109" spans="1:6" ht="42" customHeight="1">
      <c r="A109" s="1430" t="s">
        <v>62</v>
      </c>
      <c r="B109" s="1043" t="s">
        <v>87</v>
      </c>
      <c r="C109" s="1046" t="s">
        <v>87</v>
      </c>
      <c r="D109" s="1049" t="s">
        <v>88</v>
      </c>
      <c r="E109" s="1049" t="s">
        <v>89</v>
      </c>
      <c r="F109" s="1442" t="s">
        <v>90</v>
      </c>
    </row>
    <row r="110" spans="1:6" ht="39">
      <c r="A110" s="1431"/>
      <c r="B110" s="1044" t="s">
        <v>91</v>
      </c>
      <c r="C110" s="1047" t="s">
        <v>92</v>
      </c>
      <c r="D110" s="1050" t="s">
        <v>93</v>
      </c>
      <c r="E110" s="1052" t="s">
        <v>94</v>
      </c>
      <c r="F110" s="1443"/>
    </row>
    <row r="111" spans="1:6" ht="39.75" thickBot="1">
      <c r="A111" s="1432"/>
      <c r="B111" s="1045" t="s">
        <v>94</v>
      </c>
      <c r="C111" s="1048" t="s">
        <v>95</v>
      </c>
      <c r="D111" s="1051" t="s">
        <v>94</v>
      </c>
      <c r="E111" s="1053"/>
      <c r="F111" s="1444"/>
    </row>
    <row r="112" spans="1:6" ht="15.75" thickBot="1">
      <c r="A112" s="1025" t="s">
        <v>70</v>
      </c>
      <c r="B112" s="1026" t="s">
        <v>96</v>
      </c>
      <c r="C112" s="1026" t="s">
        <v>97</v>
      </c>
      <c r="D112" s="1026" t="s">
        <v>98</v>
      </c>
      <c r="E112" s="1026" t="s">
        <v>99</v>
      </c>
      <c r="F112" s="1026" t="s">
        <v>109</v>
      </c>
    </row>
    <row r="113" spans="1:6" ht="15.75" thickBot="1">
      <c r="A113" s="1025" t="s">
        <v>71</v>
      </c>
      <c r="B113" s="1026" t="s">
        <v>100</v>
      </c>
      <c r="C113" s="1026" t="s">
        <v>101</v>
      </c>
      <c r="D113" s="1026" t="s">
        <v>98</v>
      </c>
      <c r="E113" s="1026" t="s">
        <v>99</v>
      </c>
      <c r="F113" s="1026" t="s">
        <v>109</v>
      </c>
    </row>
    <row r="114" spans="1:6" ht="15.75" thickBot="1">
      <c r="A114" s="1025" t="s">
        <v>72</v>
      </c>
      <c r="B114" s="1026" t="s">
        <v>102</v>
      </c>
      <c r="C114" s="1026" t="s">
        <v>97</v>
      </c>
      <c r="D114" s="1026" t="s">
        <v>98</v>
      </c>
      <c r="E114" s="1026" t="s">
        <v>99</v>
      </c>
      <c r="F114" s="1026" t="s">
        <v>109</v>
      </c>
    </row>
    <row r="115" spans="1:6" ht="29.25" thickBot="1">
      <c r="A115" s="1025" t="s">
        <v>73</v>
      </c>
      <c r="B115" s="1026" t="s">
        <v>103</v>
      </c>
      <c r="C115" s="1026" t="s">
        <v>104</v>
      </c>
      <c r="D115" s="1026" t="s">
        <v>98</v>
      </c>
      <c r="E115" s="1026" t="s">
        <v>99</v>
      </c>
      <c r="F115" s="1026" t="s">
        <v>109</v>
      </c>
    </row>
    <row r="116" spans="1:6" ht="18.75">
      <c r="A116" s="1027"/>
    </row>
    <row r="117" spans="1:6">
      <c r="A117" s="1042" t="s">
        <v>105</v>
      </c>
    </row>
    <row r="118" spans="1:6">
      <c r="A118" s="1042" t="s">
        <v>76</v>
      </c>
    </row>
    <row r="119" spans="1:6">
      <c r="A119" s="1042" t="s">
        <v>106</v>
      </c>
    </row>
    <row r="120" spans="1:6">
      <c r="A120" s="1042" t="s">
        <v>107</v>
      </c>
    </row>
    <row r="122" spans="1:6" ht="15.75" thickBot="1">
      <c r="A122" s="1028" t="s">
        <v>84</v>
      </c>
      <c r="B122" s="1029" t="s">
        <v>110</v>
      </c>
      <c r="C122" s="1030"/>
    </row>
    <row r="123" spans="1:6" ht="18" customHeight="1" thickBot="1">
      <c r="A123" s="1427" t="s">
        <v>111</v>
      </c>
      <c r="B123" s="1428"/>
      <c r="C123" s="1428"/>
      <c r="D123" s="1428"/>
      <c r="E123" s="1428"/>
      <c r="F123" s="1429"/>
    </row>
    <row r="124" spans="1:6" ht="33.75" customHeight="1">
      <c r="A124" s="1430" t="s">
        <v>62</v>
      </c>
      <c r="B124" s="1043" t="s">
        <v>87</v>
      </c>
      <c r="C124" s="1046" t="s">
        <v>87</v>
      </c>
      <c r="D124" s="1049" t="s">
        <v>88</v>
      </c>
      <c r="E124" s="1049" t="s">
        <v>89</v>
      </c>
      <c r="F124" s="1442" t="s">
        <v>90</v>
      </c>
    </row>
    <row r="125" spans="1:6" ht="33.75" customHeight="1">
      <c r="A125" s="1431"/>
      <c r="B125" s="1044" t="s">
        <v>91</v>
      </c>
      <c r="C125" s="1047" t="s">
        <v>92</v>
      </c>
      <c r="D125" s="1050" t="s">
        <v>93</v>
      </c>
      <c r="E125" s="1052" t="s">
        <v>94</v>
      </c>
      <c r="F125" s="1443"/>
    </row>
    <row r="126" spans="1:6" ht="33.75" customHeight="1" thickBot="1">
      <c r="A126" s="1432"/>
      <c r="B126" s="1045" t="s">
        <v>94</v>
      </c>
      <c r="C126" s="1048" t="s">
        <v>95</v>
      </c>
      <c r="D126" s="1051" t="s">
        <v>94</v>
      </c>
      <c r="E126" s="1053"/>
      <c r="F126" s="1444"/>
    </row>
    <row r="127" spans="1:6" ht="15.75" thickBot="1">
      <c r="A127" s="1025" t="s">
        <v>70</v>
      </c>
      <c r="B127" s="1026" t="s">
        <v>96</v>
      </c>
      <c r="C127" s="1026" t="s">
        <v>97</v>
      </c>
      <c r="D127" s="1026" t="s">
        <v>98</v>
      </c>
      <c r="E127" s="1026" t="s">
        <v>99</v>
      </c>
      <c r="F127" s="1026" t="s">
        <v>109</v>
      </c>
    </row>
    <row r="128" spans="1:6" ht="15.75" thickBot="1">
      <c r="A128" s="1025" t="s">
        <v>71</v>
      </c>
      <c r="B128" s="1026" t="s">
        <v>100</v>
      </c>
      <c r="C128" s="1026" t="s">
        <v>101</v>
      </c>
      <c r="D128" s="1026" t="s">
        <v>98</v>
      </c>
      <c r="E128" s="1026" t="s">
        <v>99</v>
      </c>
      <c r="F128" s="1026" t="s">
        <v>109</v>
      </c>
    </row>
    <row r="129" spans="1:6" ht="15.75" thickBot="1">
      <c r="A129" s="1025" t="s">
        <v>72</v>
      </c>
      <c r="B129" s="1026" t="s">
        <v>102</v>
      </c>
      <c r="C129" s="1026" t="s">
        <v>97</v>
      </c>
      <c r="D129" s="1026" t="s">
        <v>98</v>
      </c>
      <c r="E129" s="1026" t="s">
        <v>99</v>
      </c>
      <c r="F129" s="1026" t="s">
        <v>109</v>
      </c>
    </row>
    <row r="130" spans="1:6" ht="29.25" thickBot="1">
      <c r="A130" s="1025" t="s">
        <v>73</v>
      </c>
      <c r="B130" s="1026" t="s">
        <v>103</v>
      </c>
      <c r="C130" s="1026" t="s">
        <v>104</v>
      </c>
      <c r="D130" s="1026" t="s">
        <v>98</v>
      </c>
      <c r="E130" s="1026" t="s">
        <v>99</v>
      </c>
      <c r="F130" s="1026" t="s">
        <v>109</v>
      </c>
    </row>
    <row r="131" spans="1:6" ht="18.75">
      <c r="A131" s="1027"/>
    </row>
    <row r="132" spans="1:6">
      <c r="A132" s="1042" t="s">
        <v>105</v>
      </c>
    </row>
    <row r="133" spans="1:6">
      <c r="A133" s="1042" t="s">
        <v>76</v>
      </c>
    </row>
    <row r="134" spans="1:6">
      <c r="A134" s="1042" t="s">
        <v>106</v>
      </c>
    </row>
    <row r="135" spans="1:6">
      <c r="A135" s="1042" t="s">
        <v>107</v>
      </c>
    </row>
    <row r="136" spans="1:6" ht="15.75" thickBot="1"/>
    <row r="137" spans="1:6" ht="18" customHeight="1" thickBot="1">
      <c r="A137" s="1427" t="s">
        <v>112</v>
      </c>
      <c r="B137" s="1428"/>
      <c r="C137" s="1428"/>
      <c r="D137" s="1428"/>
      <c r="E137" s="1428"/>
      <c r="F137" s="1429"/>
    </row>
    <row r="138" spans="1:6" ht="74.25" customHeight="1">
      <c r="A138" s="1430" t="s">
        <v>62</v>
      </c>
      <c r="B138" s="1043" t="s">
        <v>87</v>
      </c>
      <c r="C138" s="1046" t="s">
        <v>87</v>
      </c>
      <c r="D138" s="1049" t="s">
        <v>88</v>
      </c>
      <c r="E138" s="1049" t="s">
        <v>89</v>
      </c>
      <c r="F138" s="1442" t="s">
        <v>90</v>
      </c>
    </row>
    <row r="139" spans="1:6" ht="39">
      <c r="A139" s="1431"/>
      <c r="B139" s="1044" t="s">
        <v>91</v>
      </c>
      <c r="C139" s="1047" t="s">
        <v>92</v>
      </c>
      <c r="D139" s="1050" t="s">
        <v>93</v>
      </c>
      <c r="E139" s="1052" t="s">
        <v>94</v>
      </c>
      <c r="F139" s="1443"/>
    </row>
    <row r="140" spans="1:6" ht="39.75" thickBot="1">
      <c r="A140" s="1432"/>
      <c r="B140" s="1045" t="s">
        <v>94</v>
      </c>
      <c r="C140" s="1048" t="s">
        <v>95</v>
      </c>
      <c r="D140" s="1051" t="s">
        <v>94</v>
      </c>
      <c r="E140" s="1053"/>
      <c r="F140" s="1444"/>
    </row>
    <row r="141" spans="1:6" ht="15.75" thickBot="1">
      <c r="A141" s="1025" t="s">
        <v>70</v>
      </c>
      <c r="B141" s="1026" t="s">
        <v>96</v>
      </c>
      <c r="C141" s="1026" t="s">
        <v>97</v>
      </c>
      <c r="D141" s="1026" t="s">
        <v>98</v>
      </c>
      <c r="E141" s="1026" t="s">
        <v>99</v>
      </c>
      <c r="F141" s="1026" t="s">
        <v>109</v>
      </c>
    </row>
    <row r="142" spans="1:6" ht="15.75" thickBot="1">
      <c r="A142" s="1025" t="s">
        <v>71</v>
      </c>
      <c r="B142" s="1026" t="s">
        <v>100</v>
      </c>
      <c r="C142" s="1026" t="s">
        <v>101</v>
      </c>
      <c r="D142" s="1026" t="s">
        <v>98</v>
      </c>
      <c r="E142" s="1026" t="s">
        <v>99</v>
      </c>
      <c r="F142" s="1026" t="s">
        <v>109</v>
      </c>
    </row>
    <row r="143" spans="1:6" ht="15.75" thickBot="1">
      <c r="A143" s="1025" t="s">
        <v>72</v>
      </c>
      <c r="B143" s="1026" t="s">
        <v>102</v>
      </c>
      <c r="C143" s="1026" t="s">
        <v>97</v>
      </c>
      <c r="D143" s="1026" t="s">
        <v>98</v>
      </c>
      <c r="E143" s="1026" t="s">
        <v>99</v>
      </c>
      <c r="F143" s="1026" t="s">
        <v>109</v>
      </c>
    </row>
    <row r="144" spans="1:6" ht="29.25" thickBot="1">
      <c r="A144" s="1025" t="s">
        <v>73</v>
      </c>
      <c r="B144" s="1026" t="s">
        <v>103</v>
      </c>
      <c r="C144" s="1026" t="s">
        <v>104</v>
      </c>
      <c r="D144" s="1026" t="s">
        <v>98</v>
      </c>
      <c r="E144" s="1026" t="s">
        <v>99</v>
      </c>
      <c r="F144" s="1026" t="s">
        <v>109</v>
      </c>
    </row>
    <row r="145" spans="1:8" ht="18.75">
      <c r="A145" s="1027"/>
    </row>
    <row r="146" spans="1:8">
      <c r="A146" s="1042" t="s">
        <v>105</v>
      </c>
    </row>
    <row r="147" spans="1:8">
      <c r="A147" s="1042" t="s">
        <v>76</v>
      </c>
    </row>
    <row r="148" spans="1:8">
      <c r="A148" s="1042" t="s">
        <v>106</v>
      </c>
    </row>
    <row r="149" spans="1:8">
      <c r="A149" s="1042" t="s">
        <v>107</v>
      </c>
    </row>
    <row r="150" spans="1:8" ht="15.75" thickBot="1"/>
    <row r="151" spans="1:8" ht="18" customHeight="1" thickBot="1">
      <c r="A151" s="1427" t="s">
        <v>113</v>
      </c>
      <c r="B151" s="1428"/>
      <c r="C151" s="1428"/>
      <c r="D151" s="1428"/>
      <c r="E151" s="1428"/>
      <c r="F151" s="1429"/>
    </row>
    <row r="152" spans="1:8" ht="110.25">
      <c r="A152" s="1430" t="s">
        <v>62</v>
      </c>
      <c r="B152" s="1043" t="s">
        <v>87</v>
      </c>
      <c r="C152" s="1046" t="s">
        <v>87</v>
      </c>
      <c r="D152" s="1049" t="s">
        <v>88</v>
      </c>
      <c r="E152" s="1049" t="s">
        <v>89</v>
      </c>
      <c r="F152" s="1442" t="s">
        <v>90</v>
      </c>
    </row>
    <row r="153" spans="1:8" ht="39">
      <c r="A153" s="1431"/>
      <c r="B153" s="1044" t="s">
        <v>91</v>
      </c>
      <c r="C153" s="1047" t="s">
        <v>92</v>
      </c>
      <c r="D153" s="1050" t="s">
        <v>93</v>
      </c>
      <c r="E153" s="1052" t="s">
        <v>94</v>
      </c>
      <c r="F153" s="1443"/>
    </row>
    <row r="154" spans="1:8" ht="39.75" thickBot="1">
      <c r="A154" s="1432"/>
      <c r="B154" s="1045" t="s">
        <v>94</v>
      </c>
      <c r="C154" s="1048" t="s">
        <v>95</v>
      </c>
      <c r="D154" s="1051" t="s">
        <v>94</v>
      </c>
      <c r="E154" s="1053"/>
      <c r="F154" s="1444"/>
    </row>
    <row r="155" spans="1:8" ht="15.75" thickBot="1">
      <c r="A155" s="1025" t="s">
        <v>70</v>
      </c>
      <c r="B155" s="1026" t="s">
        <v>96</v>
      </c>
      <c r="C155" s="1026" t="s">
        <v>97</v>
      </c>
      <c r="D155" s="1026" t="s">
        <v>98</v>
      </c>
      <c r="E155" s="1026" t="s">
        <v>99</v>
      </c>
      <c r="F155" s="1026" t="s">
        <v>114</v>
      </c>
      <c r="H155" s="1085" t="s">
        <v>115</v>
      </c>
    </row>
    <row r="156" spans="1:8" ht="15.75" thickBot="1">
      <c r="A156" s="1025" t="s">
        <v>71</v>
      </c>
      <c r="B156" s="1026" t="s">
        <v>100</v>
      </c>
      <c r="C156" s="1026" t="s">
        <v>101</v>
      </c>
      <c r="D156" s="1026" t="s">
        <v>98</v>
      </c>
      <c r="E156" s="1026" t="s">
        <v>99</v>
      </c>
      <c r="F156" s="1026" t="s">
        <v>114</v>
      </c>
    </row>
    <row r="157" spans="1:8" ht="15.75" thickBot="1">
      <c r="A157" s="1025" t="s">
        <v>72</v>
      </c>
      <c r="B157" s="1026" t="s">
        <v>102</v>
      </c>
      <c r="C157" s="1026" t="s">
        <v>97</v>
      </c>
      <c r="D157" s="1026" t="s">
        <v>98</v>
      </c>
      <c r="E157" s="1026" t="s">
        <v>99</v>
      </c>
      <c r="F157" s="1026" t="s">
        <v>114</v>
      </c>
    </row>
    <row r="158" spans="1:8" ht="29.25" thickBot="1">
      <c r="A158" s="1025" t="s">
        <v>73</v>
      </c>
      <c r="B158" s="1026" t="s">
        <v>103</v>
      </c>
      <c r="C158" s="1026" t="s">
        <v>104</v>
      </c>
      <c r="D158" s="1026" t="s">
        <v>98</v>
      </c>
      <c r="E158" s="1026" t="s">
        <v>99</v>
      </c>
      <c r="F158" s="1026" t="s">
        <v>114</v>
      </c>
    </row>
    <row r="159" spans="1:8" ht="18.75">
      <c r="A159" s="1027"/>
    </row>
    <row r="160" spans="1:8">
      <c r="A160" s="1042" t="s">
        <v>105</v>
      </c>
    </row>
    <row r="161" spans="1:6">
      <c r="A161" s="1042" t="s">
        <v>76</v>
      </c>
    </row>
    <row r="162" spans="1:6">
      <c r="A162" s="1042" t="s">
        <v>106</v>
      </c>
    </row>
    <row r="163" spans="1:6">
      <c r="A163" s="1042" t="s">
        <v>107</v>
      </c>
    </row>
    <row r="164" spans="1:6" ht="15.75" thickBot="1"/>
    <row r="165" spans="1:6" ht="18" customHeight="1" thickBot="1">
      <c r="A165" s="1427" t="s">
        <v>116</v>
      </c>
      <c r="B165" s="1428"/>
      <c r="C165" s="1428"/>
      <c r="D165" s="1428"/>
      <c r="E165" s="1428"/>
      <c r="F165" s="1429"/>
    </row>
    <row r="166" spans="1:6" ht="65.25" customHeight="1">
      <c r="A166" s="1430" t="s">
        <v>62</v>
      </c>
      <c r="B166" s="1043" t="s">
        <v>87</v>
      </c>
      <c r="C166" s="1046" t="s">
        <v>87</v>
      </c>
      <c r="D166" s="1049" t="s">
        <v>88</v>
      </c>
      <c r="E166" s="1049" t="s">
        <v>89</v>
      </c>
      <c r="F166" s="1442" t="s">
        <v>90</v>
      </c>
    </row>
    <row r="167" spans="1:6" ht="39">
      <c r="A167" s="1431"/>
      <c r="B167" s="1044" t="s">
        <v>91</v>
      </c>
      <c r="C167" s="1047" t="s">
        <v>92</v>
      </c>
      <c r="D167" s="1050" t="s">
        <v>93</v>
      </c>
      <c r="E167" s="1052" t="s">
        <v>94</v>
      </c>
      <c r="F167" s="1443"/>
    </row>
    <row r="168" spans="1:6" ht="39.75" thickBot="1">
      <c r="A168" s="1432"/>
      <c r="B168" s="1045" t="s">
        <v>94</v>
      </c>
      <c r="C168" s="1048" t="s">
        <v>95</v>
      </c>
      <c r="D168" s="1051" t="s">
        <v>94</v>
      </c>
      <c r="E168" s="1053"/>
      <c r="F168" s="1444"/>
    </row>
    <row r="169" spans="1:6" ht="15.75" thickBot="1">
      <c r="A169" s="1025" t="s">
        <v>70</v>
      </c>
      <c r="B169" s="1026" t="s">
        <v>96</v>
      </c>
      <c r="C169" s="1026" t="s">
        <v>97</v>
      </c>
      <c r="D169" s="1026" t="s">
        <v>98</v>
      </c>
      <c r="E169" s="1026" t="s">
        <v>99</v>
      </c>
      <c r="F169" s="1026" t="s">
        <v>114</v>
      </c>
    </row>
    <row r="170" spans="1:6" ht="15.75" thickBot="1">
      <c r="A170" s="1025" t="s">
        <v>71</v>
      </c>
      <c r="B170" s="1026" t="s">
        <v>100</v>
      </c>
      <c r="C170" s="1026" t="s">
        <v>101</v>
      </c>
      <c r="D170" s="1026" t="s">
        <v>98</v>
      </c>
      <c r="E170" s="1026" t="s">
        <v>99</v>
      </c>
      <c r="F170" s="1026" t="s">
        <v>114</v>
      </c>
    </row>
    <row r="171" spans="1:6" ht="15.75" thickBot="1">
      <c r="A171" s="1025" t="s">
        <v>72</v>
      </c>
      <c r="B171" s="1026" t="s">
        <v>102</v>
      </c>
      <c r="C171" s="1026" t="s">
        <v>97</v>
      </c>
      <c r="D171" s="1026" t="s">
        <v>98</v>
      </c>
      <c r="E171" s="1026" t="s">
        <v>99</v>
      </c>
      <c r="F171" s="1026" t="s">
        <v>114</v>
      </c>
    </row>
    <row r="172" spans="1:6" ht="29.25" thickBot="1">
      <c r="A172" s="1025" t="s">
        <v>73</v>
      </c>
      <c r="B172" s="1026" t="s">
        <v>103</v>
      </c>
      <c r="C172" s="1026" t="s">
        <v>104</v>
      </c>
      <c r="D172" s="1026" t="s">
        <v>98</v>
      </c>
      <c r="E172" s="1026" t="s">
        <v>99</v>
      </c>
      <c r="F172" s="1026" t="s">
        <v>114</v>
      </c>
    </row>
    <row r="173" spans="1:6" ht="18.75">
      <c r="A173" s="1027"/>
    </row>
    <row r="174" spans="1:6">
      <c r="A174" s="1042" t="s">
        <v>105</v>
      </c>
    </row>
    <row r="175" spans="1:6">
      <c r="A175" s="1042" t="s">
        <v>76</v>
      </c>
    </row>
    <row r="176" spans="1:6">
      <c r="A176" s="1042" t="s">
        <v>106</v>
      </c>
    </row>
    <row r="177" spans="1:6">
      <c r="A177" s="1042" t="s">
        <v>107</v>
      </c>
    </row>
    <row r="178" spans="1:6" ht="15.75" thickBot="1"/>
    <row r="179" spans="1:6" ht="18" customHeight="1" thickBot="1">
      <c r="A179" s="1427" t="s">
        <v>117</v>
      </c>
      <c r="B179" s="1428"/>
      <c r="C179" s="1428"/>
      <c r="D179" s="1428"/>
      <c r="E179" s="1428"/>
      <c r="F179" s="1429"/>
    </row>
    <row r="180" spans="1:6" ht="68.25" customHeight="1">
      <c r="A180" s="1430" t="s">
        <v>62</v>
      </c>
      <c r="B180" s="1043" t="s">
        <v>87</v>
      </c>
      <c r="C180" s="1046" t="s">
        <v>87</v>
      </c>
      <c r="D180" s="1049" t="s">
        <v>88</v>
      </c>
      <c r="E180" s="1049" t="s">
        <v>89</v>
      </c>
      <c r="F180" s="1442" t="s">
        <v>90</v>
      </c>
    </row>
    <row r="181" spans="1:6" ht="39">
      <c r="A181" s="1431"/>
      <c r="B181" s="1044" t="s">
        <v>91</v>
      </c>
      <c r="C181" s="1047" t="s">
        <v>92</v>
      </c>
      <c r="D181" s="1050" t="s">
        <v>93</v>
      </c>
      <c r="E181" s="1052" t="s">
        <v>94</v>
      </c>
      <c r="F181" s="1443"/>
    </row>
    <row r="182" spans="1:6" ht="39.75" thickBot="1">
      <c r="A182" s="1432"/>
      <c r="B182" s="1045" t="s">
        <v>94</v>
      </c>
      <c r="C182" s="1048" t="s">
        <v>95</v>
      </c>
      <c r="D182" s="1051" t="s">
        <v>94</v>
      </c>
      <c r="E182" s="1053"/>
      <c r="F182" s="1444"/>
    </row>
    <row r="183" spans="1:6" ht="15.75" thickBot="1">
      <c r="A183" s="1025" t="s">
        <v>70</v>
      </c>
      <c r="B183" s="1026" t="s">
        <v>96</v>
      </c>
      <c r="C183" s="1026" t="s">
        <v>97</v>
      </c>
      <c r="D183" s="1026" t="s">
        <v>98</v>
      </c>
      <c r="E183" s="1026" t="s">
        <v>99</v>
      </c>
      <c r="F183" s="1026" t="s">
        <v>114</v>
      </c>
    </row>
    <row r="184" spans="1:6" ht="15.75" thickBot="1">
      <c r="A184" s="1025" t="s">
        <v>71</v>
      </c>
      <c r="B184" s="1026" t="s">
        <v>100</v>
      </c>
      <c r="C184" s="1026" t="s">
        <v>101</v>
      </c>
      <c r="D184" s="1026" t="s">
        <v>98</v>
      </c>
      <c r="E184" s="1026" t="s">
        <v>99</v>
      </c>
      <c r="F184" s="1026" t="s">
        <v>114</v>
      </c>
    </row>
    <row r="185" spans="1:6" ht="15.75" thickBot="1">
      <c r="A185" s="1025" t="s">
        <v>72</v>
      </c>
      <c r="B185" s="1026" t="s">
        <v>102</v>
      </c>
      <c r="C185" s="1026" t="s">
        <v>97</v>
      </c>
      <c r="D185" s="1026" t="s">
        <v>98</v>
      </c>
      <c r="E185" s="1026" t="s">
        <v>99</v>
      </c>
      <c r="F185" s="1026" t="s">
        <v>114</v>
      </c>
    </row>
    <row r="186" spans="1:6" ht="29.25" thickBot="1">
      <c r="A186" s="1025" t="s">
        <v>73</v>
      </c>
      <c r="B186" s="1026" t="s">
        <v>103</v>
      </c>
      <c r="C186" s="1026" t="s">
        <v>104</v>
      </c>
      <c r="D186" s="1026" t="s">
        <v>98</v>
      </c>
      <c r="E186" s="1026" t="s">
        <v>99</v>
      </c>
      <c r="F186" s="1026" t="s">
        <v>114</v>
      </c>
    </row>
    <row r="188" spans="1:6">
      <c r="A188" s="1171" t="s">
        <v>105</v>
      </c>
    </row>
    <row r="189" spans="1:6">
      <c r="A189" s="1171" t="s">
        <v>76</v>
      </c>
    </row>
    <row r="190" spans="1:6">
      <c r="A190" s="1171" t="s">
        <v>106</v>
      </c>
    </row>
    <row r="191" spans="1:6">
      <c r="A191" s="1171" t="s">
        <v>107</v>
      </c>
    </row>
    <row r="192" spans="1:6" ht="15.75" thickBot="1"/>
    <row r="193" spans="1:6" ht="18" customHeight="1" thickBot="1">
      <c r="A193" s="1427" t="s">
        <v>757</v>
      </c>
      <c r="B193" s="1428"/>
      <c r="C193" s="1428"/>
      <c r="D193" s="1428"/>
      <c r="E193" s="1428"/>
      <c r="F193" s="1429"/>
    </row>
    <row r="194" spans="1:6" ht="66" customHeight="1">
      <c r="A194" s="1430" t="s">
        <v>62</v>
      </c>
      <c r="B194" s="1043" t="s">
        <v>87</v>
      </c>
      <c r="C194" s="1046" t="s">
        <v>87</v>
      </c>
      <c r="D194" s="1049" t="s">
        <v>88</v>
      </c>
      <c r="E194" s="1049" t="s">
        <v>89</v>
      </c>
      <c r="F194" s="1442" t="s">
        <v>90</v>
      </c>
    </row>
    <row r="195" spans="1:6" ht="39">
      <c r="A195" s="1431"/>
      <c r="B195" s="1044" t="s">
        <v>91</v>
      </c>
      <c r="C195" s="1047" t="s">
        <v>92</v>
      </c>
      <c r="D195" s="1050" t="s">
        <v>93</v>
      </c>
      <c r="E195" s="1052" t="s">
        <v>94</v>
      </c>
      <c r="F195" s="1443"/>
    </row>
    <row r="196" spans="1:6" ht="39.75" thickBot="1">
      <c r="A196" s="1432"/>
      <c r="B196" s="1045" t="s">
        <v>94</v>
      </c>
      <c r="C196" s="1048" t="s">
        <v>95</v>
      </c>
      <c r="D196" s="1051" t="s">
        <v>94</v>
      </c>
      <c r="E196" s="1053"/>
      <c r="F196" s="1444"/>
    </row>
    <row r="197" spans="1:6" ht="15.75" thickBot="1">
      <c r="A197" s="1025" t="s">
        <v>70</v>
      </c>
      <c r="B197" s="1026" t="s">
        <v>96</v>
      </c>
      <c r="C197" s="1026" t="s">
        <v>97</v>
      </c>
      <c r="D197" s="1026" t="s">
        <v>98</v>
      </c>
      <c r="E197" s="1026" t="s">
        <v>99</v>
      </c>
      <c r="F197" s="1026" t="s">
        <v>758</v>
      </c>
    </row>
    <row r="198" spans="1:6" ht="15.75" thickBot="1">
      <c r="A198" s="1025" t="s">
        <v>71</v>
      </c>
      <c r="B198" s="1026" t="s">
        <v>100</v>
      </c>
      <c r="C198" s="1026" t="s">
        <v>101</v>
      </c>
      <c r="D198" s="1026" t="s">
        <v>98</v>
      </c>
      <c r="E198" s="1026" t="s">
        <v>99</v>
      </c>
      <c r="F198" s="1026" t="s">
        <v>758</v>
      </c>
    </row>
    <row r="199" spans="1:6" ht="15.75" thickBot="1">
      <c r="A199" s="1025" t="s">
        <v>72</v>
      </c>
      <c r="B199" s="1026" t="s">
        <v>102</v>
      </c>
      <c r="C199" s="1026" t="s">
        <v>97</v>
      </c>
      <c r="D199" s="1026" t="s">
        <v>98</v>
      </c>
      <c r="E199" s="1026" t="s">
        <v>99</v>
      </c>
      <c r="F199" s="1026" t="s">
        <v>758</v>
      </c>
    </row>
    <row r="200" spans="1:6" ht="29.25" thickBot="1">
      <c r="A200" s="1025" t="s">
        <v>73</v>
      </c>
      <c r="B200" s="1026" t="s">
        <v>103</v>
      </c>
      <c r="C200" s="1026" t="s">
        <v>104</v>
      </c>
      <c r="D200" s="1026" t="s">
        <v>98</v>
      </c>
      <c r="E200" s="1026" t="s">
        <v>99</v>
      </c>
      <c r="F200" s="1026" t="s">
        <v>758</v>
      </c>
    </row>
    <row r="201" spans="1:6" ht="18.75">
      <c r="A201" s="1027"/>
    </row>
    <row r="202" spans="1:6">
      <c r="A202" s="1042" t="s">
        <v>105</v>
      </c>
    </row>
    <row r="203" spans="1:6">
      <c r="A203" s="1042" t="s">
        <v>76</v>
      </c>
    </row>
    <row r="204" spans="1:6">
      <c r="A204" s="1042" t="s">
        <v>106</v>
      </c>
    </row>
    <row r="205" spans="1:6">
      <c r="A205" s="1042" t="s">
        <v>107</v>
      </c>
    </row>
    <row r="206" spans="1:6" ht="15.75" thickBot="1"/>
    <row r="207" spans="1:6" ht="18" customHeight="1" thickBot="1">
      <c r="A207" s="1427" t="s">
        <v>801</v>
      </c>
      <c r="B207" s="1428"/>
      <c r="C207" s="1428"/>
      <c r="D207" s="1428"/>
      <c r="E207" s="1428"/>
      <c r="F207" s="1429"/>
    </row>
    <row r="208" spans="1:6" ht="110.25">
      <c r="A208" s="1430" t="s">
        <v>62</v>
      </c>
      <c r="B208" s="1043" t="s">
        <v>87</v>
      </c>
      <c r="C208" s="1046" t="s">
        <v>87</v>
      </c>
      <c r="D208" s="1049" t="s">
        <v>88</v>
      </c>
      <c r="E208" s="1049" t="s">
        <v>89</v>
      </c>
      <c r="F208" s="1442" t="s">
        <v>90</v>
      </c>
    </row>
    <row r="209" spans="1:6" ht="39">
      <c r="A209" s="1431"/>
      <c r="B209" s="1044" t="s">
        <v>91</v>
      </c>
      <c r="C209" s="1047" t="s">
        <v>92</v>
      </c>
      <c r="D209" s="1050" t="s">
        <v>93</v>
      </c>
      <c r="E209" s="1052" t="s">
        <v>94</v>
      </c>
      <c r="F209" s="1443"/>
    </row>
    <row r="210" spans="1:6" ht="39.75" thickBot="1">
      <c r="A210" s="1432"/>
      <c r="B210" s="1045" t="s">
        <v>94</v>
      </c>
      <c r="C210" s="1048" t="s">
        <v>95</v>
      </c>
      <c r="D210" s="1051" t="s">
        <v>94</v>
      </c>
      <c r="E210" s="1053"/>
      <c r="F210" s="1444"/>
    </row>
    <row r="211" spans="1:6" ht="15.75" thickBot="1">
      <c r="A211" s="1025" t="s">
        <v>70</v>
      </c>
      <c r="B211" s="1026" t="s">
        <v>96</v>
      </c>
      <c r="C211" s="1026" t="s">
        <v>97</v>
      </c>
      <c r="D211" s="1026" t="s">
        <v>98</v>
      </c>
      <c r="E211" s="1026" t="s">
        <v>99</v>
      </c>
      <c r="F211" s="1246" t="s">
        <v>802</v>
      </c>
    </row>
    <row r="212" spans="1:6" ht="15.75" thickBot="1">
      <c r="A212" s="1025" t="s">
        <v>71</v>
      </c>
      <c r="B212" s="1026" t="s">
        <v>100</v>
      </c>
      <c r="C212" s="1026" t="s">
        <v>101</v>
      </c>
      <c r="D212" s="1026" t="s">
        <v>98</v>
      </c>
      <c r="E212" s="1026" t="s">
        <v>99</v>
      </c>
      <c r="F212" s="1246" t="s">
        <v>802</v>
      </c>
    </row>
    <row r="213" spans="1:6" ht="15.75" thickBot="1">
      <c r="A213" s="1025" t="s">
        <v>72</v>
      </c>
      <c r="B213" s="1026" t="s">
        <v>102</v>
      </c>
      <c r="C213" s="1026" t="s">
        <v>97</v>
      </c>
      <c r="D213" s="1026" t="s">
        <v>98</v>
      </c>
      <c r="E213" s="1026" t="s">
        <v>99</v>
      </c>
      <c r="F213" s="1246" t="s">
        <v>802</v>
      </c>
    </row>
    <row r="214" spans="1:6" ht="29.25" thickBot="1">
      <c r="A214" s="1025" t="s">
        <v>73</v>
      </c>
      <c r="B214" s="1026" t="s">
        <v>103</v>
      </c>
      <c r="C214" s="1026" t="s">
        <v>104</v>
      </c>
      <c r="D214" s="1026" t="s">
        <v>98</v>
      </c>
      <c r="E214" s="1026" t="s">
        <v>99</v>
      </c>
      <c r="F214" s="1246" t="s">
        <v>802</v>
      </c>
    </row>
    <row r="215" spans="1:6" ht="18.75">
      <c r="A215" s="1027"/>
    </row>
    <row r="216" spans="1:6" ht="168.75">
      <c r="A216" s="1245" t="s">
        <v>105</v>
      </c>
    </row>
    <row r="217" spans="1:6" ht="56.25">
      <c r="A217" s="1245" t="s">
        <v>76</v>
      </c>
    </row>
    <row r="218" spans="1:6" ht="180">
      <c r="A218" s="1245" t="s">
        <v>106</v>
      </c>
    </row>
    <row r="219" spans="1:6" ht="135">
      <c r="A219" s="1245" t="s">
        <v>107</v>
      </c>
    </row>
    <row r="220" spans="1:6" ht="15.75" thickBot="1"/>
    <row r="221" spans="1:6" ht="18" customHeight="1" thickBot="1">
      <c r="A221" s="1427" t="s">
        <v>801</v>
      </c>
      <c r="B221" s="1428"/>
      <c r="C221" s="1428"/>
      <c r="D221" s="1428"/>
      <c r="E221" s="1428"/>
      <c r="F221" s="1429"/>
    </row>
    <row r="222" spans="1:6" ht="110.25">
      <c r="A222" s="1430" t="s">
        <v>62</v>
      </c>
      <c r="B222" s="1043" t="s">
        <v>87</v>
      </c>
      <c r="C222" s="1046" t="s">
        <v>87</v>
      </c>
      <c r="D222" s="1049" t="s">
        <v>88</v>
      </c>
      <c r="E222" s="1049" t="s">
        <v>89</v>
      </c>
      <c r="F222" s="1442" t="s">
        <v>90</v>
      </c>
    </row>
    <row r="223" spans="1:6" ht="39">
      <c r="A223" s="1431"/>
      <c r="B223" s="1044" t="s">
        <v>91</v>
      </c>
      <c r="C223" s="1047" t="s">
        <v>92</v>
      </c>
      <c r="D223" s="1050" t="s">
        <v>93</v>
      </c>
      <c r="E223" s="1052" t="s">
        <v>94</v>
      </c>
      <c r="F223" s="1443"/>
    </row>
    <row r="224" spans="1:6" ht="39.75" thickBot="1">
      <c r="A224" s="1432"/>
      <c r="B224" s="1045" t="s">
        <v>94</v>
      </c>
      <c r="C224" s="1048" t="s">
        <v>95</v>
      </c>
      <c r="D224" s="1051" t="s">
        <v>94</v>
      </c>
      <c r="E224" s="1053"/>
      <c r="F224" s="1444"/>
    </row>
    <row r="225" spans="1:6" ht="15.75" thickBot="1">
      <c r="A225" s="1025" t="s">
        <v>70</v>
      </c>
      <c r="B225" s="1026" t="s">
        <v>96</v>
      </c>
      <c r="C225" s="1026" t="s">
        <v>97</v>
      </c>
      <c r="D225" s="1026" t="s">
        <v>98</v>
      </c>
      <c r="E225" s="1026" t="s">
        <v>99</v>
      </c>
      <c r="F225" s="1026" t="s">
        <v>802</v>
      </c>
    </row>
    <row r="226" spans="1:6" ht="15.75" thickBot="1">
      <c r="A226" s="1025" t="s">
        <v>71</v>
      </c>
      <c r="B226" s="1026" t="s">
        <v>100</v>
      </c>
      <c r="C226" s="1026" t="s">
        <v>101</v>
      </c>
      <c r="D226" s="1026" t="s">
        <v>98</v>
      </c>
      <c r="E226" s="1026" t="s">
        <v>99</v>
      </c>
      <c r="F226" s="1026" t="s">
        <v>802</v>
      </c>
    </row>
    <row r="227" spans="1:6" ht="15.75" thickBot="1">
      <c r="A227" s="1025" t="s">
        <v>72</v>
      </c>
      <c r="B227" s="1026" t="s">
        <v>102</v>
      </c>
      <c r="C227" s="1026" t="s">
        <v>97</v>
      </c>
      <c r="D227" s="1026" t="s">
        <v>98</v>
      </c>
      <c r="E227" s="1026" t="s">
        <v>99</v>
      </c>
      <c r="F227" s="1026" t="s">
        <v>802</v>
      </c>
    </row>
    <row r="228" spans="1:6" ht="29.25" thickBot="1">
      <c r="A228" s="1025" t="s">
        <v>73</v>
      </c>
      <c r="B228" s="1026" t="s">
        <v>103</v>
      </c>
      <c r="C228" s="1026" t="s">
        <v>104</v>
      </c>
      <c r="D228" s="1026" t="s">
        <v>98</v>
      </c>
      <c r="E228" s="1026" t="s">
        <v>99</v>
      </c>
      <c r="F228" s="1026" t="s">
        <v>802</v>
      </c>
    </row>
  </sheetData>
  <mergeCells count="78">
    <mergeCell ref="A221:F221"/>
    <mergeCell ref="A222:A224"/>
    <mergeCell ref="F222:F224"/>
    <mergeCell ref="A207:F207"/>
    <mergeCell ref="A208:A210"/>
    <mergeCell ref="F208:F210"/>
    <mergeCell ref="A137:F137"/>
    <mergeCell ref="A193:F193"/>
    <mergeCell ref="A194:A196"/>
    <mergeCell ref="F194:F196"/>
    <mergeCell ref="A179:F179"/>
    <mergeCell ref="A180:A182"/>
    <mergeCell ref="F180:F182"/>
    <mergeCell ref="A165:F165"/>
    <mergeCell ref="A166:A168"/>
    <mergeCell ref="F166:F168"/>
    <mergeCell ref="A151:F151"/>
    <mergeCell ref="A152:A154"/>
    <mergeCell ref="F152:F154"/>
    <mergeCell ref="A138:A140"/>
    <mergeCell ref="F138:F140"/>
    <mergeCell ref="A80:F80"/>
    <mergeCell ref="A81:A82"/>
    <mergeCell ref="E81:E82"/>
    <mergeCell ref="F81:F82"/>
    <mergeCell ref="A41:F41"/>
    <mergeCell ref="A48:F48"/>
    <mergeCell ref="A74:F74"/>
    <mergeCell ref="A49:F49"/>
    <mergeCell ref="A50:F50"/>
    <mergeCell ref="A67:F67"/>
    <mergeCell ref="A68:A69"/>
    <mergeCell ref="E68:E69"/>
    <mergeCell ref="F68:F69"/>
    <mergeCell ref="A54:F54"/>
    <mergeCell ref="A51:F51"/>
    <mergeCell ref="A52:F52"/>
    <mergeCell ref="A55:A56"/>
    <mergeCell ref="E55:E56"/>
    <mergeCell ref="F55:F56"/>
    <mergeCell ref="A23:F23"/>
    <mergeCell ref="A24:F24"/>
    <mergeCell ref="A42:A43"/>
    <mergeCell ref="E42:E43"/>
    <mergeCell ref="F42:F43"/>
    <mergeCell ref="A25:F25"/>
    <mergeCell ref="A26:F26"/>
    <mergeCell ref="A27:F27"/>
    <mergeCell ref="A37:F37"/>
    <mergeCell ref="A29:F29"/>
    <mergeCell ref="A30:A31"/>
    <mergeCell ref="E30:E31"/>
    <mergeCell ref="F30:F31"/>
    <mergeCell ref="A36:F36"/>
    <mergeCell ref="A38:F38"/>
    <mergeCell ref="A39:F39"/>
    <mergeCell ref="A11:F11"/>
    <mergeCell ref="A16:F16"/>
    <mergeCell ref="A17:A18"/>
    <mergeCell ref="E17:E18"/>
    <mergeCell ref="F17:F18"/>
    <mergeCell ref="A12:F12"/>
    <mergeCell ref="A13:F13"/>
    <mergeCell ref="A14:F14"/>
    <mergeCell ref="A3:F3"/>
    <mergeCell ref="A4:A5"/>
    <mergeCell ref="E4:E5"/>
    <mergeCell ref="F4:F5"/>
    <mergeCell ref="A10:F10"/>
    <mergeCell ref="A123:F123"/>
    <mergeCell ref="A124:A126"/>
    <mergeCell ref="A94:F94"/>
    <mergeCell ref="A95:A97"/>
    <mergeCell ref="F95:F97"/>
    <mergeCell ref="A109:A111"/>
    <mergeCell ref="F109:F111"/>
    <mergeCell ref="A108:F108"/>
    <mergeCell ref="F124:F126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0.499984740745262"/>
  </sheetPr>
  <dimension ref="A1:EX1048574"/>
  <sheetViews>
    <sheetView showGridLines="0" tabSelected="1" zoomScaleNormal="100" workbookViewId="0">
      <pane xSplit="3" ySplit="11" topLeftCell="AW25" activePane="bottomRight" state="frozen"/>
      <selection pane="topRight" activeCell="D1" sqref="D1"/>
      <selection pane="bottomLeft" activeCell="A12" sqref="A12"/>
      <selection pane="bottomRight" activeCell="BE54" sqref="BE54"/>
    </sheetView>
  </sheetViews>
  <sheetFormatPr baseColWidth="10" defaultColWidth="9.140625" defaultRowHeight="12"/>
  <cols>
    <col min="1" max="1" width="10.5703125" style="598" bestFit="1" customWidth="1"/>
    <col min="2" max="2" width="4.28515625" style="589" customWidth="1"/>
    <col min="3" max="3" width="44.7109375" style="589" customWidth="1"/>
    <col min="4" max="4" width="11.5703125" style="589" bestFit="1" customWidth="1"/>
    <col min="5" max="5" width="14.140625" style="589" customWidth="1"/>
    <col min="6" max="6" width="10.85546875" style="589" customWidth="1"/>
    <col min="7" max="7" width="11.85546875" style="589" customWidth="1"/>
    <col min="8" max="8" width="51.42578125" style="589" customWidth="1"/>
    <col min="9" max="9" width="19.7109375" style="589" customWidth="1"/>
    <col min="10" max="10" width="12.7109375" style="589" customWidth="1"/>
    <col min="11" max="11" width="9.85546875" style="589" customWidth="1"/>
    <col min="12" max="13" width="5.7109375" style="589" customWidth="1"/>
    <col min="14" max="17" width="7.7109375" style="589" customWidth="1"/>
    <col min="18" max="18" width="12.7109375" style="589" customWidth="1"/>
    <col min="19" max="19" width="10.85546875" style="744" customWidth="1"/>
    <col min="20" max="20" width="10.85546875" style="589" customWidth="1"/>
    <col min="21" max="21" width="13.140625" style="589" customWidth="1"/>
    <col min="22" max="22" width="13.85546875" style="589" customWidth="1"/>
    <col min="23" max="23" width="11.5703125" style="589" customWidth="1"/>
    <col min="24" max="24" width="8.28515625" style="589" customWidth="1"/>
    <col min="25" max="25" width="10.5703125" style="589" customWidth="1"/>
    <col min="26" max="26" width="8.5703125" style="589" customWidth="1"/>
    <col min="27" max="28" width="11.28515625" style="589" customWidth="1"/>
    <col min="29" max="29" width="14.140625" style="589" customWidth="1"/>
    <col min="30" max="30" width="9.85546875" style="589" bestFit="1" customWidth="1"/>
    <col min="31" max="31" width="12.42578125" style="589" customWidth="1"/>
    <col min="32" max="32" width="12.7109375" style="589" bestFit="1" customWidth="1"/>
    <col min="33" max="33" width="11" style="589" bestFit="1" customWidth="1"/>
    <col min="34" max="34" width="10.140625" style="589" customWidth="1"/>
    <col min="35" max="35" width="8.28515625" style="589" customWidth="1"/>
    <col min="36" max="36" width="9.5703125" style="589" customWidth="1"/>
    <col min="37" max="37" width="10.140625" style="589" customWidth="1"/>
    <col min="38" max="38" width="8" style="589" customWidth="1"/>
    <col min="39" max="39" width="12.7109375" style="589" customWidth="1"/>
    <col min="40" max="40" width="13.7109375" style="599" customWidth="1"/>
    <col min="41" max="41" width="6.7109375" style="589" customWidth="1"/>
    <col min="42" max="42" width="13.28515625" style="589" customWidth="1"/>
    <col min="43" max="43" width="10.5703125" style="589" customWidth="1"/>
    <col min="44" max="44" width="12.85546875" style="589" customWidth="1"/>
    <col min="45" max="45" width="11.42578125" style="589" customWidth="1"/>
    <col min="46" max="46" width="11" style="589" customWidth="1"/>
    <col min="47" max="47" width="9.7109375" style="589" customWidth="1"/>
    <col min="48" max="48" width="16" style="589" customWidth="1"/>
    <col min="49" max="50" width="11.42578125" style="589" customWidth="1"/>
    <col min="51" max="51" width="8.28515625" style="589" customWidth="1"/>
    <col min="52" max="52" width="8" style="589" customWidth="1"/>
    <col min="53" max="53" width="11.85546875" style="589" customWidth="1"/>
    <col min="54" max="54" width="12.7109375" style="589" customWidth="1"/>
    <col min="55" max="55" width="10.5703125" style="589" customWidth="1"/>
    <col min="56" max="56" width="11.28515625" style="589" customWidth="1"/>
    <col min="57" max="57" width="12.85546875" style="589" customWidth="1"/>
    <col min="58" max="58" width="10.85546875" style="589" customWidth="1"/>
    <col min="59" max="59" width="9.5703125" style="589" customWidth="1"/>
    <col min="60" max="60" width="13.42578125" style="589" customWidth="1"/>
    <col min="61" max="61" width="12.42578125" style="589" customWidth="1"/>
    <col min="62" max="62" width="16.42578125" style="825" customWidth="1"/>
    <col min="63" max="63" width="7.7109375" style="589" customWidth="1"/>
    <col min="64" max="64" width="11" style="589" bestFit="1" customWidth="1"/>
    <col min="65" max="65" width="10.28515625" style="744" bestFit="1" customWidth="1"/>
    <col min="66" max="66" width="10.7109375" style="744" bestFit="1" customWidth="1"/>
    <col min="67" max="67" width="7.7109375" style="589" customWidth="1"/>
    <col min="68" max="68" width="9" style="589" customWidth="1"/>
    <col min="69" max="69" width="11.28515625" style="589" bestFit="1" customWidth="1"/>
    <col min="70" max="70" width="3.42578125" style="589" customWidth="1"/>
    <col min="71" max="71" width="9.140625" style="836" customWidth="1"/>
    <col min="72" max="72" width="13.7109375" style="836" bestFit="1" customWidth="1"/>
    <col min="73" max="73" width="10" style="836" customWidth="1"/>
    <col min="74" max="74" width="14.7109375" style="589" customWidth="1"/>
    <col min="75" max="75" width="10.7109375" style="589" bestFit="1" customWidth="1"/>
    <col min="76" max="77" width="9.42578125" style="589" customWidth="1"/>
    <col min="78" max="78" width="10.140625" style="589" customWidth="1"/>
    <col min="79" max="79" width="10" style="589" customWidth="1"/>
    <col min="80" max="16384" width="9.140625" style="589"/>
  </cols>
  <sheetData>
    <row r="1" spans="1:154" s="543" customFormat="1">
      <c r="A1" s="546"/>
      <c r="B1" s="543">
        <v>1</v>
      </c>
      <c r="C1" s="543">
        <v>2</v>
      </c>
      <c r="I1" s="543">
        <v>6</v>
      </c>
      <c r="R1" s="543">
        <v>14</v>
      </c>
      <c r="W1" s="543">
        <v>16</v>
      </c>
      <c r="X1" s="543">
        <v>17</v>
      </c>
      <c r="Y1" s="543">
        <v>18</v>
      </c>
      <c r="Z1" s="543">
        <v>19</v>
      </c>
      <c r="AA1" s="543">
        <v>20</v>
      </c>
      <c r="AD1" s="543">
        <v>21</v>
      </c>
      <c r="AF1" s="543">
        <v>22</v>
      </c>
      <c r="AK1" s="543">
        <v>24</v>
      </c>
      <c r="AL1" s="543">
        <v>25</v>
      </c>
      <c r="AM1" s="543">
        <v>26</v>
      </c>
      <c r="AN1" s="547">
        <v>27</v>
      </c>
      <c r="AO1" s="543">
        <v>28</v>
      </c>
      <c r="AP1" s="543">
        <v>29</v>
      </c>
      <c r="AQ1" s="543">
        <v>30</v>
      </c>
      <c r="AR1" s="543">
        <v>31</v>
      </c>
      <c r="AS1" s="543">
        <v>32</v>
      </c>
      <c r="AT1" s="543">
        <v>33</v>
      </c>
      <c r="AU1" s="543">
        <v>34</v>
      </c>
      <c r="AV1" s="543">
        <v>35</v>
      </c>
      <c r="AW1" s="543">
        <v>36</v>
      </c>
      <c r="AX1" s="543">
        <v>37</v>
      </c>
      <c r="BB1" s="544">
        <v>39</v>
      </c>
      <c r="BC1" s="544"/>
      <c r="BD1" s="544"/>
      <c r="BE1" s="544"/>
      <c r="BF1" s="544"/>
      <c r="BI1" s="543">
        <v>41</v>
      </c>
      <c r="BJ1" s="547">
        <v>42</v>
      </c>
      <c r="BK1" s="543">
        <v>43</v>
      </c>
      <c r="BL1" s="543">
        <v>44</v>
      </c>
      <c r="BO1" s="545">
        <v>48</v>
      </c>
      <c r="BP1" s="545"/>
      <c r="BQ1" s="545"/>
      <c r="BS1" s="543">
        <v>75</v>
      </c>
      <c r="BT1" s="543">
        <v>76</v>
      </c>
      <c r="BU1" s="543">
        <v>77</v>
      </c>
      <c r="BV1" s="543">
        <v>78</v>
      </c>
      <c r="BW1" s="543">
        <v>79</v>
      </c>
      <c r="BX1" s="543">
        <v>80</v>
      </c>
      <c r="BY1" s="543">
        <v>81</v>
      </c>
      <c r="BZ1" s="543">
        <v>82</v>
      </c>
      <c r="CA1" s="543">
        <v>83</v>
      </c>
      <c r="CB1" s="543">
        <v>84</v>
      </c>
      <c r="CC1" s="543">
        <v>85</v>
      </c>
      <c r="CD1" s="543">
        <v>86</v>
      </c>
      <c r="CE1" s="543">
        <v>87</v>
      </c>
      <c r="CF1" s="543">
        <v>88</v>
      </c>
      <c r="CG1" s="543">
        <v>89</v>
      </c>
      <c r="CH1" s="543">
        <v>90</v>
      </c>
      <c r="CI1" s="543">
        <v>91</v>
      </c>
      <c r="CJ1" s="543">
        <v>92</v>
      </c>
      <c r="CK1" s="543">
        <v>93</v>
      </c>
      <c r="CL1" s="543">
        <v>94</v>
      </c>
      <c r="CM1" s="543">
        <v>95</v>
      </c>
      <c r="CN1" s="543">
        <v>96</v>
      </c>
      <c r="CO1" s="543">
        <v>97</v>
      </c>
      <c r="CP1" s="543">
        <v>98</v>
      </c>
      <c r="CQ1" s="543">
        <v>99</v>
      </c>
      <c r="CR1" s="543">
        <v>100</v>
      </c>
      <c r="CS1" s="543">
        <v>101</v>
      </c>
      <c r="CT1" s="543">
        <v>102</v>
      </c>
      <c r="CU1" s="543">
        <v>103</v>
      </c>
      <c r="CV1" s="543">
        <v>104</v>
      </c>
      <c r="CW1" s="543">
        <v>105</v>
      </c>
      <c r="CX1" s="543">
        <v>106</v>
      </c>
      <c r="CY1" s="543">
        <v>107</v>
      </c>
      <c r="CZ1" s="543">
        <v>108</v>
      </c>
      <c r="DA1" s="543">
        <v>109</v>
      </c>
      <c r="DB1" s="543">
        <v>110</v>
      </c>
      <c r="DC1" s="543">
        <v>111</v>
      </c>
      <c r="DD1" s="543">
        <v>112</v>
      </c>
      <c r="DE1" s="543">
        <v>113</v>
      </c>
      <c r="DF1" s="543">
        <v>114</v>
      </c>
      <c r="DG1" s="543">
        <v>115</v>
      </c>
      <c r="DH1" s="543">
        <v>116</v>
      </c>
      <c r="DI1" s="543">
        <v>117</v>
      </c>
      <c r="DJ1" s="543">
        <v>118</v>
      </c>
      <c r="DK1" s="543">
        <v>119</v>
      </c>
      <c r="DL1" s="543">
        <v>120</v>
      </c>
      <c r="DM1" s="543">
        <v>121</v>
      </c>
      <c r="DN1" s="543">
        <v>122</v>
      </c>
      <c r="DO1" s="543">
        <v>123</v>
      </c>
      <c r="DP1" s="543">
        <v>124</v>
      </c>
      <c r="DQ1" s="543">
        <v>125</v>
      </c>
      <c r="DR1" s="543">
        <v>126</v>
      </c>
      <c r="DS1" s="543">
        <v>127</v>
      </c>
      <c r="DT1" s="543">
        <v>128</v>
      </c>
      <c r="DU1" s="543">
        <v>129</v>
      </c>
      <c r="DV1" s="543">
        <v>130</v>
      </c>
      <c r="DW1" s="543">
        <v>131</v>
      </c>
      <c r="DX1" s="543">
        <v>132</v>
      </c>
      <c r="DY1" s="543">
        <v>133</v>
      </c>
      <c r="DZ1" s="543">
        <v>134</v>
      </c>
      <c r="EA1" s="543">
        <v>135</v>
      </c>
      <c r="EB1" s="543">
        <v>136</v>
      </c>
      <c r="EC1" s="543">
        <v>137</v>
      </c>
      <c r="ED1" s="543">
        <v>138</v>
      </c>
      <c r="EE1" s="543">
        <v>139</v>
      </c>
      <c r="EF1" s="543">
        <v>140</v>
      </c>
      <c r="EG1" s="543">
        <v>141</v>
      </c>
      <c r="EH1" s="543">
        <v>142</v>
      </c>
      <c r="EI1" s="543">
        <v>143</v>
      </c>
      <c r="EJ1" s="543">
        <v>144</v>
      </c>
      <c r="EK1" s="543">
        <v>145</v>
      </c>
      <c r="EL1" s="543">
        <v>146</v>
      </c>
      <c r="EM1" s="543">
        <v>147</v>
      </c>
      <c r="EN1" s="543">
        <v>148</v>
      </c>
      <c r="EO1" s="543">
        <v>149</v>
      </c>
      <c r="EP1" s="543">
        <v>150</v>
      </c>
      <c r="EQ1" s="543">
        <v>151</v>
      </c>
      <c r="ER1" s="543">
        <v>152</v>
      </c>
      <c r="ES1" s="543">
        <v>153</v>
      </c>
      <c r="ET1" s="543">
        <v>154</v>
      </c>
      <c r="EU1" s="543">
        <v>155</v>
      </c>
      <c r="EV1" s="543">
        <v>156</v>
      </c>
      <c r="EW1" s="543">
        <v>157</v>
      </c>
      <c r="EX1" s="543">
        <v>158</v>
      </c>
    </row>
    <row r="2" spans="1:154" s="549" customFormat="1">
      <c r="A2" s="782"/>
      <c r="B2" s="550" t="s">
        <v>118</v>
      </c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550"/>
      <c r="O2" s="550"/>
      <c r="P2" s="550"/>
      <c r="Q2" s="550"/>
      <c r="R2" s="550"/>
      <c r="S2" s="547"/>
      <c r="T2" s="550"/>
      <c r="U2" s="550"/>
      <c r="V2" s="550"/>
      <c r="W2" s="550"/>
      <c r="X2" s="550"/>
      <c r="Y2" s="550"/>
      <c r="Z2" s="550"/>
      <c r="AA2" s="550"/>
      <c r="AB2" s="550"/>
      <c r="AC2" s="550"/>
      <c r="AD2" s="550"/>
      <c r="AE2" s="550"/>
      <c r="AF2" s="550"/>
      <c r="AG2" s="550"/>
      <c r="AH2" s="550"/>
      <c r="AI2" s="550"/>
      <c r="AJ2" s="550"/>
      <c r="AK2" s="550"/>
      <c r="AL2" s="550"/>
      <c r="AM2" s="550"/>
      <c r="AN2" s="550"/>
      <c r="AO2" s="550"/>
      <c r="AP2" s="550"/>
      <c r="AQ2" s="550"/>
      <c r="AR2" s="550"/>
      <c r="AS2" s="550"/>
      <c r="AT2" s="550"/>
      <c r="AU2" s="550"/>
      <c r="AV2" s="550"/>
      <c r="AW2" s="550"/>
      <c r="AX2" s="550"/>
      <c r="AY2" s="550"/>
      <c r="AZ2" s="550"/>
      <c r="BA2" s="550"/>
      <c r="BB2" s="550"/>
      <c r="BC2" s="550"/>
      <c r="BD2" s="550"/>
      <c r="BE2" s="550"/>
      <c r="BF2" s="550"/>
      <c r="BG2" s="550"/>
      <c r="BH2" s="550"/>
      <c r="BI2" s="550"/>
      <c r="BJ2" s="550"/>
      <c r="BK2" s="550"/>
      <c r="BL2" s="550"/>
      <c r="BM2" s="547"/>
      <c r="BN2" s="547"/>
      <c r="BO2" s="548"/>
      <c r="BP2" s="548"/>
      <c r="BQ2" s="548"/>
    </row>
    <row r="3" spans="1:154" s="549" customFormat="1">
      <c r="A3" s="782"/>
      <c r="B3" s="631" t="s">
        <v>119</v>
      </c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550"/>
      <c r="O3" s="550"/>
      <c r="P3" s="550"/>
      <c r="Q3" s="550"/>
      <c r="R3" s="551"/>
      <c r="S3" s="742"/>
      <c r="T3" s="551"/>
      <c r="U3" s="551"/>
      <c r="V3" s="551"/>
      <c r="W3" s="551"/>
      <c r="X3" s="551"/>
      <c r="Y3" s="551"/>
      <c r="Z3" s="551"/>
      <c r="AA3" s="551"/>
      <c r="AB3" s="551"/>
      <c r="AC3" s="551"/>
      <c r="AD3" s="551"/>
      <c r="AE3" s="551"/>
      <c r="AF3" s="551"/>
      <c r="AG3" s="551"/>
      <c r="AH3" s="551"/>
      <c r="AI3" s="551"/>
      <c r="AJ3" s="551"/>
      <c r="AK3" s="551"/>
      <c r="AL3" s="551"/>
      <c r="AM3" s="551"/>
      <c r="AN3" s="551"/>
      <c r="AO3" s="552"/>
      <c r="AP3" s="551"/>
      <c r="AQ3" s="551"/>
      <c r="AR3" s="551"/>
      <c r="AS3" s="551"/>
      <c r="AT3" s="551"/>
      <c r="AU3" s="551"/>
      <c r="AV3" s="551"/>
      <c r="AW3" s="551"/>
      <c r="AX3" s="551"/>
      <c r="AY3" s="551"/>
      <c r="AZ3" s="551"/>
      <c r="BA3" s="551"/>
      <c r="BB3" s="553"/>
      <c r="BC3" s="553"/>
      <c r="BD3" s="553"/>
      <c r="BE3" s="553"/>
      <c r="BF3" s="553"/>
      <c r="BG3" s="551"/>
      <c r="BH3" s="551"/>
      <c r="BI3" s="551"/>
      <c r="BJ3" s="551"/>
      <c r="BK3" s="551"/>
      <c r="BL3" s="551"/>
      <c r="BM3" s="742"/>
      <c r="BN3" s="742"/>
      <c r="BO3" s="548"/>
      <c r="BP3" s="548"/>
      <c r="BQ3" s="548"/>
    </row>
    <row r="4" spans="1:154" s="549" customFormat="1">
      <c r="A4" s="782"/>
      <c r="B4" s="550" t="s">
        <v>811</v>
      </c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550"/>
      <c r="O4" s="550"/>
      <c r="P4" s="550"/>
      <c r="Q4" s="550"/>
      <c r="R4" s="550"/>
      <c r="S4" s="547"/>
      <c r="T4" s="550"/>
      <c r="U4" s="550"/>
      <c r="V4" s="550"/>
      <c r="W4" s="550"/>
      <c r="X4" s="550"/>
      <c r="Y4" s="550"/>
      <c r="Z4" s="550"/>
      <c r="AA4" s="550"/>
      <c r="AB4" s="550"/>
      <c r="AC4" s="550"/>
      <c r="AD4" s="550"/>
      <c r="AE4" s="550"/>
      <c r="AF4" s="550"/>
      <c r="AG4" s="550"/>
      <c r="AH4" s="550"/>
      <c r="AI4" s="550"/>
      <c r="AJ4" s="550"/>
      <c r="AK4" s="550"/>
      <c r="AL4" s="550"/>
      <c r="AM4" s="550"/>
      <c r="AN4" s="550"/>
      <c r="AO4" s="550"/>
      <c r="AP4" s="550"/>
      <c r="AQ4" s="550"/>
      <c r="AR4" s="550"/>
      <c r="AS4" s="550"/>
      <c r="AT4" s="550"/>
      <c r="AU4" s="550"/>
      <c r="AV4" s="550"/>
      <c r="AW4" s="550"/>
      <c r="AX4" s="550"/>
      <c r="AY4" s="550"/>
      <c r="AZ4" s="550"/>
      <c r="BA4" s="550"/>
      <c r="BB4" s="550"/>
      <c r="BC4" s="550"/>
      <c r="BD4" s="550"/>
      <c r="BE4" s="550"/>
      <c r="BF4" s="550"/>
      <c r="BG4" s="550"/>
      <c r="BH4" s="550"/>
      <c r="BI4" s="550"/>
      <c r="BJ4" s="550"/>
      <c r="BK4" s="550"/>
      <c r="BL4" s="550"/>
      <c r="BM4" s="547"/>
      <c r="BN4" s="547"/>
      <c r="BO4" s="548"/>
      <c r="BP4" s="548"/>
      <c r="BQ4" s="548"/>
    </row>
    <row r="5" spans="1:154" s="549" customFormat="1">
      <c r="A5" s="782"/>
      <c r="B5" s="550"/>
      <c r="C5" s="550"/>
      <c r="D5" s="550"/>
      <c r="E5" s="550"/>
      <c r="F5" s="550"/>
      <c r="G5" s="550"/>
      <c r="H5" s="550"/>
      <c r="I5" s="551"/>
      <c r="J5" s="551"/>
      <c r="K5" s="551"/>
      <c r="L5" s="551"/>
      <c r="M5" s="551"/>
      <c r="N5" s="551"/>
      <c r="O5" s="551"/>
      <c r="P5" s="551"/>
      <c r="Q5" s="551"/>
      <c r="R5" s="551"/>
      <c r="S5" s="742"/>
      <c r="T5" s="551"/>
      <c r="U5" s="551"/>
      <c r="V5" s="551"/>
      <c r="W5" s="551"/>
      <c r="X5" s="551"/>
      <c r="Y5" s="551"/>
      <c r="Z5" s="551"/>
      <c r="AA5" s="551"/>
      <c r="AB5" s="551"/>
      <c r="AC5" s="551"/>
      <c r="AD5" s="551"/>
      <c r="AE5" s="551"/>
      <c r="AF5" s="551"/>
      <c r="AG5" s="551"/>
      <c r="AH5" s="551"/>
      <c r="AI5" s="551"/>
      <c r="AJ5" s="551"/>
      <c r="AK5" s="551"/>
      <c r="AL5" s="551"/>
      <c r="AM5" s="551"/>
      <c r="AN5" s="551"/>
      <c r="AO5" s="551"/>
      <c r="AP5" s="551"/>
      <c r="AQ5" s="551"/>
      <c r="AR5" s="551"/>
      <c r="AS5" s="551"/>
      <c r="AT5" s="551"/>
      <c r="AU5" s="551"/>
      <c r="AV5" s="551"/>
      <c r="AW5" s="551"/>
      <c r="AX5" s="551"/>
      <c r="AY5" s="551"/>
      <c r="AZ5" s="551"/>
      <c r="BA5" s="551"/>
      <c r="BB5" s="551"/>
      <c r="BC5" s="551"/>
      <c r="BD5" s="551"/>
      <c r="BE5" s="551"/>
      <c r="BF5" s="551"/>
      <c r="BG5" s="551"/>
      <c r="BH5" s="551"/>
      <c r="BI5" s="551"/>
      <c r="BJ5" s="551"/>
      <c r="BK5" s="551"/>
      <c r="BL5" s="551"/>
      <c r="BM5" s="742"/>
      <c r="BN5" s="742"/>
      <c r="BO5" s="548"/>
      <c r="BP5" s="548"/>
      <c r="BQ5" s="548"/>
    </row>
    <row r="6" spans="1:154" s="549" customFormat="1">
      <c r="A6" s="782"/>
      <c r="B6" s="550" t="s">
        <v>120</v>
      </c>
      <c r="C6" s="550"/>
      <c r="D6" s="550"/>
      <c r="E6" s="550"/>
      <c r="F6" s="550"/>
      <c r="G6" s="550"/>
      <c r="H6" s="550"/>
      <c r="I6" s="550"/>
      <c r="J6" s="550"/>
      <c r="K6" s="550"/>
      <c r="L6" s="550"/>
      <c r="M6" s="550"/>
      <c r="N6" s="550"/>
      <c r="O6" s="550"/>
      <c r="P6" s="550"/>
      <c r="Q6" s="550"/>
      <c r="R6" s="550"/>
      <c r="S6" s="547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0"/>
      <c r="AW6" s="550"/>
      <c r="AX6" s="550"/>
      <c r="AY6" s="550"/>
      <c r="AZ6" s="550"/>
      <c r="BA6" s="550"/>
      <c r="BB6" s="550"/>
      <c r="BC6" s="550"/>
      <c r="BD6" s="550"/>
      <c r="BE6" s="550"/>
      <c r="BF6" s="550"/>
      <c r="BG6" s="550"/>
      <c r="BH6" s="550"/>
      <c r="BI6" s="550"/>
      <c r="BJ6" s="550"/>
      <c r="BK6" s="550"/>
      <c r="BL6" s="550"/>
      <c r="BM6" s="547"/>
      <c r="BN6" s="547"/>
      <c r="BO6" s="548"/>
      <c r="BP6" s="548"/>
      <c r="BQ6" s="548"/>
    </row>
    <row r="7" spans="1:154" s="549" customFormat="1">
      <c r="A7" s="546"/>
      <c r="B7" s="550"/>
      <c r="R7" s="554"/>
      <c r="S7" s="579"/>
      <c r="T7" s="554"/>
      <c r="U7" s="554"/>
      <c r="V7" s="554"/>
      <c r="W7" s="554"/>
      <c r="X7" s="554"/>
      <c r="Y7" s="554"/>
      <c r="Z7" s="554"/>
      <c r="AA7" s="554"/>
      <c r="AB7" s="554"/>
      <c r="AC7" s="554"/>
      <c r="AD7" s="554"/>
      <c r="AE7" s="554"/>
      <c r="AF7" s="554"/>
      <c r="AG7" s="554"/>
      <c r="AH7" s="554"/>
      <c r="AI7" s="554"/>
      <c r="AJ7" s="554"/>
      <c r="AK7" s="554"/>
      <c r="AL7" s="554"/>
      <c r="AM7" s="554"/>
      <c r="AN7" s="551"/>
      <c r="AO7" s="555"/>
      <c r="AP7" s="554"/>
      <c r="AQ7" s="554"/>
      <c r="AR7" s="554"/>
      <c r="AS7" s="554"/>
      <c r="AT7" s="554"/>
      <c r="AU7" s="554"/>
      <c r="AV7" s="554"/>
      <c r="AW7" s="554"/>
      <c r="AX7" s="554"/>
      <c r="AY7" s="554"/>
      <c r="AZ7" s="742"/>
      <c r="BA7" s="742"/>
      <c r="BB7" s="556"/>
      <c r="BC7" s="556"/>
      <c r="BD7" s="556"/>
      <c r="BE7" s="556"/>
      <c r="BF7" s="556"/>
      <c r="BG7" s="554"/>
      <c r="BH7" s="554"/>
      <c r="BI7" s="554"/>
      <c r="BJ7" s="551"/>
      <c r="BK7" s="554"/>
      <c r="BL7" s="554"/>
      <c r="BM7" s="579"/>
      <c r="BN7" s="579"/>
      <c r="BO7" s="548"/>
      <c r="BP7" s="548"/>
      <c r="BQ7" s="548"/>
    </row>
    <row r="8" spans="1:154" s="543" customFormat="1">
      <c r="A8" s="546"/>
      <c r="B8" s="557"/>
      <c r="C8" s="558" t="s">
        <v>121</v>
      </c>
      <c r="D8" s="558"/>
      <c r="E8" s="558"/>
      <c r="F8" s="558"/>
      <c r="G8" s="558"/>
      <c r="H8" s="558"/>
      <c r="I8" s="558" t="s">
        <v>122</v>
      </c>
      <c r="J8" s="559"/>
      <c r="K8" s="559"/>
      <c r="L8" s="559"/>
      <c r="M8" s="559"/>
      <c r="N8" s="559"/>
      <c r="O8" s="559"/>
      <c r="P8" s="559"/>
      <c r="Q8" s="559"/>
      <c r="R8" s="1404" t="s">
        <v>123</v>
      </c>
      <c r="S8" s="1405"/>
      <c r="T8" s="1405"/>
      <c r="U8" s="1405"/>
      <c r="V8" s="1405"/>
      <c r="W8" s="1405"/>
      <c r="X8" s="1405"/>
      <c r="Y8" s="1405"/>
      <c r="Z8" s="1405"/>
      <c r="AA8" s="1405"/>
      <c r="AB8" s="1405"/>
      <c r="AC8" s="1405"/>
      <c r="AD8" s="1405"/>
      <c r="AE8" s="1405"/>
      <c r="AF8" s="1405"/>
      <c r="AG8" s="1405"/>
      <c r="AH8" s="1405"/>
      <c r="AI8" s="1405"/>
      <c r="AJ8" s="1405"/>
      <c r="AK8" s="1405"/>
      <c r="AL8" s="1406"/>
      <c r="AM8" s="560"/>
      <c r="AN8" s="560"/>
      <c r="AO8" s="1409" t="s">
        <v>124</v>
      </c>
      <c r="AP8" s="1410"/>
      <c r="AQ8" s="1410"/>
      <c r="AR8" s="1410"/>
      <c r="AS8" s="1410"/>
      <c r="AT8" s="1410"/>
      <c r="AU8" s="1410"/>
      <c r="AV8" s="1410"/>
      <c r="AW8" s="1410"/>
      <c r="AX8" s="1410"/>
      <c r="AY8" s="1410"/>
      <c r="AZ8" s="1410"/>
      <c r="BA8" s="1410"/>
      <c r="BB8" s="1410"/>
      <c r="BC8" s="1410"/>
      <c r="BD8" s="1410"/>
      <c r="BE8" s="1410"/>
      <c r="BF8" s="1410"/>
      <c r="BG8" s="1410"/>
      <c r="BH8" s="1411"/>
      <c r="BI8" s="560" t="s">
        <v>125</v>
      </c>
      <c r="BJ8" s="560" t="s">
        <v>126</v>
      </c>
      <c r="BK8" s="1407" t="s">
        <v>127</v>
      </c>
      <c r="BL8" s="1408"/>
      <c r="BM8" s="561"/>
      <c r="BN8" s="560"/>
      <c r="BO8" s="560"/>
      <c r="BP8" s="742"/>
      <c r="BQ8" s="742"/>
    </row>
    <row r="9" spans="1:154" s="543" customFormat="1" ht="24">
      <c r="A9" s="546"/>
      <c r="B9" s="562" t="s">
        <v>2</v>
      </c>
      <c r="C9" s="558" t="s">
        <v>128</v>
      </c>
      <c r="D9" s="562"/>
      <c r="E9" s="563" t="s">
        <v>129</v>
      </c>
      <c r="F9" s="563" t="s">
        <v>129</v>
      </c>
      <c r="G9" s="563" t="s">
        <v>129</v>
      </c>
      <c r="H9" s="557"/>
      <c r="I9" s="608" t="s">
        <v>62</v>
      </c>
      <c r="J9" s="557"/>
      <c r="K9" s="547"/>
      <c r="L9" s="557"/>
      <c r="M9" s="612"/>
      <c r="N9" s="612"/>
      <c r="O9" s="557"/>
      <c r="P9" s="613"/>
      <c r="Q9" s="557"/>
      <c r="R9" s="560" t="s">
        <v>130</v>
      </c>
      <c r="S9" s="560" t="s">
        <v>131</v>
      </c>
      <c r="T9" s="560" t="s">
        <v>805</v>
      </c>
      <c r="U9" s="1021" t="s">
        <v>132</v>
      </c>
      <c r="V9" s="560" t="s">
        <v>132</v>
      </c>
      <c r="W9" s="560" t="s">
        <v>133</v>
      </c>
      <c r="X9" s="560" t="s">
        <v>133</v>
      </c>
      <c r="Y9" s="1412" t="s">
        <v>134</v>
      </c>
      <c r="Z9" s="560"/>
      <c r="AA9" s="564" t="s">
        <v>135</v>
      </c>
      <c r="AB9" s="564" t="s">
        <v>135</v>
      </c>
      <c r="AC9" s="564" t="s">
        <v>135</v>
      </c>
      <c r="AD9" s="566" t="s">
        <v>9</v>
      </c>
      <c r="AE9" s="1021" t="s">
        <v>136</v>
      </c>
      <c r="AF9" s="566" t="s">
        <v>137</v>
      </c>
      <c r="AG9" s="566" t="s">
        <v>138</v>
      </c>
      <c r="AH9" s="566" t="s">
        <v>138</v>
      </c>
      <c r="AI9" s="566" t="s">
        <v>139</v>
      </c>
      <c r="AJ9" s="560" t="s">
        <v>140</v>
      </c>
      <c r="AK9" s="560" t="s">
        <v>141</v>
      </c>
      <c r="AL9" s="565"/>
      <c r="AM9" s="566" t="s">
        <v>142</v>
      </c>
      <c r="AN9" s="566" t="s">
        <v>143</v>
      </c>
      <c r="AO9" s="1415" t="s">
        <v>144</v>
      </c>
      <c r="AP9" s="1416"/>
      <c r="AQ9" s="1415" t="s">
        <v>145</v>
      </c>
      <c r="AR9" s="1417"/>
      <c r="AS9" s="1417"/>
      <c r="AT9" s="1417"/>
      <c r="AU9" s="1417"/>
      <c r="AV9" s="1417"/>
      <c r="AW9" s="1417"/>
      <c r="AX9" s="1416"/>
      <c r="AY9" s="633"/>
      <c r="AZ9" s="633"/>
      <c r="BA9" s="633"/>
      <c r="BB9" s="567" t="s">
        <v>813</v>
      </c>
      <c r="BC9" s="566" t="s">
        <v>146</v>
      </c>
      <c r="BD9" s="567" t="s">
        <v>147</v>
      </c>
      <c r="BE9" s="567" t="s">
        <v>147</v>
      </c>
      <c r="BF9" s="567" t="s">
        <v>136</v>
      </c>
      <c r="BG9" s="566" t="s">
        <v>148</v>
      </c>
      <c r="BH9" s="566" t="s">
        <v>149</v>
      </c>
      <c r="BI9" s="566" t="s">
        <v>150</v>
      </c>
      <c r="BJ9" s="566" t="s">
        <v>151</v>
      </c>
      <c r="BK9" s="1407" t="s">
        <v>11</v>
      </c>
      <c r="BL9" s="1408"/>
      <c r="BM9" s="569" t="s">
        <v>147</v>
      </c>
      <c r="BN9" s="566" t="s">
        <v>147</v>
      </c>
      <c r="BO9" s="566" t="s">
        <v>152</v>
      </c>
      <c r="BP9" s="742"/>
      <c r="BQ9" s="742"/>
    </row>
    <row r="10" spans="1:154" s="543" customFormat="1" ht="48">
      <c r="A10" s="546"/>
      <c r="B10" s="562"/>
      <c r="C10" s="557" t="s">
        <v>153</v>
      </c>
      <c r="D10" s="562" t="s">
        <v>154</v>
      </c>
      <c r="E10" s="562" t="s">
        <v>155</v>
      </c>
      <c r="F10" s="562" t="s">
        <v>155</v>
      </c>
      <c r="G10" s="562" t="s">
        <v>155</v>
      </c>
      <c r="H10" s="562" t="s">
        <v>3</v>
      </c>
      <c r="I10" s="547" t="s">
        <v>156</v>
      </c>
      <c r="J10" s="610" t="s">
        <v>157</v>
      </c>
      <c r="K10" s="607" t="s">
        <v>158</v>
      </c>
      <c r="L10" s="610" t="s">
        <v>159</v>
      </c>
      <c r="M10" s="611" t="s">
        <v>160</v>
      </c>
      <c r="N10" s="611" t="s">
        <v>160</v>
      </c>
      <c r="O10" s="610" t="s">
        <v>159</v>
      </c>
      <c r="P10" s="607" t="s">
        <v>161</v>
      </c>
      <c r="Q10" s="610" t="s">
        <v>162</v>
      </c>
      <c r="R10" s="566" t="s">
        <v>163</v>
      </c>
      <c r="S10" s="566" t="s">
        <v>164</v>
      </c>
      <c r="T10" s="566" t="s">
        <v>804</v>
      </c>
      <c r="U10" s="1022" t="s">
        <v>165</v>
      </c>
      <c r="V10" s="615" t="s">
        <v>166</v>
      </c>
      <c r="W10" s="566" t="s">
        <v>167</v>
      </c>
      <c r="X10" s="566" t="s">
        <v>167</v>
      </c>
      <c r="Y10" s="1413"/>
      <c r="Z10" s="566" t="s">
        <v>168</v>
      </c>
      <c r="AA10" s="568" t="s">
        <v>169</v>
      </c>
      <c r="AB10" s="568" t="s">
        <v>806</v>
      </c>
      <c r="AC10" s="568"/>
      <c r="AD10" s="566"/>
      <c r="AE10" s="1022" t="s">
        <v>170</v>
      </c>
      <c r="AF10" s="566"/>
      <c r="AG10" s="1063">
        <v>0.09</v>
      </c>
      <c r="AH10" s="566"/>
      <c r="AI10" s="566" t="s">
        <v>17</v>
      </c>
      <c r="AJ10" s="566"/>
      <c r="AK10" s="566" t="s">
        <v>171</v>
      </c>
      <c r="AL10" s="566" t="s">
        <v>172</v>
      </c>
      <c r="AM10" s="566" t="s">
        <v>173</v>
      </c>
      <c r="AN10" s="566" t="s">
        <v>174</v>
      </c>
      <c r="AO10" s="560" t="s">
        <v>175</v>
      </c>
      <c r="AP10" s="560" t="s">
        <v>176</v>
      </c>
      <c r="AQ10" s="1407" t="s">
        <v>177</v>
      </c>
      <c r="AR10" s="1408"/>
      <c r="AS10" s="1407" t="s">
        <v>132</v>
      </c>
      <c r="AT10" s="1408"/>
      <c r="AU10" s="1407" t="s">
        <v>72</v>
      </c>
      <c r="AV10" s="1408"/>
      <c r="AW10" s="1407" t="s">
        <v>178</v>
      </c>
      <c r="AX10" s="1408"/>
      <c r="AY10" s="1398" t="s">
        <v>179</v>
      </c>
      <c r="AZ10" s="1398" t="s">
        <v>746</v>
      </c>
      <c r="BA10" s="1398" t="s">
        <v>180</v>
      </c>
      <c r="BB10" s="567"/>
      <c r="BC10" s="567"/>
      <c r="BD10" s="567" t="s">
        <v>181</v>
      </c>
      <c r="BE10" s="567" t="s">
        <v>182</v>
      </c>
      <c r="BF10" s="567" t="s">
        <v>183</v>
      </c>
      <c r="BG10" s="566" t="s">
        <v>184</v>
      </c>
      <c r="BH10" s="562" t="s">
        <v>185</v>
      </c>
      <c r="BI10" s="562"/>
      <c r="BJ10" s="562"/>
      <c r="BK10" s="557"/>
      <c r="BL10" s="557"/>
      <c r="BM10" s="562" t="s">
        <v>186</v>
      </c>
      <c r="BN10" s="562" t="s">
        <v>187</v>
      </c>
      <c r="BO10" s="562"/>
      <c r="BP10" s="547" t="s">
        <v>755</v>
      </c>
      <c r="BQ10" s="547" t="s">
        <v>188</v>
      </c>
      <c r="BS10" s="1403" t="s">
        <v>180</v>
      </c>
      <c r="BT10" s="1403"/>
      <c r="BU10" s="1403"/>
      <c r="BV10" s="547" t="s">
        <v>189</v>
      </c>
    </row>
    <row r="11" spans="1:154" s="543" customFormat="1" ht="19.5" customHeight="1">
      <c r="A11" s="546"/>
      <c r="B11" s="570"/>
      <c r="C11" s="570"/>
      <c r="D11" s="570"/>
      <c r="E11" s="562" t="s">
        <v>190</v>
      </c>
      <c r="F11" s="562" t="s">
        <v>191</v>
      </c>
      <c r="G11" s="570" t="s">
        <v>192</v>
      </c>
      <c r="H11" s="570"/>
      <c r="I11" s="609" t="s">
        <v>144</v>
      </c>
      <c r="J11" s="570"/>
      <c r="K11" s="614"/>
      <c r="L11" s="570" t="s">
        <v>193</v>
      </c>
      <c r="M11" s="609" t="s">
        <v>803</v>
      </c>
      <c r="N11" s="609" t="s">
        <v>194</v>
      </c>
      <c r="O11" s="570" t="s">
        <v>195</v>
      </c>
      <c r="P11" s="614"/>
      <c r="Q11" s="570" t="s">
        <v>193</v>
      </c>
      <c r="R11" s="571"/>
      <c r="S11" s="571"/>
      <c r="T11" s="571"/>
      <c r="U11" s="1023"/>
      <c r="V11" s="616" t="s">
        <v>10</v>
      </c>
      <c r="W11" s="572">
        <v>0.25</v>
      </c>
      <c r="X11" s="572">
        <v>0.35</v>
      </c>
      <c r="Y11" s="1414"/>
      <c r="Z11" s="571"/>
      <c r="AA11" s="571"/>
      <c r="AB11" s="571"/>
      <c r="AC11" s="571"/>
      <c r="AD11" s="571"/>
      <c r="AE11" s="1023" t="s">
        <v>196</v>
      </c>
      <c r="AF11" s="571"/>
      <c r="AG11" s="571"/>
      <c r="AH11" s="571"/>
      <c r="AI11" s="571"/>
      <c r="AJ11" s="571"/>
      <c r="AK11" s="571" t="s">
        <v>197</v>
      </c>
      <c r="AL11" s="573"/>
      <c r="AM11" s="571"/>
      <c r="AN11" s="570"/>
      <c r="AO11" s="570"/>
      <c r="AP11" s="570"/>
      <c r="AQ11" s="574" t="s">
        <v>175</v>
      </c>
      <c r="AR11" s="574" t="s">
        <v>198</v>
      </c>
      <c r="AS11" s="574" t="s">
        <v>175</v>
      </c>
      <c r="AT11" s="574" t="s">
        <v>176</v>
      </c>
      <c r="AU11" s="574" t="s">
        <v>175</v>
      </c>
      <c r="AV11" s="574" t="s">
        <v>147</v>
      </c>
      <c r="AW11" s="574" t="s">
        <v>175</v>
      </c>
      <c r="AX11" s="574" t="s">
        <v>176</v>
      </c>
      <c r="AY11" s="571"/>
      <c r="AZ11" s="571" t="s">
        <v>747</v>
      </c>
      <c r="BA11" s="571"/>
      <c r="BB11" s="575"/>
      <c r="BC11" s="575"/>
      <c r="BD11" s="575"/>
      <c r="BE11" s="575"/>
      <c r="BF11" s="575" t="s">
        <v>199</v>
      </c>
      <c r="BG11" s="571"/>
      <c r="BH11" s="1249"/>
      <c r="BI11" s="571"/>
      <c r="BJ11" s="571"/>
      <c r="BK11" s="571" t="s">
        <v>175</v>
      </c>
      <c r="BL11" s="571" t="s">
        <v>176</v>
      </c>
      <c r="BM11" s="571"/>
      <c r="BN11" s="571" t="s">
        <v>182</v>
      </c>
      <c r="BO11" s="571"/>
      <c r="BP11" s="742" t="s">
        <v>756</v>
      </c>
      <c r="BQ11" s="742"/>
    </row>
    <row r="12" spans="1:154" s="549" customFormat="1">
      <c r="A12" s="546" t="s">
        <v>200</v>
      </c>
      <c r="B12" s="1091">
        <v>1</v>
      </c>
      <c r="C12" s="1111" t="s">
        <v>201</v>
      </c>
      <c r="D12" s="1093">
        <v>10305226</v>
      </c>
      <c r="E12" s="1094">
        <v>27747</v>
      </c>
      <c r="F12" s="1095">
        <v>39114</v>
      </c>
      <c r="G12" s="1096"/>
      <c r="H12" s="1097" t="s">
        <v>202</v>
      </c>
      <c r="I12" s="1098" t="s">
        <v>71</v>
      </c>
      <c r="J12" s="554">
        <v>13000</v>
      </c>
      <c r="K12" s="577">
        <v>113</v>
      </c>
      <c r="L12" s="1092">
        <v>30</v>
      </c>
      <c r="M12" s="1092"/>
      <c r="N12" s="1172"/>
      <c r="O12" s="1092">
        <f t="shared" ref="O12:O53" si="0">+L12-M12-N12</f>
        <v>30</v>
      </c>
      <c r="P12" s="549">
        <v>8</v>
      </c>
      <c r="Q12" s="1092">
        <f>+O12*P12</f>
        <v>240</v>
      </c>
      <c r="R12" s="1107">
        <f t="shared" ref="R12:R53" si="1">+J12-AC12-T12</f>
        <v>13000</v>
      </c>
      <c r="S12" s="923">
        <f>K12</f>
        <v>113</v>
      </c>
      <c r="T12" s="829">
        <f>(J12)/30*M12</f>
        <v>0</v>
      </c>
      <c r="U12" s="577">
        <f>COMISIONES!J6</f>
        <v>7965.7047500000008</v>
      </c>
      <c r="V12" s="576"/>
      <c r="W12" s="576">
        <f>H.E!L6</f>
        <v>0</v>
      </c>
      <c r="X12" s="576">
        <f>H.E!M6</f>
        <v>0</v>
      </c>
      <c r="Y12" s="576">
        <f>H.E!N6</f>
        <v>0</v>
      </c>
      <c r="Z12" s="576"/>
      <c r="AA12" s="576"/>
      <c r="AB12" s="576"/>
      <c r="AC12" s="829">
        <f>(J12+K12)/30*N12</f>
        <v>0</v>
      </c>
      <c r="AD12" s="576"/>
      <c r="AE12" s="576"/>
      <c r="AF12" s="576">
        <v>19419.651874435029</v>
      </c>
      <c r="AG12" s="576">
        <v>1747.7686686991526</v>
      </c>
      <c r="AH12" s="576"/>
      <c r="AI12" s="576"/>
      <c r="AJ12" s="576"/>
      <c r="AK12" s="576"/>
      <c r="AM12" s="576">
        <f>SUM(R12:AK12)-AL12</f>
        <v>42246.125293134181</v>
      </c>
      <c r="AN12" s="1083">
        <f>+AM12-Z12-AD12-AE12-AF12-AG12-AJ12-AK12-AI12-AY12-AZ12</f>
        <v>21078.704750000001</v>
      </c>
      <c r="AO12" s="1099"/>
      <c r="AP12" s="576"/>
      <c r="AQ12" s="1100">
        <v>0.1</v>
      </c>
      <c r="AR12" s="576">
        <f t="shared" ref="AR12:AR17" si="2">+AN12*AQ12</f>
        <v>2107.8704750000002</v>
      </c>
      <c r="AS12" s="1100">
        <v>0</v>
      </c>
      <c r="AT12" s="576">
        <f>+AN12*AS12</f>
        <v>0</v>
      </c>
      <c r="AU12" s="1100">
        <v>1.37E-2</v>
      </c>
      <c r="AV12" s="1186">
        <f>12672.65*AU12</f>
        <v>173.61530500000001</v>
      </c>
      <c r="AW12" s="1100">
        <f t="shared" ref="AW12:AX15" si="3">+AQ12+AS12+AU12</f>
        <v>0.11370000000000001</v>
      </c>
      <c r="AX12" s="576">
        <f t="shared" si="3"/>
        <v>2281.48578</v>
      </c>
      <c r="AY12" s="576">
        <f>TARDANZA!K6</f>
        <v>0</v>
      </c>
      <c r="AZ12" s="576">
        <f>TARDANZA!L6</f>
        <v>0</v>
      </c>
      <c r="BA12" s="835"/>
      <c r="BB12" s="576">
        <f>AF12+AG12</f>
        <v>21167.42054313418</v>
      </c>
      <c r="BC12" s="1172"/>
      <c r="BD12" s="576">
        <v>279.8</v>
      </c>
      <c r="BE12" s="576"/>
      <c r="BF12" s="576"/>
      <c r="BG12" s="576"/>
      <c r="BH12" s="829">
        <f>+'RTA 5TA VTAS'!D121</f>
        <v>4742.0367409750233</v>
      </c>
      <c r="BI12" s="829">
        <f>+AX12+SUM(AY12:BH12)+AP12</f>
        <v>28470.743064109203</v>
      </c>
      <c r="BJ12" s="595">
        <f>(+AM12-BI12)</f>
        <v>13775.382229024977</v>
      </c>
      <c r="BK12" s="1099">
        <v>0.09</v>
      </c>
      <c r="BL12" s="576">
        <f t="shared" ref="BL12:BL38" si="4">AN12*BK12</f>
        <v>1897.0834275</v>
      </c>
      <c r="BM12" s="923">
        <v>47.24</v>
      </c>
      <c r="BN12" s="923"/>
      <c r="BO12" s="1092" t="s">
        <v>203</v>
      </c>
      <c r="BS12" s="554"/>
      <c r="BT12" s="835"/>
      <c r="BU12" s="546" t="s">
        <v>203</v>
      </c>
      <c r="BX12" s="554"/>
      <c r="BZ12" s="925"/>
      <c r="CA12" s="1124"/>
    </row>
    <row r="13" spans="1:154" s="549" customFormat="1">
      <c r="A13" s="546" t="s">
        <v>204</v>
      </c>
      <c r="B13" s="1091">
        <f>+B12+1</f>
        <v>2</v>
      </c>
      <c r="C13" s="1111" t="s">
        <v>205</v>
      </c>
      <c r="D13" s="1101">
        <v>9594953</v>
      </c>
      <c r="E13" s="1102">
        <v>26364</v>
      </c>
      <c r="F13" s="1096">
        <v>41548</v>
      </c>
      <c r="G13" s="1096"/>
      <c r="H13" s="1097" t="s">
        <v>206</v>
      </c>
      <c r="I13" s="1098" t="s">
        <v>73</v>
      </c>
      <c r="J13" s="554">
        <v>6500</v>
      </c>
      <c r="K13" s="576">
        <v>113</v>
      </c>
      <c r="L13" s="1092">
        <v>30</v>
      </c>
      <c r="M13" s="1092"/>
      <c r="N13" s="1092"/>
      <c r="O13" s="1092">
        <f t="shared" si="0"/>
        <v>30</v>
      </c>
      <c r="P13" s="549">
        <v>8</v>
      </c>
      <c r="Q13" s="1092">
        <f>+O13*P13</f>
        <v>240</v>
      </c>
      <c r="R13" s="1107">
        <f t="shared" si="1"/>
        <v>6500</v>
      </c>
      <c r="S13" s="923">
        <f t="shared" ref="S13:S53" si="5">K13</f>
        <v>113</v>
      </c>
      <c r="T13" s="829">
        <f t="shared" ref="T13:T54" si="6">(J13)/30*M13</f>
        <v>0</v>
      </c>
      <c r="U13" s="576"/>
      <c r="V13" s="576"/>
      <c r="W13" s="576">
        <f>H.E!L7</f>
        <v>0</v>
      </c>
      <c r="X13" s="576">
        <f>H.E!M7</f>
        <v>0</v>
      </c>
      <c r="Y13" s="576">
        <f>H.E!N7</f>
        <v>0</v>
      </c>
      <c r="Z13" s="576">
        <v>100</v>
      </c>
      <c r="AA13" s="576"/>
      <c r="AB13" s="576"/>
      <c r="AC13" s="829">
        <f t="shared" ref="AC13:AC55" si="7">(J13+K13)/30*N13</f>
        <v>0</v>
      </c>
      <c r="AD13" s="576"/>
      <c r="AE13" s="576"/>
      <c r="AF13" s="576">
        <v>6613</v>
      </c>
      <c r="AG13" s="576">
        <v>595.16999999999996</v>
      </c>
      <c r="AH13" s="576"/>
      <c r="AI13" s="576"/>
      <c r="AJ13" s="576"/>
      <c r="AK13" s="576"/>
      <c r="AL13" s="576"/>
      <c r="AM13" s="576">
        <f>SUM(R13:AK13)-AL13</f>
        <v>13921.17</v>
      </c>
      <c r="AN13" s="1083">
        <f t="shared" ref="AN13:AN53" si="8">+AM13-Z13-AD13-AE13-AF13-AG13-AJ13-AK13-AI13-AY13-AZ13</f>
        <v>6613</v>
      </c>
      <c r="AO13" s="1099"/>
      <c r="AP13" s="576"/>
      <c r="AQ13" s="1100">
        <v>0.1</v>
      </c>
      <c r="AR13" s="576">
        <f t="shared" si="2"/>
        <v>661.30000000000007</v>
      </c>
      <c r="AS13" s="1100">
        <v>0</v>
      </c>
      <c r="AT13" s="576">
        <f>+AN13*AS13</f>
        <v>0</v>
      </c>
      <c r="AU13" s="1100">
        <v>1.37E-2</v>
      </c>
      <c r="AV13" s="576">
        <f>+AN13*AU13</f>
        <v>90.598100000000002</v>
      </c>
      <c r="AW13" s="1100">
        <f t="shared" si="3"/>
        <v>0.11370000000000001</v>
      </c>
      <c r="AX13" s="576">
        <f t="shared" si="3"/>
        <v>751.89810000000011</v>
      </c>
      <c r="AY13" s="576">
        <f>TARDANZA!K7</f>
        <v>0</v>
      </c>
      <c r="AZ13" s="576">
        <f>TARDANZA!L7</f>
        <v>0</v>
      </c>
      <c r="BA13" s="835"/>
      <c r="BB13" s="576">
        <f t="shared" ref="BB13:BB47" si="9">AF13+AG13</f>
        <v>7208.17</v>
      </c>
      <c r="BC13" s="1092"/>
      <c r="BD13" s="576">
        <v>243.85</v>
      </c>
      <c r="BE13" s="576"/>
      <c r="BF13" s="576"/>
      <c r="BG13" s="576"/>
      <c r="BH13" s="829">
        <f>+'RTA 5TA'!D115</f>
        <v>530.03031630681824</v>
      </c>
      <c r="BI13" s="829">
        <f t="shared" ref="BI13:BI47" si="10">+AX13+SUM(AY13:BH13)+AP13</f>
        <v>8733.9484163068191</v>
      </c>
      <c r="BJ13" s="595">
        <f t="shared" ref="BJ13:BJ44" si="11">(+AM13-BI13)</f>
        <v>5187.2215836931809</v>
      </c>
      <c r="BK13" s="1099">
        <v>0.09</v>
      </c>
      <c r="BL13" s="576">
        <f t="shared" si="4"/>
        <v>595.16999999999996</v>
      </c>
      <c r="BM13" s="923">
        <v>23.840699999999998</v>
      </c>
      <c r="BN13" s="923"/>
      <c r="BO13" s="1103" t="s">
        <v>203</v>
      </c>
      <c r="BP13" s="1062"/>
      <c r="BQ13" s="1062"/>
      <c r="BS13" s="554"/>
      <c r="BT13" s="835"/>
      <c r="BU13" s="546" t="s">
        <v>203</v>
      </c>
      <c r="BZ13" s="925"/>
      <c r="CA13" s="1124"/>
    </row>
    <row r="14" spans="1:154" s="549" customFormat="1">
      <c r="A14" s="546" t="s">
        <v>207</v>
      </c>
      <c r="B14" s="1091">
        <f t="shared" ref="B14:B54" si="12">+B13+1</f>
        <v>3</v>
      </c>
      <c r="C14" s="1111" t="s">
        <v>208</v>
      </c>
      <c r="D14" s="1093" t="s">
        <v>310</v>
      </c>
      <c r="E14" s="1102">
        <v>33029</v>
      </c>
      <c r="F14" s="1096">
        <v>42327</v>
      </c>
      <c r="G14" s="1096"/>
      <c r="H14" s="1097" t="s">
        <v>209</v>
      </c>
      <c r="I14" s="1098" t="s">
        <v>71</v>
      </c>
      <c r="J14" s="554">
        <v>4000</v>
      </c>
      <c r="K14" s="576">
        <v>113</v>
      </c>
      <c r="L14" s="1092">
        <v>30</v>
      </c>
      <c r="M14" s="1092"/>
      <c r="N14" s="1092"/>
      <c r="O14" s="1092">
        <f t="shared" si="0"/>
        <v>30</v>
      </c>
      <c r="P14" s="549">
        <v>8</v>
      </c>
      <c r="Q14" s="1092">
        <f t="shared" ref="Q14:Q38" si="13">+O14*P14</f>
        <v>240</v>
      </c>
      <c r="R14" s="1107">
        <f t="shared" si="1"/>
        <v>4000</v>
      </c>
      <c r="S14" s="923">
        <f t="shared" si="5"/>
        <v>113</v>
      </c>
      <c r="T14" s="829">
        <f t="shared" si="6"/>
        <v>0</v>
      </c>
      <c r="U14" s="576"/>
      <c r="V14" s="576"/>
      <c r="W14" s="576">
        <f>H.E!L8</f>
        <v>0</v>
      </c>
      <c r="X14" s="576">
        <f>H.E!M8</f>
        <v>0</v>
      </c>
      <c r="Y14" s="576">
        <f>H.E!N8</f>
        <v>0</v>
      </c>
      <c r="Z14" s="576">
        <v>100</v>
      </c>
      <c r="AA14" s="576"/>
      <c r="AB14" s="576"/>
      <c r="AC14" s="829">
        <f t="shared" si="7"/>
        <v>0</v>
      </c>
      <c r="AD14" s="576"/>
      <c r="AE14" s="576"/>
      <c r="AF14" s="576">
        <v>4453.1231250000001</v>
      </c>
      <c r="AG14" s="576">
        <v>400.78108125</v>
      </c>
      <c r="AH14" s="576"/>
      <c r="AI14" s="576"/>
      <c r="AJ14" s="576"/>
      <c r="AK14" s="576"/>
      <c r="AL14" s="576"/>
      <c r="AM14" s="576">
        <f t="shared" ref="AM14:AM53" si="14">SUM(R14:AK14)-AL14</f>
        <v>9066.9042062499993</v>
      </c>
      <c r="AN14" s="1083">
        <f t="shared" si="8"/>
        <v>4016.4587499999989</v>
      </c>
      <c r="AO14" s="1099"/>
      <c r="AP14" s="576"/>
      <c r="AQ14" s="1100">
        <v>0.1</v>
      </c>
      <c r="AR14" s="1104">
        <f t="shared" si="2"/>
        <v>401.64587499999993</v>
      </c>
      <c r="AS14" s="1100">
        <v>1.55E-2</v>
      </c>
      <c r="AT14" s="576">
        <f>+AN14*AS14</f>
        <v>62.255110624999979</v>
      </c>
      <c r="AU14" s="1100">
        <v>1.37E-2</v>
      </c>
      <c r="AV14" s="576">
        <f>+AN14*AU14</f>
        <v>55.025484874999989</v>
      </c>
      <c r="AW14" s="1100">
        <f t="shared" si="3"/>
        <v>0.12920000000000001</v>
      </c>
      <c r="AX14" s="576">
        <f t="shared" si="3"/>
        <v>518.92647049999994</v>
      </c>
      <c r="AY14" s="576">
        <f>TARDANZA!K8</f>
        <v>0</v>
      </c>
      <c r="AZ14" s="576">
        <f>TARDANZA!L8</f>
        <v>96.541249999999991</v>
      </c>
      <c r="BA14" s="835"/>
      <c r="BB14" s="576">
        <f t="shared" si="9"/>
        <v>4853.9042062500002</v>
      </c>
      <c r="BC14" s="1092"/>
      <c r="BD14" s="576"/>
      <c r="BE14" s="576"/>
      <c r="BF14" s="576"/>
      <c r="BG14" s="576"/>
      <c r="BH14" s="829">
        <f>+'RTA 5TA'!H115</f>
        <v>160.75494242424239</v>
      </c>
      <c r="BI14" s="829">
        <f t="shared" si="10"/>
        <v>5630.1268691742425</v>
      </c>
      <c r="BJ14" s="595">
        <f t="shared" si="11"/>
        <v>3436.7773370757568</v>
      </c>
      <c r="BK14" s="1099">
        <v>0.09</v>
      </c>
      <c r="BL14" s="576">
        <f t="shared" si="4"/>
        <v>361.48128749999989</v>
      </c>
      <c r="BM14" s="923">
        <v>6.17</v>
      </c>
      <c r="BN14" s="923"/>
      <c r="BO14" s="1103" t="s">
        <v>210</v>
      </c>
      <c r="BP14" s="1185"/>
      <c r="BQ14" s="1124"/>
      <c r="BS14" s="554"/>
      <c r="BT14" s="835"/>
      <c r="BU14" s="546" t="s">
        <v>210</v>
      </c>
      <c r="BX14" s="1105"/>
      <c r="BY14" s="1106"/>
      <c r="BZ14" s="1191"/>
      <c r="CA14" s="1124"/>
    </row>
    <row r="15" spans="1:154" s="549" customFormat="1">
      <c r="A15" s="546" t="s">
        <v>207</v>
      </c>
      <c r="B15" s="1091">
        <f t="shared" si="12"/>
        <v>4</v>
      </c>
      <c r="C15" s="1111" t="s">
        <v>211</v>
      </c>
      <c r="D15" s="1101">
        <v>41675364</v>
      </c>
      <c r="E15" s="1102">
        <v>29556</v>
      </c>
      <c r="F15" s="1096">
        <v>42513</v>
      </c>
      <c r="G15" s="1096"/>
      <c r="H15" s="1097" t="s">
        <v>212</v>
      </c>
      <c r="I15" s="1098" t="s">
        <v>72</v>
      </c>
      <c r="J15" s="554">
        <v>4000</v>
      </c>
      <c r="K15" s="576">
        <v>113</v>
      </c>
      <c r="L15" s="1092">
        <v>30</v>
      </c>
      <c r="M15" s="1092"/>
      <c r="N15" s="1092"/>
      <c r="O15" s="1092">
        <f t="shared" si="0"/>
        <v>30</v>
      </c>
      <c r="P15" s="549">
        <v>8</v>
      </c>
      <c r="Q15" s="1092">
        <f t="shared" si="13"/>
        <v>240</v>
      </c>
      <c r="R15" s="1107">
        <f t="shared" si="1"/>
        <v>4000</v>
      </c>
      <c r="S15" s="923">
        <f t="shared" si="5"/>
        <v>113</v>
      </c>
      <c r="T15" s="829">
        <f t="shared" si="6"/>
        <v>0</v>
      </c>
      <c r="U15" s="576"/>
      <c r="V15" s="1107"/>
      <c r="W15" s="576">
        <f>H.E!L9</f>
        <v>0</v>
      </c>
      <c r="X15" s="576">
        <f>H.E!M9</f>
        <v>0</v>
      </c>
      <c r="Y15" s="576">
        <f>H.E!N9</f>
        <v>0</v>
      </c>
      <c r="Z15" s="576">
        <v>100</v>
      </c>
      <c r="AA15" s="576"/>
      <c r="AB15" s="576"/>
      <c r="AC15" s="829">
        <f t="shared" si="7"/>
        <v>0</v>
      </c>
      <c r="AD15" s="576"/>
      <c r="AE15" s="576"/>
      <c r="AF15" s="576">
        <v>4113</v>
      </c>
      <c r="AG15" s="576">
        <v>370.16999999999996</v>
      </c>
      <c r="AH15" s="576"/>
      <c r="AI15" s="576"/>
      <c r="AJ15" s="576"/>
      <c r="AK15" s="1088"/>
      <c r="AL15" s="1104"/>
      <c r="AM15" s="576">
        <f t="shared" si="14"/>
        <v>8696.17</v>
      </c>
      <c r="AN15" s="1083">
        <f t="shared" si="8"/>
        <v>4113</v>
      </c>
      <c r="AO15" s="1108"/>
      <c r="AP15" s="576"/>
      <c r="AQ15" s="1100">
        <v>0.1</v>
      </c>
      <c r="AR15" s="1104">
        <f t="shared" si="2"/>
        <v>411.3</v>
      </c>
      <c r="AS15" s="1100">
        <v>1.6E-2</v>
      </c>
      <c r="AT15" s="576">
        <f>+AN15*AS15</f>
        <v>65.808000000000007</v>
      </c>
      <c r="AU15" s="1100">
        <v>1.37E-2</v>
      </c>
      <c r="AV15" s="576">
        <f>+AN15*AU15</f>
        <v>56.348100000000002</v>
      </c>
      <c r="AW15" s="1100">
        <f t="shared" si="3"/>
        <v>0.12970000000000001</v>
      </c>
      <c r="AX15" s="576">
        <f t="shared" si="3"/>
        <v>533.45609999999999</v>
      </c>
      <c r="AY15" s="576">
        <f>TARDANZA!K9</f>
        <v>0</v>
      </c>
      <c r="AZ15" s="576">
        <f>TARDANZA!L9</f>
        <v>0</v>
      </c>
      <c r="BA15" s="835"/>
      <c r="BB15" s="576">
        <f t="shared" si="9"/>
        <v>4483.17</v>
      </c>
      <c r="BC15" s="1092"/>
      <c r="BD15" s="576"/>
      <c r="BE15" s="576"/>
      <c r="BF15" s="576"/>
      <c r="BG15" s="576">
        <v>320.22121000000004</v>
      </c>
      <c r="BH15" s="829">
        <f>+'RTA 5TA'!E115</f>
        <v>140.09304659090901</v>
      </c>
      <c r="BI15" s="829">
        <f t="shared" si="10"/>
        <v>5476.9403565909088</v>
      </c>
      <c r="BJ15" s="595">
        <f t="shared" si="11"/>
        <v>3219.2296434090913</v>
      </c>
      <c r="BK15" s="1099">
        <v>0.09</v>
      </c>
      <c r="BL15" s="576">
        <f t="shared" si="4"/>
        <v>370.16999999999996</v>
      </c>
      <c r="BM15" s="923">
        <v>16.040700000000001</v>
      </c>
      <c r="BN15" s="923"/>
      <c r="BO15" s="1092" t="s">
        <v>210</v>
      </c>
      <c r="BR15" s="543"/>
      <c r="BS15" s="554"/>
      <c r="BT15" s="835"/>
      <c r="BU15" s="546" t="s">
        <v>210</v>
      </c>
      <c r="BV15" s="543"/>
      <c r="BW15" s="543"/>
      <c r="BX15" s="543"/>
      <c r="BY15" s="543"/>
      <c r="BZ15" s="1192"/>
      <c r="CA15" s="1124"/>
      <c r="CB15" s="543"/>
      <c r="CC15" s="543"/>
      <c r="CD15" s="543"/>
      <c r="CE15" s="543"/>
      <c r="CF15" s="543"/>
      <c r="CG15" s="543"/>
      <c r="CH15" s="543"/>
      <c r="CI15" s="543"/>
      <c r="CJ15" s="543"/>
      <c r="CK15" s="543"/>
      <c r="CL15" s="543"/>
      <c r="CM15" s="543"/>
      <c r="CN15" s="543"/>
      <c r="CO15" s="543"/>
      <c r="CP15" s="543"/>
      <c r="CQ15" s="543"/>
      <c r="CR15" s="543"/>
      <c r="CS15" s="543"/>
      <c r="CT15" s="543"/>
      <c r="CU15" s="543"/>
      <c r="CV15" s="543"/>
      <c r="CW15" s="543"/>
      <c r="CX15" s="543"/>
      <c r="CY15" s="543"/>
      <c r="CZ15" s="543"/>
      <c r="DA15" s="543"/>
      <c r="DB15" s="543"/>
      <c r="DC15" s="543"/>
      <c r="DD15" s="543"/>
      <c r="DE15" s="543"/>
      <c r="DF15" s="543"/>
      <c r="DG15" s="543"/>
      <c r="DH15" s="543"/>
      <c r="DI15" s="543"/>
      <c r="DJ15" s="543"/>
      <c r="DK15" s="543"/>
      <c r="DL15" s="543"/>
      <c r="DM15" s="543"/>
      <c r="DN15" s="543"/>
      <c r="DO15" s="543"/>
      <c r="DP15" s="543"/>
      <c r="DQ15" s="543"/>
      <c r="DR15" s="543"/>
      <c r="DS15" s="543"/>
      <c r="DT15" s="543"/>
      <c r="DU15" s="543"/>
      <c r="DV15" s="543"/>
      <c r="DW15" s="543"/>
      <c r="DX15" s="543"/>
      <c r="DY15" s="543"/>
      <c r="DZ15" s="543"/>
      <c r="EA15" s="543"/>
      <c r="EB15" s="543"/>
      <c r="EC15" s="543"/>
      <c r="ED15" s="543"/>
      <c r="EE15" s="543"/>
      <c r="EF15" s="543"/>
      <c r="EG15" s="543"/>
      <c r="EH15" s="543"/>
      <c r="EI15" s="543"/>
      <c r="EJ15" s="543"/>
      <c r="EK15" s="543"/>
      <c r="EL15" s="543"/>
      <c r="EM15" s="543"/>
      <c r="EN15" s="543"/>
      <c r="EO15" s="543"/>
      <c r="EP15" s="543"/>
      <c r="EQ15" s="543"/>
      <c r="ER15" s="543"/>
      <c r="ES15" s="543"/>
      <c r="ET15" s="543"/>
      <c r="EU15" s="543"/>
      <c r="EV15" s="543"/>
      <c r="EW15" s="543"/>
      <c r="EX15" s="543"/>
    </row>
    <row r="16" spans="1:154" s="549" customFormat="1">
      <c r="A16" s="546" t="s">
        <v>213</v>
      </c>
      <c r="B16" s="1091">
        <f t="shared" si="12"/>
        <v>5</v>
      </c>
      <c r="C16" s="1111" t="s">
        <v>214</v>
      </c>
      <c r="D16" s="1101">
        <v>44425022</v>
      </c>
      <c r="E16" s="1102">
        <v>31996</v>
      </c>
      <c r="F16" s="1096">
        <v>42917</v>
      </c>
      <c r="G16" s="1096"/>
      <c r="H16" s="1097" t="s">
        <v>215</v>
      </c>
      <c r="I16" s="1098" t="s">
        <v>71</v>
      </c>
      <c r="J16" s="554">
        <v>3600</v>
      </c>
      <c r="K16" s="576"/>
      <c r="L16" s="1092">
        <v>30</v>
      </c>
      <c r="M16" s="1092"/>
      <c r="N16" s="580">
        <v>6</v>
      </c>
      <c r="O16" s="1092">
        <f t="shared" si="0"/>
        <v>24</v>
      </c>
      <c r="P16" s="549">
        <v>8</v>
      </c>
      <c r="Q16" s="1092">
        <f t="shared" si="13"/>
        <v>192</v>
      </c>
      <c r="R16" s="1107">
        <f t="shared" si="1"/>
        <v>2880</v>
      </c>
      <c r="S16" s="923">
        <f t="shared" si="5"/>
        <v>0</v>
      </c>
      <c r="T16" s="829">
        <f t="shared" si="6"/>
        <v>0</v>
      </c>
      <c r="U16" s="576"/>
      <c r="V16" s="1107"/>
      <c r="W16" s="576">
        <f>H.E!L10</f>
        <v>0</v>
      </c>
      <c r="X16" s="576">
        <f>H.E!M10</f>
        <v>0</v>
      </c>
      <c r="Y16" s="576">
        <f>H.E!N10</f>
        <v>240</v>
      </c>
      <c r="Z16" s="576">
        <v>73.91304347826086</v>
      </c>
      <c r="AA16" s="576"/>
      <c r="AB16" s="576"/>
      <c r="AC16" s="829">
        <f>(J16+K16)/30*N16</f>
        <v>720</v>
      </c>
      <c r="AD16" s="576"/>
      <c r="AE16" s="576"/>
      <c r="AF16" s="576">
        <v>4240</v>
      </c>
      <c r="AG16" s="576">
        <v>381.59999999999997</v>
      </c>
      <c r="AH16" s="576">
        <v>640</v>
      </c>
      <c r="AI16" s="576"/>
      <c r="AJ16" s="576"/>
      <c r="AK16" s="1088"/>
      <c r="AL16" s="1104"/>
      <c r="AM16" s="576">
        <f t="shared" si="14"/>
        <v>9175.5130434782604</v>
      </c>
      <c r="AN16" s="1083">
        <f>+AM16-Z16-AD16-AE16-AF16-AG16-AJ16-AK16-AI16-AY16-AZ16</f>
        <v>4403</v>
      </c>
      <c r="AO16" s="1108"/>
      <c r="AP16" s="576"/>
      <c r="AQ16" s="1100">
        <v>0.1</v>
      </c>
      <c r="AR16" s="1104">
        <f t="shared" si="2"/>
        <v>440.3</v>
      </c>
      <c r="AS16" s="1100">
        <v>1.55E-2</v>
      </c>
      <c r="AT16" s="576">
        <f t="shared" ref="AT16:AT17" si="15">+AN16*AS16</f>
        <v>68.246499999999997</v>
      </c>
      <c r="AU16" s="1100">
        <v>1.37E-2</v>
      </c>
      <c r="AV16" s="576">
        <f t="shared" ref="AV16:AV17" si="16">+AN16*AU16</f>
        <v>60.321100000000001</v>
      </c>
      <c r="AW16" s="1100">
        <f t="shared" ref="AW16:AW17" si="17">+AQ16+AS16+AU16</f>
        <v>0.12920000000000001</v>
      </c>
      <c r="AX16" s="576">
        <f>+AR16+AT16+AV16</f>
        <v>568.86760000000004</v>
      </c>
      <c r="AY16" s="576">
        <f>TARDANZA!K10</f>
        <v>0</v>
      </c>
      <c r="AZ16" s="576">
        <f>TARDANZA!L10</f>
        <v>77</v>
      </c>
      <c r="BA16" s="835"/>
      <c r="BB16" s="576">
        <f t="shared" si="9"/>
        <v>4621.6000000000004</v>
      </c>
      <c r="BC16" s="1092"/>
      <c r="BD16" s="576">
        <v>148.94999999999999</v>
      </c>
      <c r="BE16" s="576"/>
      <c r="BF16" s="576"/>
      <c r="BG16" s="576"/>
      <c r="BH16" s="829">
        <f>+'RTA 5TA'!F115</f>
        <v>149.56529945416901</v>
      </c>
      <c r="BI16" s="829">
        <f t="shared" si="10"/>
        <v>5565.9828994541695</v>
      </c>
      <c r="BJ16" s="595">
        <f>(+AM16-BI16)</f>
        <v>3609.530144024091</v>
      </c>
      <c r="BK16" s="1099">
        <v>0.09</v>
      </c>
      <c r="BL16" s="576">
        <f t="shared" si="4"/>
        <v>396.27</v>
      </c>
      <c r="BM16" s="923">
        <v>13.103999999999999</v>
      </c>
      <c r="BN16" s="923"/>
      <c r="BO16" s="1103" t="s">
        <v>203</v>
      </c>
      <c r="BP16" s="1062"/>
      <c r="BQ16" s="1062"/>
      <c r="BR16" s="543"/>
      <c r="BS16" s="554"/>
      <c r="BT16" s="835"/>
      <c r="BU16" s="546" t="s">
        <v>203</v>
      </c>
      <c r="BV16" s="543"/>
      <c r="BW16" s="543"/>
      <c r="BX16" s="543"/>
      <c r="BY16" s="543"/>
      <c r="BZ16" s="1192"/>
      <c r="CA16" s="1124"/>
      <c r="CB16" s="543"/>
      <c r="CC16" s="543"/>
      <c r="CD16" s="543"/>
      <c r="CE16" s="543"/>
      <c r="CF16" s="543"/>
      <c r="CG16" s="543"/>
      <c r="CH16" s="543"/>
      <c r="CI16" s="543"/>
      <c r="CJ16" s="543"/>
      <c r="CK16" s="543"/>
      <c r="CL16" s="543"/>
      <c r="CM16" s="543"/>
      <c r="CN16" s="543"/>
      <c r="CO16" s="543"/>
      <c r="CP16" s="543"/>
      <c r="CQ16" s="543"/>
      <c r="CR16" s="543"/>
      <c r="CS16" s="543"/>
      <c r="CT16" s="543"/>
      <c r="CU16" s="543"/>
      <c r="CV16" s="543"/>
      <c r="CW16" s="543"/>
      <c r="CX16" s="543"/>
      <c r="CY16" s="543"/>
      <c r="CZ16" s="543"/>
      <c r="DA16" s="543"/>
      <c r="DB16" s="543"/>
      <c r="DC16" s="543"/>
      <c r="DD16" s="543"/>
      <c r="DE16" s="543"/>
      <c r="DF16" s="543"/>
      <c r="DG16" s="543"/>
      <c r="DH16" s="543"/>
      <c r="DI16" s="543"/>
      <c r="DJ16" s="543"/>
      <c r="DK16" s="543"/>
      <c r="DL16" s="543"/>
      <c r="DM16" s="543"/>
      <c r="DN16" s="543"/>
      <c r="DO16" s="543"/>
      <c r="DP16" s="543"/>
      <c r="DQ16" s="543"/>
      <c r="DR16" s="543"/>
      <c r="DS16" s="543"/>
      <c r="DT16" s="543"/>
      <c r="DU16" s="543"/>
      <c r="DV16" s="543"/>
      <c r="DW16" s="543"/>
      <c r="DX16" s="543"/>
      <c r="DY16" s="543"/>
      <c r="DZ16" s="543"/>
      <c r="EA16" s="543"/>
      <c r="EB16" s="543"/>
      <c r="EC16" s="543"/>
      <c r="ED16" s="543"/>
      <c r="EE16" s="543"/>
      <c r="EF16" s="543"/>
      <c r="EG16" s="543"/>
      <c r="EH16" s="543"/>
      <c r="EI16" s="543"/>
      <c r="EJ16" s="543"/>
      <c r="EK16" s="543"/>
      <c r="EL16" s="543"/>
      <c r="EM16" s="543"/>
      <c r="EN16" s="543"/>
      <c r="EO16" s="543"/>
      <c r="EP16" s="543"/>
      <c r="EQ16" s="543"/>
      <c r="ER16" s="543"/>
      <c r="ES16" s="543"/>
      <c r="ET16" s="543"/>
      <c r="EU16" s="543"/>
      <c r="EV16" s="543"/>
      <c r="EW16" s="543"/>
      <c r="EX16" s="543"/>
    </row>
    <row r="17" spans="1:154" s="549" customFormat="1" ht="12.75" customHeight="1">
      <c r="A17" s="546" t="s">
        <v>216</v>
      </c>
      <c r="B17" s="1091">
        <f t="shared" si="12"/>
        <v>6</v>
      </c>
      <c r="C17" s="1092" t="s">
        <v>217</v>
      </c>
      <c r="D17" s="1101">
        <v>43172155</v>
      </c>
      <c r="E17" s="1102">
        <v>31249</v>
      </c>
      <c r="F17" s="1096">
        <v>42948</v>
      </c>
      <c r="G17" s="1096"/>
      <c r="H17" s="1097" t="s">
        <v>218</v>
      </c>
      <c r="I17" s="1098" t="s">
        <v>71</v>
      </c>
      <c r="J17" s="554">
        <v>6500</v>
      </c>
      <c r="K17" s="576">
        <v>113</v>
      </c>
      <c r="L17" s="1092">
        <v>30</v>
      </c>
      <c r="M17" s="1092"/>
      <c r="N17" s="1092"/>
      <c r="O17" s="1092">
        <f t="shared" si="0"/>
        <v>30</v>
      </c>
      <c r="P17" s="549">
        <v>8</v>
      </c>
      <c r="Q17" s="1092">
        <f t="shared" si="13"/>
        <v>240</v>
      </c>
      <c r="R17" s="1107">
        <f t="shared" si="1"/>
        <v>6500</v>
      </c>
      <c r="S17" s="923">
        <f t="shared" si="5"/>
        <v>113</v>
      </c>
      <c r="T17" s="829">
        <f t="shared" si="6"/>
        <v>0</v>
      </c>
      <c r="U17" s="576"/>
      <c r="V17" s="1107"/>
      <c r="W17" s="576">
        <f>H.E!L11</f>
        <v>0</v>
      </c>
      <c r="X17" s="576">
        <f>H.E!M11</f>
        <v>0</v>
      </c>
      <c r="Y17" s="576">
        <f>H.E!N11</f>
        <v>0</v>
      </c>
      <c r="Z17" s="576"/>
      <c r="AA17" s="576"/>
      <c r="AB17" s="576"/>
      <c r="AC17" s="829">
        <f>(J17+K17)/30*N17</f>
        <v>0</v>
      </c>
      <c r="AD17" s="576"/>
      <c r="AE17" s="576"/>
      <c r="AF17" s="576">
        <v>6613</v>
      </c>
      <c r="AG17" s="576">
        <v>595.16999999999996</v>
      </c>
      <c r="AH17" s="576"/>
      <c r="AI17" s="576"/>
      <c r="AJ17" s="576"/>
      <c r="AK17" s="1088"/>
      <c r="AL17" s="1104"/>
      <c r="AM17" s="576">
        <f t="shared" si="14"/>
        <v>13821.17</v>
      </c>
      <c r="AN17" s="1083">
        <f t="shared" si="8"/>
        <v>6613</v>
      </c>
      <c r="AO17" s="1108"/>
      <c r="AP17" s="576"/>
      <c r="AQ17" s="1100">
        <v>0.1</v>
      </c>
      <c r="AR17" s="1104">
        <f t="shared" si="2"/>
        <v>661.30000000000007</v>
      </c>
      <c r="AS17" s="1100">
        <v>1.55E-2</v>
      </c>
      <c r="AT17" s="576">
        <f t="shared" si="15"/>
        <v>102.50149999999999</v>
      </c>
      <c r="AU17" s="1100">
        <v>1.37E-2</v>
      </c>
      <c r="AV17" s="576">
        <f t="shared" si="16"/>
        <v>90.598100000000002</v>
      </c>
      <c r="AW17" s="1100">
        <f t="shared" si="17"/>
        <v>0.12920000000000001</v>
      </c>
      <c r="AX17" s="576">
        <f>+AR17+AT17+AV17</f>
        <v>854.39960000000008</v>
      </c>
      <c r="AY17" s="576">
        <f>TARDANZA!K11</f>
        <v>0</v>
      </c>
      <c r="AZ17" s="576">
        <f>TARDANZA!L11</f>
        <v>0</v>
      </c>
      <c r="BA17" s="835"/>
      <c r="BB17" s="576">
        <f t="shared" si="9"/>
        <v>7208.17</v>
      </c>
      <c r="BC17" s="1092"/>
      <c r="BD17" s="1092">
        <v>664.74</v>
      </c>
      <c r="BE17" s="576"/>
      <c r="BF17" s="576"/>
      <c r="BG17" s="576"/>
      <c r="BH17" s="829">
        <f>+'RTA 5TA'!G115</f>
        <v>1341.438825</v>
      </c>
      <c r="BI17" s="829">
        <f t="shared" si="10"/>
        <v>10068.748425</v>
      </c>
      <c r="BJ17" s="595">
        <f>(+AM17-BI17)</f>
        <v>3752.4215750000003</v>
      </c>
      <c r="BK17" s="1099">
        <v>0.09</v>
      </c>
      <c r="BL17" s="576">
        <f t="shared" si="4"/>
        <v>595.16999999999996</v>
      </c>
      <c r="BM17" s="923">
        <v>23.840699999999998</v>
      </c>
      <c r="BN17" s="923"/>
      <c r="BO17" s="1103" t="s">
        <v>203</v>
      </c>
      <c r="BP17" s="1062"/>
      <c r="BQ17" s="1062"/>
      <c r="BR17" s="543"/>
      <c r="BS17" s="554"/>
      <c r="BT17" s="835"/>
      <c r="BU17" s="546" t="s">
        <v>203</v>
      </c>
      <c r="BV17" s="543"/>
      <c r="BW17" s="543"/>
      <c r="BX17" s="543"/>
      <c r="BY17" s="543"/>
      <c r="BZ17" s="1192"/>
      <c r="CA17" s="1124"/>
      <c r="CB17" s="543"/>
      <c r="CC17" s="543"/>
      <c r="CD17" s="543"/>
      <c r="CE17" s="543"/>
      <c r="CF17" s="543"/>
      <c r="CG17" s="543"/>
      <c r="CH17" s="543"/>
      <c r="CI17" s="543"/>
      <c r="CJ17" s="543"/>
      <c r="CK17" s="543"/>
      <c r="CL17" s="543"/>
      <c r="CM17" s="543"/>
      <c r="CN17" s="543"/>
      <c r="CO17" s="543"/>
      <c r="CP17" s="543"/>
      <c r="CQ17" s="543"/>
      <c r="CR17" s="543"/>
      <c r="CS17" s="543"/>
      <c r="CT17" s="543"/>
      <c r="CU17" s="543"/>
      <c r="CV17" s="543"/>
      <c r="CW17" s="543"/>
      <c r="CX17" s="543"/>
      <c r="CY17" s="543"/>
      <c r="CZ17" s="543"/>
      <c r="DA17" s="543"/>
      <c r="DB17" s="543"/>
      <c r="DC17" s="543"/>
      <c r="DD17" s="543"/>
      <c r="DE17" s="543"/>
      <c r="DF17" s="543"/>
      <c r="DG17" s="543"/>
      <c r="DH17" s="543"/>
      <c r="DI17" s="543"/>
      <c r="DJ17" s="543"/>
      <c r="DK17" s="543"/>
      <c r="DL17" s="543"/>
      <c r="DM17" s="543"/>
      <c r="DN17" s="543"/>
      <c r="DO17" s="543"/>
      <c r="DP17" s="543"/>
      <c r="DQ17" s="543"/>
      <c r="DR17" s="543"/>
      <c r="DS17" s="543"/>
      <c r="DT17" s="543"/>
      <c r="DU17" s="543"/>
      <c r="DV17" s="543"/>
      <c r="DW17" s="543"/>
      <c r="DX17" s="543"/>
      <c r="DY17" s="543"/>
      <c r="DZ17" s="543"/>
      <c r="EA17" s="543"/>
      <c r="EB17" s="543"/>
      <c r="EC17" s="543"/>
      <c r="ED17" s="543"/>
      <c r="EE17" s="543"/>
      <c r="EF17" s="543"/>
      <c r="EG17" s="543"/>
      <c r="EH17" s="543"/>
      <c r="EI17" s="543"/>
      <c r="EJ17" s="543"/>
      <c r="EK17" s="543"/>
      <c r="EL17" s="543"/>
      <c r="EM17" s="543"/>
      <c r="EN17" s="543"/>
      <c r="EO17" s="543"/>
      <c r="EP17" s="543"/>
      <c r="EQ17" s="543"/>
      <c r="ER17" s="543"/>
      <c r="ES17" s="543"/>
      <c r="ET17" s="543"/>
      <c r="EU17" s="543"/>
      <c r="EV17" s="543"/>
      <c r="EW17" s="543"/>
      <c r="EX17" s="543"/>
    </row>
    <row r="18" spans="1:154" s="549" customFormat="1" ht="11.25" customHeight="1">
      <c r="A18" s="546" t="s">
        <v>200</v>
      </c>
      <c r="B18" s="1091">
        <f t="shared" si="12"/>
        <v>7</v>
      </c>
      <c r="C18" s="1092" t="s">
        <v>219</v>
      </c>
      <c r="D18" s="1101">
        <v>45538866</v>
      </c>
      <c r="E18" s="1102">
        <v>32147</v>
      </c>
      <c r="F18" s="1096">
        <v>42955</v>
      </c>
      <c r="G18" s="1096"/>
      <c r="H18" s="1097" t="s">
        <v>220</v>
      </c>
      <c r="I18" s="1098" t="s">
        <v>144</v>
      </c>
      <c r="J18" s="554">
        <v>4500</v>
      </c>
      <c r="K18" s="576">
        <v>113</v>
      </c>
      <c r="L18" s="1092">
        <v>30</v>
      </c>
      <c r="M18" s="1092"/>
      <c r="N18" s="1092">
        <v>1</v>
      </c>
      <c r="O18" s="1092">
        <f t="shared" si="0"/>
        <v>29</v>
      </c>
      <c r="P18" s="549">
        <v>8</v>
      </c>
      <c r="Q18" s="1092">
        <f t="shared" si="13"/>
        <v>232</v>
      </c>
      <c r="R18" s="1107">
        <f t="shared" si="1"/>
        <v>4346.2333333333336</v>
      </c>
      <c r="S18" s="923">
        <f t="shared" si="5"/>
        <v>113</v>
      </c>
      <c r="T18" s="829">
        <f t="shared" si="6"/>
        <v>0</v>
      </c>
      <c r="U18" s="576">
        <f>COMISIONES!J3</f>
        <v>12745.127600000002</v>
      </c>
      <c r="V18" s="1107">
        <f>(SUM(COMISIONES!D3:I3)/6)/30*'PLANILLA MENSUAL'!N18</f>
        <v>300.25417609981167</v>
      </c>
      <c r="W18" s="576">
        <f>H.E!L12</f>
        <v>0</v>
      </c>
      <c r="X18" s="576">
        <f>H.E!M12</f>
        <v>0</v>
      </c>
      <c r="Y18" s="576">
        <f>H.E!N12</f>
        <v>0</v>
      </c>
      <c r="Z18" s="576"/>
      <c r="AA18" s="576"/>
      <c r="AB18" s="576"/>
      <c r="AC18" s="829">
        <f>(J18+K18)/30*N18</f>
        <v>153.76666666666668</v>
      </c>
      <c r="AD18" s="576"/>
      <c r="AE18" s="576"/>
      <c r="AF18" s="576">
        <v>13620.625282994348</v>
      </c>
      <c r="AG18" s="576">
        <v>1225.8562754694913</v>
      </c>
      <c r="AH18" s="576"/>
      <c r="AI18" s="576"/>
      <c r="AJ18" s="576"/>
      <c r="AK18" s="1088"/>
      <c r="AL18" s="1104"/>
      <c r="AM18" s="576">
        <f t="shared" si="14"/>
        <v>32504.863334563652</v>
      </c>
      <c r="AN18" s="1083">
        <f t="shared" si="8"/>
        <v>17658.381776099814</v>
      </c>
      <c r="AO18" s="1108">
        <v>0.13</v>
      </c>
      <c r="AP18" s="576">
        <f>+AN18*AO18</f>
        <v>2295.5896308929759</v>
      </c>
      <c r="AQ18" s="1100"/>
      <c r="AR18" s="1104"/>
      <c r="AS18" s="1100"/>
      <c r="AT18" s="576"/>
      <c r="AU18" s="1100"/>
      <c r="AV18" s="576"/>
      <c r="AW18" s="1100"/>
      <c r="AX18" s="576"/>
      <c r="AY18" s="576">
        <f>TARDANZA!K12</f>
        <v>0</v>
      </c>
      <c r="AZ18" s="576">
        <f>TARDANZA!L12</f>
        <v>0</v>
      </c>
      <c r="BA18" s="835"/>
      <c r="BB18" s="576">
        <f t="shared" si="9"/>
        <v>14846.481558463838</v>
      </c>
      <c r="BC18" s="576"/>
      <c r="BD18" s="576"/>
      <c r="BE18" s="576">
        <f ca="1">'HT. EPS'!O46</f>
        <v>530.65356837288857</v>
      </c>
      <c r="BF18" s="576"/>
      <c r="BH18" s="829">
        <f>+'RTA 5TA VTAS'!E121</f>
        <v>3473.192165112604</v>
      </c>
      <c r="BI18" s="829">
        <f ca="1">+AX18+SUM(AY18:BH18)+AP18</f>
        <v>21145.916922842309</v>
      </c>
      <c r="BJ18" s="595">
        <f t="shared" ca="1" si="11"/>
        <v>11358.946411721343</v>
      </c>
      <c r="BK18" s="1099">
        <v>0.09</v>
      </c>
      <c r="BL18" s="576">
        <f>AN18*BK18</f>
        <v>1589.2543598489831</v>
      </c>
      <c r="BM18" s="923">
        <v>17.989999999999998</v>
      </c>
      <c r="BN18" s="1091" t="s">
        <v>182</v>
      </c>
      <c r="BO18" s="1103" t="s">
        <v>203</v>
      </c>
      <c r="BP18" s="1062"/>
      <c r="BQ18" s="1062"/>
      <c r="BR18" s="543"/>
      <c r="BS18" s="554"/>
      <c r="BT18" s="835"/>
      <c r="BU18" s="546" t="s">
        <v>203</v>
      </c>
      <c r="BV18" s="543"/>
      <c r="BW18" s="543"/>
      <c r="BX18" s="543"/>
      <c r="BY18" s="543"/>
      <c r="BZ18" s="1192"/>
      <c r="CA18" s="1124"/>
      <c r="CB18" s="543"/>
      <c r="CC18" s="543"/>
      <c r="CD18" s="543"/>
      <c r="CE18" s="543"/>
      <c r="CF18" s="543"/>
      <c r="CG18" s="543"/>
      <c r="CH18" s="543"/>
      <c r="CI18" s="543"/>
      <c r="CJ18" s="543"/>
      <c r="CK18" s="543"/>
      <c r="CL18" s="543"/>
      <c r="CM18" s="543"/>
      <c r="CN18" s="543"/>
      <c r="CO18" s="543"/>
      <c r="CP18" s="543"/>
      <c r="CQ18" s="543"/>
      <c r="CR18" s="543"/>
      <c r="CS18" s="543"/>
      <c r="CT18" s="543"/>
      <c r="CU18" s="543"/>
      <c r="CV18" s="543"/>
      <c r="CW18" s="543"/>
      <c r="CX18" s="543"/>
      <c r="CY18" s="543"/>
      <c r="CZ18" s="543"/>
      <c r="DA18" s="543"/>
      <c r="DB18" s="543"/>
      <c r="DC18" s="543"/>
      <c r="DD18" s="543"/>
      <c r="DE18" s="543"/>
      <c r="DF18" s="543"/>
      <c r="DG18" s="543"/>
      <c r="DH18" s="543"/>
      <c r="DI18" s="543"/>
      <c r="DJ18" s="543"/>
      <c r="DK18" s="543"/>
      <c r="DL18" s="543"/>
      <c r="DM18" s="543"/>
      <c r="DN18" s="543"/>
      <c r="DO18" s="543"/>
      <c r="DP18" s="543"/>
      <c r="DQ18" s="543"/>
      <c r="DR18" s="543"/>
      <c r="DS18" s="543"/>
      <c r="DT18" s="543"/>
      <c r="DU18" s="543"/>
      <c r="DV18" s="543"/>
      <c r="DW18" s="543"/>
      <c r="DX18" s="543"/>
      <c r="DY18" s="543"/>
      <c r="DZ18" s="543"/>
      <c r="EA18" s="543"/>
      <c r="EB18" s="543"/>
      <c r="EC18" s="543"/>
      <c r="ED18" s="543"/>
      <c r="EE18" s="543"/>
      <c r="EF18" s="543"/>
      <c r="EG18" s="543"/>
      <c r="EH18" s="543"/>
      <c r="EI18" s="543"/>
      <c r="EJ18" s="543"/>
      <c r="EK18" s="543"/>
      <c r="EL18" s="543"/>
      <c r="EM18" s="543"/>
      <c r="EN18" s="543"/>
      <c r="EO18" s="543"/>
      <c r="EP18" s="543"/>
      <c r="EQ18" s="543"/>
      <c r="ER18" s="543"/>
      <c r="ES18" s="543"/>
      <c r="ET18" s="543"/>
      <c r="EU18" s="543"/>
      <c r="EV18" s="543"/>
      <c r="EW18" s="543"/>
      <c r="EX18" s="543"/>
    </row>
    <row r="19" spans="1:154" s="549" customFormat="1">
      <c r="A19" s="546" t="s">
        <v>200</v>
      </c>
      <c r="B19" s="1091">
        <f t="shared" si="12"/>
        <v>8</v>
      </c>
      <c r="C19" s="580" t="s">
        <v>221</v>
      </c>
      <c r="D19" s="1101">
        <v>71127068</v>
      </c>
      <c r="E19" s="1102">
        <v>34500</v>
      </c>
      <c r="F19" s="1096">
        <v>43045</v>
      </c>
      <c r="G19" s="1096"/>
      <c r="H19" s="1097" t="s">
        <v>222</v>
      </c>
      <c r="I19" s="1098" t="s">
        <v>144</v>
      </c>
      <c r="J19" s="554">
        <v>2800</v>
      </c>
      <c r="K19" s="576"/>
      <c r="L19" s="1092">
        <v>30</v>
      </c>
      <c r="M19" s="1092">
        <v>1</v>
      </c>
      <c r="N19" s="1092"/>
      <c r="O19" s="1092">
        <f t="shared" si="0"/>
        <v>29</v>
      </c>
      <c r="P19" s="549">
        <v>8</v>
      </c>
      <c r="Q19" s="1092">
        <f t="shared" si="13"/>
        <v>232</v>
      </c>
      <c r="R19" s="1107">
        <f t="shared" si="1"/>
        <v>2706.6666666666665</v>
      </c>
      <c r="S19" s="923">
        <f t="shared" si="5"/>
        <v>0</v>
      </c>
      <c r="T19" s="829">
        <f t="shared" si="6"/>
        <v>93.333333333333329</v>
      </c>
      <c r="U19" s="576"/>
      <c r="V19" s="1107"/>
      <c r="W19" s="576">
        <f>H.E!L13</f>
        <v>0</v>
      </c>
      <c r="X19" s="576">
        <f>H.E!M13</f>
        <v>0</v>
      </c>
      <c r="Y19" s="576">
        <f>H.E!N13</f>
        <v>0</v>
      </c>
      <c r="Z19" s="576"/>
      <c r="AA19" s="576"/>
      <c r="AB19" s="576"/>
      <c r="AC19" s="829">
        <f t="shared" si="7"/>
        <v>0</v>
      </c>
      <c r="AD19" s="576"/>
      <c r="AE19" s="576"/>
      <c r="AF19" s="576">
        <v>3600</v>
      </c>
      <c r="AG19" s="576">
        <v>324</v>
      </c>
      <c r="AH19" s="576">
        <v>800</v>
      </c>
      <c r="AI19" s="576"/>
      <c r="AJ19" s="576"/>
      <c r="AK19" s="1088"/>
      <c r="AL19" s="1104"/>
      <c r="AM19" s="576">
        <f t="shared" si="14"/>
        <v>7524</v>
      </c>
      <c r="AN19" s="1083">
        <f>+AM19-Z19-AD19-AE19-AF19-AG19-AJ19-AK19-AI19-AY19-AZ19</f>
        <v>3588.5277777777778</v>
      </c>
      <c r="AO19" s="1108">
        <v>0.13</v>
      </c>
      <c r="AP19" s="576">
        <f>+AN19*AO19</f>
        <v>466.50861111111112</v>
      </c>
      <c r="AQ19" s="1100"/>
      <c r="AR19" s="1104"/>
      <c r="AS19" s="1100"/>
      <c r="AT19" s="576"/>
      <c r="AU19" s="1100"/>
      <c r="AV19" s="576"/>
      <c r="AW19" s="1100"/>
      <c r="AX19" s="576"/>
      <c r="AY19" s="576">
        <f>TARDANZA!K13</f>
        <v>0</v>
      </c>
      <c r="AZ19" s="576">
        <f>TARDANZA!L13</f>
        <v>11.472222222222223</v>
      </c>
      <c r="BA19" s="835"/>
      <c r="BB19" s="576">
        <f t="shared" si="9"/>
        <v>3924</v>
      </c>
      <c r="BC19" s="576"/>
      <c r="BD19" s="576"/>
      <c r="BE19" s="576">
        <f ca="1">'HT. EPS'!O37</f>
        <v>76.416280237295339</v>
      </c>
      <c r="BF19" s="576"/>
      <c r="BH19" s="829">
        <f>+'RTA 5TA'!O115</f>
        <v>31.89861471861472</v>
      </c>
      <c r="BI19" s="829">
        <f t="shared" ca="1" si="10"/>
        <v>4510.295728289243</v>
      </c>
      <c r="BJ19" s="595">
        <f t="shared" ca="1" si="11"/>
        <v>3013.704271710757</v>
      </c>
      <c r="BK19" s="1099">
        <v>0.09</v>
      </c>
      <c r="BL19" s="576">
        <f t="shared" si="4"/>
        <v>322.96749999999997</v>
      </c>
      <c r="BM19" s="923">
        <v>3.15</v>
      </c>
      <c r="BN19" s="1091" t="s">
        <v>182</v>
      </c>
      <c r="BO19" s="1103" t="s">
        <v>210</v>
      </c>
      <c r="BP19" s="1062"/>
      <c r="BQ19" s="1062"/>
      <c r="BR19" s="543"/>
      <c r="BS19" s="554"/>
      <c r="BT19" s="835"/>
      <c r="BU19" s="546" t="s">
        <v>210</v>
      </c>
      <c r="BV19" s="543"/>
      <c r="BW19" s="543"/>
      <c r="BX19" s="543"/>
      <c r="BY19" s="543"/>
      <c r="BZ19" s="1192"/>
      <c r="CA19" s="1124"/>
      <c r="CB19" s="543"/>
      <c r="CC19" s="543"/>
      <c r="CD19" s="543"/>
      <c r="CE19" s="543"/>
      <c r="CF19" s="543"/>
      <c r="CG19" s="543"/>
      <c r="CH19" s="543"/>
      <c r="CI19" s="543"/>
      <c r="CJ19" s="543"/>
      <c r="CK19" s="543"/>
      <c r="CL19" s="543"/>
      <c r="CM19" s="543"/>
      <c r="CN19" s="543"/>
      <c r="CO19" s="543"/>
      <c r="CP19" s="543"/>
      <c r="CQ19" s="543"/>
      <c r="CR19" s="543"/>
      <c r="CS19" s="543"/>
      <c r="CT19" s="543"/>
      <c r="CU19" s="543"/>
      <c r="CV19" s="543"/>
      <c r="CW19" s="543"/>
      <c r="CX19" s="543"/>
      <c r="CY19" s="543"/>
      <c r="CZ19" s="543"/>
      <c r="DA19" s="543"/>
      <c r="DB19" s="543"/>
      <c r="DC19" s="543"/>
      <c r="DD19" s="543"/>
      <c r="DE19" s="543"/>
      <c r="DF19" s="543"/>
      <c r="DG19" s="543"/>
      <c r="DH19" s="543"/>
      <c r="DI19" s="543"/>
      <c r="DJ19" s="543"/>
      <c r="DK19" s="543"/>
      <c r="DL19" s="543"/>
      <c r="DM19" s="543"/>
      <c r="DN19" s="543"/>
      <c r="DO19" s="543"/>
      <c r="DP19" s="543"/>
      <c r="DQ19" s="543"/>
      <c r="DR19" s="543"/>
      <c r="DS19" s="543"/>
      <c r="DT19" s="543"/>
      <c r="DU19" s="543"/>
      <c r="DV19" s="543"/>
      <c r="DW19" s="543"/>
      <c r="DX19" s="543"/>
      <c r="DY19" s="543"/>
      <c r="DZ19" s="543"/>
      <c r="EA19" s="543"/>
      <c r="EB19" s="543"/>
      <c r="EC19" s="543"/>
      <c r="ED19" s="543"/>
      <c r="EE19" s="543"/>
      <c r="EF19" s="543"/>
      <c r="EG19" s="543"/>
      <c r="EH19" s="543"/>
      <c r="EI19" s="543"/>
      <c r="EJ19" s="543"/>
      <c r="EK19" s="543"/>
      <c r="EL19" s="543"/>
      <c r="EM19" s="543"/>
      <c r="EN19" s="543"/>
      <c r="EO19" s="543"/>
      <c r="EP19" s="543"/>
      <c r="EQ19" s="543"/>
      <c r="ER19" s="543"/>
      <c r="ES19" s="543"/>
      <c r="ET19" s="543"/>
      <c r="EU19" s="543"/>
      <c r="EV19" s="543"/>
      <c r="EW19" s="543"/>
      <c r="EX19" s="543"/>
    </row>
    <row r="20" spans="1:154" s="1118" customFormat="1">
      <c r="A20" s="1109" t="s">
        <v>216</v>
      </c>
      <c r="B20" s="1110">
        <f t="shared" si="12"/>
        <v>9</v>
      </c>
      <c r="C20" s="580" t="s">
        <v>223</v>
      </c>
      <c r="D20" s="1112">
        <v>46497553</v>
      </c>
      <c r="E20" s="1113">
        <v>33124</v>
      </c>
      <c r="F20" s="1114">
        <v>44018</v>
      </c>
      <c r="G20" s="1114"/>
      <c r="H20" s="1115" t="s">
        <v>224</v>
      </c>
      <c r="I20" s="1116" t="s">
        <v>71</v>
      </c>
      <c r="J20" s="554">
        <v>2600</v>
      </c>
      <c r="K20" s="1117"/>
      <c r="L20" s="1111">
        <v>30</v>
      </c>
      <c r="M20" s="1111"/>
      <c r="N20" s="1092"/>
      <c r="O20" s="1092">
        <f t="shared" si="0"/>
        <v>30</v>
      </c>
      <c r="P20" s="1118">
        <v>8</v>
      </c>
      <c r="Q20" s="1111">
        <f t="shared" si="13"/>
        <v>240</v>
      </c>
      <c r="R20" s="1107">
        <f t="shared" si="1"/>
        <v>2600</v>
      </c>
      <c r="S20" s="923">
        <f t="shared" si="5"/>
        <v>0</v>
      </c>
      <c r="T20" s="829">
        <f t="shared" si="6"/>
        <v>0</v>
      </c>
      <c r="U20" s="576"/>
      <c r="V20" s="1119"/>
      <c r="W20" s="576">
        <f>H.E!L14</f>
        <v>0</v>
      </c>
      <c r="X20" s="576">
        <f>H.E!M14</f>
        <v>0</v>
      </c>
      <c r="Y20" s="576">
        <f>H.E!N14</f>
        <v>0</v>
      </c>
      <c r="Z20" s="1117"/>
      <c r="AA20" s="576"/>
      <c r="AB20" s="1117"/>
      <c r="AC20" s="829">
        <f t="shared" si="7"/>
        <v>0</v>
      </c>
      <c r="AD20" s="1117"/>
      <c r="AE20" s="576"/>
      <c r="AF20" s="1117">
        <v>2600</v>
      </c>
      <c r="AG20" s="1117">
        <v>234</v>
      </c>
      <c r="AH20" s="576"/>
      <c r="AI20" s="1117"/>
      <c r="AJ20" s="576"/>
      <c r="AK20" s="1120"/>
      <c r="AL20" s="1111"/>
      <c r="AM20" s="576">
        <f t="shared" si="14"/>
        <v>5434</v>
      </c>
      <c r="AN20" s="1083">
        <f t="shared" si="8"/>
        <v>2588.625</v>
      </c>
      <c r="AO20" s="1121"/>
      <c r="AP20" s="1117"/>
      <c r="AQ20" s="1122">
        <v>0.1</v>
      </c>
      <c r="AR20" s="1123">
        <f>+AN20*AQ20</f>
        <v>258.86250000000001</v>
      </c>
      <c r="AS20" s="1122">
        <v>0</v>
      </c>
      <c r="AT20" s="1117">
        <f>+AN20*AS20</f>
        <v>0</v>
      </c>
      <c r="AU20" s="1122">
        <v>1.37E-2</v>
      </c>
      <c r="AV20" s="1117">
        <f>+AN20*AU20</f>
        <v>35.4641625</v>
      </c>
      <c r="AW20" s="1122">
        <f t="shared" ref="AW20:AX22" si="18">+AQ20+AS20+AU20</f>
        <v>0.11370000000000001</v>
      </c>
      <c r="AX20" s="1117">
        <f t="shared" si="18"/>
        <v>294.3266625</v>
      </c>
      <c r="AY20" s="576">
        <f>TARDANZA!K14</f>
        <v>0</v>
      </c>
      <c r="AZ20" s="576">
        <f>TARDANZA!L14</f>
        <v>11.375</v>
      </c>
      <c r="BA20" s="835"/>
      <c r="BB20" s="576">
        <f t="shared" si="9"/>
        <v>2834</v>
      </c>
      <c r="BC20" s="576"/>
      <c r="BD20" s="576"/>
      <c r="BE20" s="576">
        <f ca="1">'HT. EPS'!O37</f>
        <v>76.416280237295339</v>
      </c>
      <c r="BF20" s="576"/>
      <c r="BH20" s="845">
        <f>+'RTA 5TA'!I115</f>
        <v>0</v>
      </c>
      <c r="BI20" s="829">
        <f t="shared" ca="1" si="10"/>
        <v>3216.1179427372954</v>
      </c>
      <c r="BJ20" s="595">
        <f t="shared" ca="1" si="11"/>
        <v>2217.8820572627046</v>
      </c>
      <c r="BK20" s="1121">
        <v>0.09</v>
      </c>
      <c r="BL20" s="1117">
        <f t="shared" si="4"/>
        <v>232.97624999999999</v>
      </c>
      <c r="BM20" s="1087">
        <v>3.75</v>
      </c>
      <c r="BN20" s="1110" t="s">
        <v>182</v>
      </c>
      <c r="BO20" s="1111" t="s">
        <v>210</v>
      </c>
      <c r="BR20" s="544"/>
      <c r="BS20" s="554"/>
      <c r="BT20" s="835"/>
      <c r="BU20" s="1109" t="s">
        <v>210</v>
      </c>
      <c r="BV20" s="543"/>
      <c r="BW20" s="544"/>
      <c r="BX20" s="544"/>
      <c r="BY20" s="544"/>
      <c r="BZ20" s="1193"/>
      <c r="CA20" s="1124"/>
      <c r="CB20" s="544"/>
      <c r="CC20" s="544"/>
      <c r="CD20" s="544"/>
      <c r="CE20" s="544"/>
      <c r="CF20" s="544"/>
      <c r="CG20" s="544"/>
      <c r="CH20" s="544"/>
      <c r="CI20" s="544"/>
      <c r="CJ20" s="544"/>
      <c r="CK20" s="544"/>
      <c r="CL20" s="544"/>
      <c r="CM20" s="544"/>
      <c r="CN20" s="544"/>
      <c r="CO20" s="544"/>
      <c r="CP20" s="544"/>
      <c r="CQ20" s="544"/>
      <c r="CR20" s="544"/>
      <c r="CS20" s="544"/>
      <c r="CT20" s="544"/>
      <c r="CU20" s="544"/>
      <c r="CV20" s="544"/>
      <c r="CW20" s="544"/>
      <c r="CX20" s="544"/>
      <c r="CY20" s="544"/>
      <c r="CZ20" s="544"/>
      <c r="DA20" s="544"/>
      <c r="DB20" s="544"/>
      <c r="DC20" s="544"/>
      <c r="DD20" s="544"/>
      <c r="DE20" s="544"/>
      <c r="DF20" s="544"/>
      <c r="DG20" s="544"/>
      <c r="DH20" s="544"/>
      <c r="DI20" s="544"/>
      <c r="DJ20" s="544"/>
      <c r="DK20" s="544"/>
      <c r="DL20" s="544"/>
      <c r="DM20" s="544"/>
      <c r="DN20" s="544"/>
      <c r="DO20" s="544"/>
      <c r="DP20" s="544"/>
      <c r="DQ20" s="544"/>
      <c r="DR20" s="544"/>
      <c r="DS20" s="544"/>
      <c r="DT20" s="544"/>
      <c r="DU20" s="544"/>
      <c r="DV20" s="544"/>
      <c r="DW20" s="544"/>
      <c r="DX20" s="544"/>
      <c r="DY20" s="544"/>
      <c r="DZ20" s="544"/>
      <c r="EA20" s="544"/>
      <c r="EB20" s="544"/>
      <c r="EC20" s="544"/>
      <c r="ED20" s="544"/>
      <c r="EE20" s="544"/>
      <c r="EF20" s="544"/>
      <c r="EG20" s="544"/>
      <c r="EH20" s="544"/>
      <c r="EI20" s="544"/>
      <c r="EJ20" s="544"/>
      <c r="EK20" s="544"/>
      <c r="EL20" s="544"/>
      <c r="EM20" s="544"/>
      <c r="EN20" s="544"/>
      <c r="EO20" s="544"/>
      <c r="EP20" s="544"/>
      <c r="EQ20" s="544"/>
      <c r="ER20" s="544"/>
      <c r="ES20" s="544"/>
      <c r="ET20" s="544"/>
      <c r="EU20" s="544"/>
      <c r="EV20" s="544"/>
      <c r="EW20" s="544"/>
      <c r="EX20" s="544"/>
    </row>
    <row r="21" spans="1:154" s="549" customFormat="1">
      <c r="A21" s="546" t="s">
        <v>225</v>
      </c>
      <c r="B21" s="1091">
        <f t="shared" si="12"/>
        <v>10</v>
      </c>
      <c r="C21" s="580" t="s">
        <v>226</v>
      </c>
      <c r="D21" s="1101">
        <v>44030334</v>
      </c>
      <c r="E21" s="1102">
        <v>31334</v>
      </c>
      <c r="F21" s="1096">
        <v>44321</v>
      </c>
      <c r="G21" s="1096"/>
      <c r="H21" s="1097" t="s">
        <v>227</v>
      </c>
      <c r="I21" s="1098" t="s">
        <v>72</v>
      </c>
      <c r="J21" s="554">
        <v>2200</v>
      </c>
      <c r="K21" s="576">
        <v>113</v>
      </c>
      <c r="L21" s="1092">
        <v>30</v>
      </c>
      <c r="M21" s="1092"/>
      <c r="N21" s="1092"/>
      <c r="O21" s="1092">
        <f t="shared" si="0"/>
        <v>30</v>
      </c>
      <c r="P21" s="549">
        <v>8</v>
      </c>
      <c r="Q21" s="1092">
        <f t="shared" si="13"/>
        <v>240</v>
      </c>
      <c r="R21" s="1107">
        <f t="shared" si="1"/>
        <v>2200</v>
      </c>
      <c r="S21" s="923">
        <f t="shared" si="5"/>
        <v>113</v>
      </c>
      <c r="T21" s="829">
        <f t="shared" si="6"/>
        <v>0</v>
      </c>
      <c r="U21" s="576"/>
      <c r="V21" s="1107"/>
      <c r="W21" s="576">
        <f>H.E!L15</f>
        <v>78.3046875</v>
      </c>
      <c r="X21" s="576">
        <f>H.E!M15</f>
        <v>19.5159375</v>
      </c>
      <c r="Y21" s="576">
        <f>H.E!N15</f>
        <v>308.39999999999998</v>
      </c>
      <c r="Z21" s="1117">
        <v>100</v>
      </c>
      <c r="AA21" s="576"/>
      <c r="AB21" s="1107"/>
      <c r="AC21" s="829">
        <f t="shared" si="7"/>
        <v>0</v>
      </c>
      <c r="AD21" s="1107"/>
      <c r="AE21" s="576"/>
      <c r="AF21" s="1107">
        <v>2313</v>
      </c>
      <c r="AG21" s="1107">
        <v>208.17</v>
      </c>
      <c r="AH21" s="576"/>
      <c r="AI21" s="1107"/>
      <c r="AJ21" s="576"/>
      <c r="AK21" s="1092"/>
      <c r="AL21" s="1104"/>
      <c r="AM21" s="576">
        <f t="shared" si="14"/>
        <v>5340.390625</v>
      </c>
      <c r="AN21" s="1083">
        <f t="shared" si="8"/>
        <v>2707.1737499999999</v>
      </c>
      <c r="AO21" s="1108"/>
      <c r="AP21" s="576"/>
      <c r="AQ21" s="1100">
        <v>0.1</v>
      </c>
      <c r="AR21" s="1104">
        <f>+AN21*AQ21</f>
        <v>270.717375</v>
      </c>
      <c r="AS21" s="1100">
        <v>1.6E-2</v>
      </c>
      <c r="AT21" s="1248">
        <f>+AN21*AS21</f>
        <v>43.314779999999999</v>
      </c>
      <c r="AU21" s="1100">
        <v>1.37E-2</v>
      </c>
      <c r="AV21" s="576">
        <f t="shared" ref="AV21" si="19">+AN21*AU21</f>
        <v>37.088280374999997</v>
      </c>
      <c r="AW21" s="1100">
        <f t="shared" si="18"/>
        <v>0.12970000000000001</v>
      </c>
      <c r="AX21" s="576">
        <f t="shared" si="18"/>
        <v>351.120435375</v>
      </c>
      <c r="AY21" s="576">
        <f>TARDANZA!K15</f>
        <v>0</v>
      </c>
      <c r="AZ21" s="576">
        <f>TARDANZA!L15</f>
        <v>12.046875</v>
      </c>
      <c r="BA21" s="835"/>
      <c r="BB21" s="576">
        <f t="shared" si="9"/>
        <v>2521.17</v>
      </c>
      <c r="BC21" s="576">
        <f>500+500</f>
        <v>1000</v>
      </c>
      <c r="BD21" s="576"/>
      <c r="BE21" s="576"/>
      <c r="BF21" s="576"/>
      <c r="BH21" s="845"/>
      <c r="BI21" s="829">
        <f t="shared" si="10"/>
        <v>3884.337310375</v>
      </c>
      <c r="BJ21" s="1254">
        <f>(+AM21-BI21)</f>
        <v>1456.053314625</v>
      </c>
      <c r="BK21" s="1099">
        <v>0.09</v>
      </c>
      <c r="BL21" s="576">
        <f t="shared" si="4"/>
        <v>243.64563749999999</v>
      </c>
      <c r="BM21" s="923">
        <v>8.2407000000000004</v>
      </c>
      <c r="BN21" s="1091"/>
      <c r="BO21" s="1103" t="s">
        <v>203</v>
      </c>
      <c r="BP21" s="1278">
        <f>100/23*19</f>
        <v>82.608695652173907</v>
      </c>
      <c r="BQ21" s="921">
        <f>BP21+BJ21</f>
        <v>1538.662010277174</v>
      </c>
      <c r="BR21" s="543"/>
      <c r="BS21" s="1278"/>
      <c r="BT21" s="1286"/>
      <c r="BU21" s="546" t="s">
        <v>203</v>
      </c>
      <c r="BV21" s="543"/>
      <c r="BW21" s="543"/>
      <c r="BX21" s="543"/>
      <c r="BY21" s="543"/>
      <c r="BZ21" s="1192"/>
      <c r="CA21" s="1124"/>
      <c r="CB21" s="543"/>
      <c r="CC21" s="543"/>
      <c r="CD21" s="543"/>
      <c r="CE21" s="543"/>
      <c r="CF21" s="543"/>
      <c r="CG21" s="543"/>
      <c r="CH21" s="543"/>
      <c r="CI21" s="543"/>
      <c r="CJ21" s="543"/>
      <c r="CK21" s="543"/>
      <c r="CL21" s="543"/>
      <c r="CM21" s="543"/>
      <c r="CN21" s="543"/>
      <c r="CO21" s="543"/>
      <c r="CP21" s="543"/>
      <c r="CQ21" s="543"/>
      <c r="CR21" s="543"/>
      <c r="CS21" s="543"/>
      <c r="CT21" s="543"/>
      <c r="CU21" s="543"/>
      <c r="CV21" s="543"/>
      <c r="CW21" s="543"/>
      <c r="CX21" s="543"/>
      <c r="CY21" s="543"/>
      <c r="CZ21" s="543"/>
      <c r="DA21" s="543"/>
      <c r="DB21" s="543"/>
      <c r="DC21" s="543"/>
      <c r="DD21" s="543"/>
      <c r="DE21" s="543"/>
      <c r="DF21" s="543"/>
      <c r="DG21" s="543"/>
      <c r="DH21" s="543"/>
      <c r="DI21" s="543"/>
      <c r="DJ21" s="543"/>
      <c r="DK21" s="543"/>
      <c r="DL21" s="543"/>
      <c r="DM21" s="543"/>
      <c r="DN21" s="543"/>
      <c r="DO21" s="543"/>
      <c r="DP21" s="543"/>
      <c r="DQ21" s="543"/>
      <c r="DR21" s="543"/>
      <c r="DS21" s="543"/>
      <c r="DT21" s="543"/>
      <c r="DU21" s="543"/>
      <c r="DV21" s="543"/>
      <c r="DW21" s="543"/>
      <c r="DX21" s="543"/>
      <c r="DY21" s="543"/>
      <c r="DZ21" s="543"/>
      <c r="EA21" s="543"/>
      <c r="EB21" s="543"/>
      <c r="EC21" s="543"/>
      <c r="ED21" s="543"/>
      <c r="EE21" s="543"/>
      <c r="EF21" s="543"/>
      <c r="EG21" s="543"/>
      <c r="EH21" s="543"/>
      <c r="EI21" s="543"/>
      <c r="EJ21" s="543"/>
      <c r="EK21" s="543"/>
      <c r="EL21" s="543"/>
      <c r="EM21" s="543"/>
      <c r="EN21" s="543"/>
      <c r="EO21" s="543"/>
      <c r="EP21" s="543"/>
      <c r="EQ21" s="543"/>
      <c r="ER21" s="543"/>
      <c r="ES21" s="543"/>
      <c r="ET21" s="543"/>
      <c r="EU21" s="543"/>
      <c r="EV21" s="543"/>
      <c r="EW21" s="543"/>
      <c r="EX21" s="543"/>
    </row>
    <row r="22" spans="1:154" s="549" customFormat="1">
      <c r="A22" s="546" t="s">
        <v>200</v>
      </c>
      <c r="B22" s="1091">
        <f t="shared" si="12"/>
        <v>11</v>
      </c>
      <c r="C22" s="1092" t="s">
        <v>228</v>
      </c>
      <c r="D22" s="1101">
        <v>7882846</v>
      </c>
      <c r="E22" s="1102">
        <v>26945</v>
      </c>
      <c r="F22" s="1096">
        <v>44593</v>
      </c>
      <c r="G22" s="1096"/>
      <c r="H22" s="1097" t="s">
        <v>229</v>
      </c>
      <c r="I22" s="1098" t="s">
        <v>72</v>
      </c>
      <c r="J22" s="554">
        <v>3800</v>
      </c>
      <c r="K22" s="576">
        <v>113</v>
      </c>
      <c r="L22" s="1092">
        <v>30</v>
      </c>
      <c r="M22" s="1092">
        <v>10</v>
      </c>
      <c r="N22" s="1399">
        <v>14</v>
      </c>
      <c r="O22" s="1092">
        <f t="shared" si="0"/>
        <v>6</v>
      </c>
      <c r="P22" s="549">
        <v>8</v>
      </c>
      <c r="Q22" s="1092">
        <f t="shared" si="13"/>
        <v>48</v>
      </c>
      <c r="R22" s="1107">
        <f t="shared" si="1"/>
        <v>707.26666666666665</v>
      </c>
      <c r="S22" s="923">
        <f t="shared" si="5"/>
        <v>113</v>
      </c>
      <c r="T22" s="829">
        <f>(J22)/30*M22</f>
        <v>1266.6666666666667</v>
      </c>
      <c r="U22" s="576">
        <f>COMISIONES!J4</f>
        <v>1771.03755</v>
      </c>
      <c r="V22" s="1119">
        <f>(SUM(COMISIONES!D4:I4)/6)/30*N22</f>
        <v>1445.8005683333336</v>
      </c>
      <c r="W22" s="576">
        <f>H.E!L16</f>
        <v>0</v>
      </c>
      <c r="X22" s="576">
        <f>H.E!M16</f>
        <v>0</v>
      </c>
      <c r="Y22" s="576">
        <f>H.E!N16</f>
        <v>0</v>
      </c>
      <c r="Z22" s="1117"/>
      <c r="AA22" s="576"/>
      <c r="AB22" s="1107"/>
      <c r="AC22" s="829">
        <f t="shared" si="7"/>
        <v>1826.0666666666666</v>
      </c>
      <c r="AD22" s="1107"/>
      <c r="AE22" s="576"/>
      <c r="AF22" s="1107">
        <v>7011.1440750000002</v>
      </c>
      <c r="AG22" s="1107">
        <v>631.00296675000004</v>
      </c>
      <c r="AH22" s="576"/>
      <c r="AI22" s="1107"/>
      <c r="AJ22" s="576"/>
      <c r="AK22" s="1092"/>
      <c r="AL22" s="1104"/>
      <c r="AM22" s="576">
        <f t="shared" si="14"/>
        <v>14771.985160083334</v>
      </c>
      <c r="AN22" s="1083">
        <f t="shared" si="8"/>
        <v>7129.8381183333331</v>
      </c>
      <c r="AO22" s="1108"/>
      <c r="AP22" s="576"/>
      <c r="AQ22" s="1100">
        <v>0.1</v>
      </c>
      <c r="AR22" s="1104">
        <f t="shared" ref="AR22" si="20">+AN22*AQ22</f>
        <v>712.98381183333333</v>
      </c>
      <c r="AS22" s="1100">
        <v>0</v>
      </c>
      <c r="AT22" s="576">
        <f>+AN22*AS22</f>
        <v>0</v>
      </c>
      <c r="AU22" s="1100">
        <v>1.37E-2</v>
      </c>
      <c r="AV22" s="576">
        <f>+AN22*AU22</f>
        <v>97.678782221166671</v>
      </c>
      <c r="AW22" s="1100">
        <f t="shared" si="18"/>
        <v>0.11370000000000001</v>
      </c>
      <c r="AX22" s="576">
        <f t="shared" si="18"/>
        <v>810.6625940545</v>
      </c>
      <c r="AY22" s="576">
        <f>TARDANZA!K16</f>
        <v>0</v>
      </c>
      <c r="AZ22" s="576">
        <f>TARDANZA!L16</f>
        <v>0</v>
      </c>
      <c r="BA22" s="835"/>
      <c r="BB22" s="576">
        <f t="shared" si="9"/>
        <v>7642.1470417500004</v>
      </c>
      <c r="BC22" s="576"/>
      <c r="BD22" s="576"/>
      <c r="BE22" s="576">
        <f ca="1">'HT. EPS'!O37</f>
        <v>76.416280237295339</v>
      </c>
      <c r="BF22" s="576"/>
      <c r="BH22" s="845">
        <f>+'RTA 5TA VTAS'!F121</f>
        <v>740.27667813744358</v>
      </c>
      <c r="BI22" s="829">
        <f t="shared" ca="1" si="10"/>
        <v>9269.5025941792392</v>
      </c>
      <c r="BJ22" s="1330">
        <f t="shared" ca="1" si="11"/>
        <v>5502.4825659040944</v>
      </c>
      <c r="BK22" s="1099">
        <v>0.09</v>
      </c>
      <c r="BL22" s="576">
        <f t="shared" si="4"/>
        <v>641.68543064999994</v>
      </c>
      <c r="BM22" s="923">
        <v>14.09</v>
      </c>
      <c r="BN22" s="1091" t="s">
        <v>182</v>
      </c>
      <c r="BO22" s="1092" t="s">
        <v>759</v>
      </c>
      <c r="BP22" s="549" t="s">
        <v>210</v>
      </c>
      <c r="BR22" s="579"/>
      <c r="BS22" s="554"/>
      <c r="BT22" s="835"/>
      <c r="BU22" s="1196" t="s">
        <v>759</v>
      </c>
      <c r="BV22" s="1175">
        <v>1460</v>
      </c>
      <c r="BW22" s="543"/>
      <c r="BX22" s="543"/>
      <c r="BY22" s="543"/>
      <c r="BZ22" s="1192"/>
      <c r="CA22" s="1124"/>
      <c r="CB22" s="543"/>
      <c r="CC22" s="543"/>
      <c r="CD22" s="543"/>
      <c r="CE22" s="543"/>
      <c r="CF22" s="543"/>
      <c r="CG22" s="543"/>
      <c r="CH22" s="543"/>
      <c r="CI22" s="543"/>
      <c r="CJ22" s="543"/>
      <c r="CK22" s="543"/>
      <c r="CL22" s="543"/>
      <c r="CM22" s="543"/>
      <c r="CN22" s="543"/>
      <c r="CO22" s="543"/>
      <c r="CP22" s="543"/>
      <c r="CQ22" s="543"/>
      <c r="CR22" s="543"/>
      <c r="CS22" s="543"/>
      <c r="CT22" s="543"/>
      <c r="CU22" s="543"/>
      <c r="CV22" s="543"/>
      <c r="CW22" s="543"/>
      <c r="CX22" s="543"/>
      <c r="CY22" s="543"/>
      <c r="CZ22" s="543"/>
      <c r="DA22" s="543"/>
      <c r="DB22" s="543"/>
      <c r="DC22" s="543"/>
      <c r="DD22" s="543"/>
      <c r="DE22" s="543"/>
      <c r="DF22" s="543"/>
      <c r="DG22" s="543"/>
      <c r="DH22" s="543"/>
      <c r="DI22" s="543"/>
      <c r="DJ22" s="543"/>
      <c r="DK22" s="543"/>
      <c r="DL22" s="543"/>
      <c r="DM22" s="543"/>
      <c r="DN22" s="543"/>
      <c r="DO22" s="543"/>
      <c r="DP22" s="543"/>
      <c r="DQ22" s="543"/>
      <c r="DR22" s="543"/>
      <c r="DS22" s="543"/>
      <c r="DT22" s="543"/>
      <c r="DU22" s="543"/>
      <c r="DV22" s="543"/>
      <c r="DW22" s="543"/>
      <c r="DX22" s="543"/>
      <c r="DY22" s="543"/>
      <c r="DZ22" s="543"/>
      <c r="EA22" s="543"/>
      <c r="EB22" s="543"/>
      <c r="EC22" s="543"/>
      <c r="ED22" s="543"/>
      <c r="EE22" s="543"/>
      <c r="EF22" s="543"/>
      <c r="EG22" s="543"/>
      <c r="EH22" s="543"/>
      <c r="EI22" s="543"/>
      <c r="EJ22" s="543"/>
      <c r="EK22" s="543"/>
      <c r="EL22" s="543"/>
      <c r="EM22" s="543"/>
      <c r="EN22" s="543"/>
      <c r="EO22" s="543"/>
      <c r="EP22" s="543"/>
      <c r="EQ22" s="543"/>
      <c r="ER22" s="543"/>
      <c r="ES22" s="543"/>
      <c r="ET22" s="543"/>
      <c r="EU22" s="543"/>
      <c r="EV22" s="543"/>
      <c r="EW22" s="543"/>
      <c r="EX22" s="543"/>
    </row>
    <row r="23" spans="1:154" s="549" customFormat="1">
      <c r="A23" s="546" t="s">
        <v>204</v>
      </c>
      <c r="B23" s="1091">
        <f t="shared" si="12"/>
        <v>12</v>
      </c>
      <c r="C23" s="1092" t="s">
        <v>230</v>
      </c>
      <c r="D23" s="1093" t="s">
        <v>231</v>
      </c>
      <c r="E23" s="1102">
        <v>30874</v>
      </c>
      <c r="F23" s="1096">
        <v>44697</v>
      </c>
      <c r="G23" s="1096"/>
      <c r="H23" s="1097" t="s">
        <v>232</v>
      </c>
      <c r="I23" s="1098" t="s">
        <v>73</v>
      </c>
      <c r="J23" s="554">
        <v>1500</v>
      </c>
      <c r="K23" s="576">
        <v>113</v>
      </c>
      <c r="L23" s="1092">
        <v>30</v>
      </c>
      <c r="M23" s="1092"/>
      <c r="N23" s="1092"/>
      <c r="O23" s="1092">
        <f t="shared" si="0"/>
        <v>30</v>
      </c>
      <c r="P23" s="549">
        <v>8</v>
      </c>
      <c r="Q23" s="1092">
        <f t="shared" si="13"/>
        <v>240</v>
      </c>
      <c r="R23" s="1107">
        <f t="shared" si="1"/>
        <v>1500</v>
      </c>
      <c r="S23" s="923">
        <f t="shared" si="5"/>
        <v>113</v>
      </c>
      <c r="T23" s="829">
        <f t="shared" si="6"/>
        <v>0</v>
      </c>
      <c r="U23" s="576"/>
      <c r="V23" s="576"/>
      <c r="W23" s="576">
        <f>H.E!L17</f>
        <v>0</v>
      </c>
      <c r="X23" s="576">
        <f>H.E!M17</f>
        <v>0</v>
      </c>
      <c r="Y23" s="576">
        <f>H.E!N17</f>
        <v>0</v>
      </c>
      <c r="Z23" s="1117"/>
      <c r="AA23" s="576"/>
      <c r="AB23" s="576"/>
      <c r="AC23" s="829">
        <f t="shared" si="7"/>
        <v>0</v>
      </c>
      <c r="AD23" s="576"/>
      <c r="AE23" s="576"/>
      <c r="AF23" s="576">
        <v>1613</v>
      </c>
      <c r="AG23" s="576">
        <v>145.16999999999999</v>
      </c>
      <c r="AH23" s="576"/>
      <c r="AI23" s="576"/>
      <c r="AJ23" s="576"/>
      <c r="AK23" s="576"/>
      <c r="AL23" s="576"/>
      <c r="AM23" s="576">
        <f t="shared" si="14"/>
        <v>3371.17</v>
      </c>
      <c r="AN23" s="1083">
        <f t="shared" si="8"/>
        <v>1613</v>
      </c>
      <c r="AO23" s="1099"/>
      <c r="AP23" s="576"/>
      <c r="AQ23" s="1100">
        <v>0.1</v>
      </c>
      <c r="AR23" s="576">
        <f>+AN23*AQ23</f>
        <v>161.30000000000001</v>
      </c>
      <c r="AS23" s="1100">
        <v>0</v>
      </c>
      <c r="AT23" s="576">
        <f>+AN23*AS23</f>
        <v>0</v>
      </c>
      <c r="AU23" s="1100">
        <v>1.37E-2</v>
      </c>
      <c r="AV23" s="576">
        <f>+AN23*AU23</f>
        <v>22.098100000000002</v>
      </c>
      <c r="AW23" s="1100">
        <f>+AQ23+AS23+AU23</f>
        <v>0.11370000000000001</v>
      </c>
      <c r="AX23" s="576">
        <f t="shared" ref="AW23:AX24" si="21">+AR23+AT23+AV23</f>
        <v>183.3981</v>
      </c>
      <c r="AY23" s="576">
        <f>TARDANZA!K17</f>
        <v>0</v>
      </c>
      <c r="AZ23" s="576">
        <f>TARDANZA!L17</f>
        <v>0</v>
      </c>
      <c r="BA23" s="835"/>
      <c r="BB23" s="576">
        <f t="shared" si="9"/>
        <v>1758.17</v>
      </c>
      <c r="BC23" s="576"/>
      <c r="BD23" s="576"/>
      <c r="BE23" s="576"/>
      <c r="BF23" s="576"/>
      <c r="BH23" s="829"/>
      <c r="BI23" s="829">
        <f t="shared" si="10"/>
        <v>1941.5681</v>
      </c>
      <c r="BJ23" s="595">
        <f t="shared" si="11"/>
        <v>1429.6019000000001</v>
      </c>
      <c r="BK23" s="1099">
        <v>0.09</v>
      </c>
      <c r="BL23" s="576">
        <f t="shared" si="4"/>
        <v>145.16999999999999</v>
      </c>
      <c r="BM23" s="923">
        <v>5.1207000000000003</v>
      </c>
      <c r="BN23" s="1092"/>
      <c r="BO23" s="1092" t="s">
        <v>210</v>
      </c>
      <c r="BR23" s="579"/>
      <c r="BS23" s="554"/>
      <c r="BT23" s="835"/>
      <c r="BU23" s="546" t="s">
        <v>210</v>
      </c>
      <c r="BV23" s="543"/>
      <c r="BZ23" s="925"/>
      <c r="CA23" s="1124"/>
    </row>
    <row r="24" spans="1:154" s="549" customFormat="1">
      <c r="A24" s="546" t="s">
        <v>233</v>
      </c>
      <c r="B24" s="1091">
        <f t="shared" si="12"/>
        <v>13</v>
      </c>
      <c r="C24" s="1092" t="s">
        <v>241</v>
      </c>
      <c r="D24" s="1093" t="s">
        <v>242</v>
      </c>
      <c r="E24" s="1102">
        <v>31370</v>
      </c>
      <c r="F24" s="1096">
        <v>45005</v>
      </c>
      <c r="G24" s="1096"/>
      <c r="H24" s="1097" t="s">
        <v>236</v>
      </c>
      <c r="I24" s="1098" t="s">
        <v>71</v>
      </c>
      <c r="J24" s="554">
        <v>3000</v>
      </c>
      <c r="K24" s="576"/>
      <c r="L24" s="1092">
        <v>30</v>
      </c>
      <c r="M24" s="1092"/>
      <c r="N24" s="1092"/>
      <c r="O24" s="1092">
        <f t="shared" si="0"/>
        <v>30</v>
      </c>
      <c r="P24" s="549">
        <v>8</v>
      </c>
      <c r="Q24" s="1092">
        <f t="shared" si="13"/>
        <v>240</v>
      </c>
      <c r="R24" s="1107">
        <f t="shared" si="1"/>
        <v>3000</v>
      </c>
      <c r="S24" s="923">
        <f t="shared" si="5"/>
        <v>0</v>
      </c>
      <c r="T24" s="829">
        <f t="shared" si="6"/>
        <v>0</v>
      </c>
      <c r="U24" s="576"/>
      <c r="V24" s="576"/>
      <c r="W24" s="576">
        <f>H.E!L18</f>
        <v>0</v>
      </c>
      <c r="X24" s="576">
        <f>H.E!M18</f>
        <v>0</v>
      </c>
      <c r="Y24" s="576">
        <f>H.E!N18</f>
        <v>0</v>
      </c>
      <c r="Z24" s="1117">
        <v>100</v>
      </c>
      <c r="AA24" s="576"/>
      <c r="AB24" s="576"/>
      <c r="AC24" s="829">
        <f t="shared" si="7"/>
        <v>0</v>
      </c>
      <c r="AD24" s="576"/>
      <c r="AE24" s="576"/>
      <c r="AF24" s="576">
        <v>3000</v>
      </c>
      <c r="AG24" s="576">
        <v>270</v>
      </c>
      <c r="AH24" s="576"/>
      <c r="AI24" s="1107"/>
      <c r="AJ24" s="576"/>
      <c r="AK24" s="576"/>
      <c r="AL24" s="1088"/>
      <c r="AM24" s="576">
        <f t="shared" si="14"/>
        <v>6370</v>
      </c>
      <c r="AN24" s="1083">
        <f t="shared" si="8"/>
        <v>2889.7916666666665</v>
      </c>
      <c r="AO24" s="1099"/>
      <c r="AP24" s="576"/>
      <c r="AQ24" s="1100">
        <v>0.1</v>
      </c>
      <c r="AR24" s="1104">
        <f t="shared" ref="AR24" si="22">+AN24*AQ24</f>
        <v>288.97916666666669</v>
      </c>
      <c r="AS24" s="1100">
        <v>0</v>
      </c>
      <c r="AT24" s="576">
        <f t="shared" ref="AT24" si="23">+AN24*AS24</f>
        <v>0</v>
      </c>
      <c r="AU24" s="1100">
        <v>1.37E-2</v>
      </c>
      <c r="AV24" s="576">
        <f t="shared" ref="AV24" si="24">+AN24*AU24</f>
        <v>39.590145833333331</v>
      </c>
      <c r="AW24" s="1100">
        <f t="shared" si="21"/>
        <v>0.11370000000000001</v>
      </c>
      <c r="AX24" s="576">
        <f t="shared" ref="AX24:AX27" si="25">+AR24+AT24+AV24</f>
        <v>328.56931250000002</v>
      </c>
      <c r="AY24" s="576">
        <f>TARDANZA!K18</f>
        <v>0</v>
      </c>
      <c r="AZ24" s="576">
        <f>TARDANZA!L18</f>
        <v>110.20833333333334</v>
      </c>
      <c r="BA24" s="835"/>
      <c r="BB24" s="576">
        <f t="shared" si="9"/>
        <v>3270</v>
      </c>
      <c r="BC24" s="576"/>
      <c r="BD24" s="576"/>
      <c r="BE24" s="576">
        <f ca="1">'HT. EPS'!O37</f>
        <v>76.416280237295339</v>
      </c>
      <c r="BF24" s="576"/>
      <c r="BH24" s="829">
        <f>+'RTA 5TA'!J115</f>
        <v>35.853016103896096</v>
      </c>
      <c r="BI24" s="829">
        <f t="shared" ca="1" si="10"/>
        <v>3821.0469421745247</v>
      </c>
      <c r="BJ24" s="595">
        <f t="shared" ca="1" si="11"/>
        <v>2548.9530578254753</v>
      </c>
      <c r="BK24" s="1099">
        <v>0.09</v>
      </c>
      <c r="BL24" s="576">
        <f t="shared" si="4"/>
        <v>260.08124999999995</v>
      </c>
      <c r="BM24" s="923">
        <v>11.700000000000001</v>
      </c>
      <c r="BN24" s="1091" t="s">
        <v>182</v>
      </c>
      <c r="BO24" s="1092" t="s">
        <v>203</v>
      </c>
      <c r="BP24" s="1013"/>
      <c r="BQ24" s="1124"/>
      <c r="BR24" s="543"/>
      <c r="BS24" s="554"/>
      <c r="BT24" s="835"/>
      <c r="BU24" s="546" t="s">
        <v>203</v>
      </c>
      <c r="BV24" s="546"/>
      <c r="BZ24" s="925"/>
      <c r="CA24" s="1124"/>
    </row>
    <row r="25" spans="1:154" s="549" customFormat="1">
      <c r="A25" s="546" t="s">
        <v>237</v>
      </c>
      <c r="B25" s="1091">
        <f t="shared" si="12"/>
        <v>14</v>
      </c>
      <c r="C25" s="1111" t="s">
        <v>243</v>
      </c>
      <c r="D25" s="1093" t="s">
        <v>244</v>
      </c>
      <c r="E25" s="1102">
        <v>34355</v>
      </c>
      <c r="F25" s="1096">
        <v>45307</v>
      </c>
      <c r="G25" s="1096"/>
      <c r="H25" s="1097" t="s">
        <v>240</v>
      </c>
      <c r="I25" s="1098" t="s">
        <v>70</v>
      </c>
      <c r="J25" s="554">
        <v>3200</v>
      </c>
      <c r="K25" s="576"/>
      <c r="L25" s="1092">
        <v>30</v>
      </c>
      <c r="M25" s="1092"/>
      <c r="N25" s="1092">
        <v>5</v>
      </c>
      <c r="O25" s="1092">
        <f t="shared" si="0"/>
        <v>25</v>
      </c>
      <c r="P25" s="549">
        <v>8</v>
      </c>
      <c r="Q25" s="1092">
        <f t="shared" si="13"/>
        <v>200</v>
      </c>
      <c r="R25" s="1107">
        <f t="shared" si="1"/>
        <v>2666.6666666666665</v>
      </c>
      <c r="S25" s="923">
        <f t="shared" si="5"/>
        <v>0</v>
      </c>
      <c r="T25" s="829">
        <f t="shared" si="6"/>
        <v>0</v>
      </c>
      <c r="U25" s="576"/>
      <c r="V25" s="1107"/>
      <c r="W25" s="576">
        <f>H.E!L19</f>
        <v>0</v>
      </c>
      <c r="X25" s="576">
        <f>H.E!M19</f>
        <v>0</v>
      </c>
      <c r="Y25" s="576">
        <f>H.E!N19</f>
        <v>0</v>
      </c>
      <c r="Z25" s="1117"/>
      <c r="AA25" s="576"/>
      <c r="AB25" s="576"/>
      <c r="AC25" s="829">
        <f t="shared" si="7"/>
        <v>533.33333333333337</v>
      </c>
      <c r="AD25" s="576"/>
      <c r="AE25" s="576"/>
      <c r="AF25" s="576">
        <v>3200</v>
      </c>
      <c r="AG25" s="576">
        <v>288</v>
      </c>
      <c r="AH25" s="576"/>
      <c r="AI25" s="1107"/>
      <c r="AJ25" s="576"/>
      <c r="AK25" s="576"/>
      <c r="AL25" s="1088"/>
      <c r="AM25" s="576">
        <f t="shared" si="14"/>
        <v>6688</v>
      </c>
      <c r="AN25" s="1083">
        <f t="shared" si="8"/>
        <v>3152.4444444444443</v>
      </c>
      <c r="AO25" s="1099"/>
      <c r="AP25" s="576"/>
      <c r="AQ25" s="1100">
        <v>0.1</v>
      </c>
      <c r="AR25" s="576">
        <f>+AN25*AQ25</f>
        <v>315.24444444444447</v>
      </c>
      <c r="AS25" s="1100">
        <v>0</v>
      </c>
      <c r="AT25" s="576"/>
      <c r="AU25" s="1100">
        <v>1.37E-2</v>
      </c>
      <c r="AV25" s="576">
        <f t="shared" ref="AV25:AV30" si="26">+AN25*AU25</f>
        <v>43.188488888888891</v>
      </c>
      <c r="AW25" s="1100">
        <f>+AQ25+AS25+AU25</f>
        <v>0.11370000000000001</v>
      </c>
      <c r="AX25" s="576">
        <f t="shared" si="25"/>
        <v>358.43293333333338</v>
      </c>
      <c r="AY25" s="576">
        <f>TARDANZA!K19</f>
        <v>0</v>
      </c>
      <c r="AZ25" s="576">
        <f>TARDANZA!L19</f>
        <v>47.555555555555557</v>
      </c>
      <c r="BA25" s="835"/>
      <c r="BB25" s="576">
        <f t="shared" si="9"/>
        <v>3488</v>
      </c>
      <c r="BC25" s="576"/>
      <c r="BD25" s="576"/>
      <c r="BE25" s="576"/>
      <c r="BF25" s="576"/>
      <c r="BH25" s="829">
        <f>+'RTA 5TA'!M115</f>
        <v>50.064999999999998</v>
      </c>
      <c r="BI25" s="829">
        <f t="shared" si="10"/>
        <v>3944.0534888888892</v>
      </c>
      <c r="BJ25" s="595">
        <f t="shared" si="11"/>
        <v>2743.9465111111108</v>
      </c>
      <c r="BK25" s="1099">
        <v>0.09</v>
      </c>
      <c r="BL25" s="576">
        <f t="shared" si="4"/>
        <v>283.71999999999997</v>
      </c>
      <c r="BM25" s="923">
        <v>4.2</v>
      </c>
      <c r="BN25" s="1092"/>
      <c r="BO25" s="1092" t="s">
        <v>210</v>
      </c>
      <c r="BS25" s="554"/>
      <c r="BT25" s="835"/>
      <c r="BU25" s="546" t="s">
        <v>210</v>
      </c>
      <c r="BZ25" s="925"/>
      <c r="CA25" s="1124"/>
    </row>
    <row r="26" spans="1:154" s="549" customFormat="1" ht="11.25" customHeight="1">
      <c r="A26" s="546" t="s">
        <v>200</v>
      </c>
      <c r="B26" s="1091">
        <f t="shared" si="12"/>
        <v>15</v>
      </c>
      <c r="C26" s="1111" t="s">
        <v>245</v>
      </c>
      <c r="D26" s="1101">
        <v>25849757</v>
      </c>
      <c r="E26" s="1102">
        <v>45341</v>
      </c>
      <c r="F26" s="1096">
        <v>45341</v>
      </c>
      <c r="G26" s="1096"/>
      <c r="H26" s="1097" t="s">
        <v>246</v>
      </c>
      <c r="I26" s="1098" t="s">
        <v>71</v>
      </c>
      <c r="J26" s="554">
        <v>2800</v>
      </c>
      <c r="K26" s="576">
        <v>113</v>
      </c>
      <c r="L26" s="1092">
        <v>30</v>
      </c>
      <c r="M26" s="1092">
        <v>6</v>
      </c>
      <c r="N26" s="1092">
        <v>1</v>
      </c>
      <c r="O26" s="1092">
        <f>+L26-M26-N26</f>
        <v>23</v>
      </c>
      <c r="P26" s="549">
        <v>8</v>
      </c>
      <c r="Q26" s="1092">
        <f t="shared" si="13"/>
        <v>184</v>
      </c>
      <c r="R26" s="1107">
        <f t="shared" si="1"/>
        <v>2142.9</v>
      </c>
      <c r="S26" s="923">
        <f t="shared" si="5"/>
        <v>113</v>
      </c>
      <c r="T26" s="829">
        <f>(J26)/30*M26</f>
        <v>560</v>
      </c>
      <c r="U26" s="576">
        <f>COMISIONES!J5</f>
        <v>2048.7844500000001</v>
      </c>
      <c r="V26" s="1107">
        <f>(SUM(COMISIONES!D5:I5)/6)/30*N26</f>
        <v>57.177924646892663</v>
      </c>
      <c r="W26" s="576">
        <f>H.E!L20</f>
        <v>0</v>
      </c>
      <c r="X26" s="576">
        <f>H.E!M20</f>
        <v>0</v>
      </c>
      <c r="Y26" s="576">
        <f>H.E!N20</f>
        <v>0</v>
      </c>
      <c r="Z26" s="1117"/>
      <c r="AA26" s="576"/>
      <c r="AB26" s="576"/>
      <c r="AC26" s="829">
        <f t="shared" si="7"/>
        <v>97.1</v>
      </c>
      <c r="AD26" s="576"/>
      <c r="AE26" s="576"/>
      <c r="AF26" s="576">
        <v>4628.3377394067802</v>
      </c>
      <c r="AG26" s="576">
        <v>416.55039654661022</v>
      </c>
      <c r="AH26" s="576"/>
      <c r="AI26" s="554"/>
      <c r="AJ26" s="576"/>
      <c r="AK26" s="576"/>
      <c r="AL26" s="1104"/>
      <c r="AM26" s="576">
        <f t="shared" si="14"/>
        <v>10063.850510600283</v>
      </c>
      <c r="AN26" s="1083">
        <f t="shared" si="8"/>
        <v>4999.3400829802258</v>
      </c>
      <c r="AO26" s="1108"/>
      <c r="AP26" s="576"/>
      <c r="AQ26" s="1100">
        <v>0.1</v>
      </c>
      <c r="AR26" s="1104">
        <f>+AN26*AQ26</f>
        <v>499.9340082980226</v>
      </c>
      <c r="AS26" s="1100">
        <v>1.55E-2</v>
      </c>
      <c r="AT26" s="576">
        <f t="shared" ref="AT26:AT27" si="27">+AN26*AS26</f>
        <v>77.489771286193502</v>
      </c>
      <c r="AU26" s="1100">
        <v>1.37E-2</v>
      </c>
      <c r="AV26" s="576">
        <f t="shared" si="26"/>
        <v>68.49095913682909</v>
      </c>
      <c r="AW26" s="1100">
        <f t="shared" ref="AW26:AW27" si="28">+AQ26+AS26+AU26</f>
        <v>0.12920000000000001</v>
      </c>
      <c r="AX26" s="576">
        <f t="shared" si="25"/>
        <v>645.9147387210453</v>
      </c>
      <c r="AY26" s="576">
        <f>TARDANZA!K20</f>
        <v>0</v>
      </c>
      <c r="AZ26" s="576">
        <f>TARDANZA!L20</f>
        <v>19.622291666666666</v>
      </c>
      <c r="BA26" s="835"/>
      <c r="BB26" s="576">
        <f t="shared" si="9"/>
        <v>5044.8881359533907</v>
      </c>
      <c r="BC26" s="576">
        <f>1000+1000</f>
        <v>2000</v>
      </c>
      <c r="BD26" s="576"/>
      <c r="BE26" s="576">
        <f ca="1">'HT. EPS'!O42</f>
        <v>530.65356837288857</v>
      </c>
      <c r="BF26" s="576"/>
      <c r="BH26" s="829">
        <f>+'RTA 5TA VTAS'!G121</f>
        <v>286.67662186684635</v>
      </c>
      <c r="BI26" s="829">
        <f t="shared" ca="1" si="10"/>
        <v>8527.7553565808375</v>
      </c>
      <c r="BJ26" s="595">
        <f t="shared" ca="1" si="11"/>
        <v>1536.0951540194455</v>
      </c>
      <c r="BK26" s="1099">
        <v>0.09</v>
      </c>
      <c r="BL26" s="576">
        <f>AN26*BK26</f>
        <v>449.94060746822032</v>
      </c>
      <c r="BM26" s="923">
        <v>11.36</v>
      </c>
      <c r="BN26" s="1091" t="s">
        <v>182</v>
      </c>
      <c r="BO26" s="1103" t="s">
        <v>210</v>
      </c>
      <c r="BP26" s="1062"/>
      <c r="BQ26" s="1062"/>
      <c r="BR26" s="543"/>
      <c r="BS26" s="554"/>
      <c r="BT26" s="835"/>
      <c r="BU26" s="546" t="s">
        <v>210</v>
      </c>
      <c r="BV26" s="546"/>
      <c r="BW26" s="543"/>
      <c r="BX26" s="543"/>
      <c r="BY26" s="543"/>
      <c r="BZ26" s="1192"/>
      <c r="CA26" s="1124"/>
      <c r="CB26" s="543"/>
      <c r="CC26" s="543"/>
      <c r="CD26" s="543"/>
      <c r="CE26" s="543"/>
      <c r="CF26" s="543"/>
      <c r="CG26" s="543"/>
      <c r="CH26" s="543"/>
      <c r="CI26" s="543"/>
      <c r="CJ26" s="543"/>
      <c r="CK26" s="543"/>
      <c r="CL26" s="543"/>
      <c r="CM26" s="543"/>
      <c r="CN26" s="543"/>
      <c r="CO26" s="543"/>
      <c r="CP26" s="543"/>
      <c r="CQ26" s="543"/>
      <c r="CR26" s="543"/>
      <c r="CS26" s="543"/>
      <c r="CT26" s="543"/>
      <c r="CU26" s="543"/>
      <c r="CV26" s="543"/>
      <c r="CW26" s="543"/>
      <c r="CX26" s="543"/>
      <c r="CY26" s="543"/>
      <c r="CZ26" s="543"/>
      <c r="DA26" s="543"/>
      <c r="DB26" s="543"/>
      <c r="DC26" s="543"/>
      <c r="DD26" s="543"/>
      <c r="DE26" s="543"/>
      <c r="DF26" s="543"/>
      <c r="DG26" s="543"/>
      <c r="DH26" s="543"/>
      <c r="DI26" s="543"/>
      <c r="DJ26" s="543"/>
      <c r="DK26" s="543"/>
      <c r="DL26" s="543"/>
      <c r="DM26" s="543"/>
      <c r="DN26" s="543"/>
      <c r="DO26" s="543"/>
      <c r="DP26" s="543"/>
      <c r="DQ26" s="543"/>
      <c r="DR26" s="543"/>
      <c r="DS26" s="543"/>
      <c r="DT26" s="543"/>
      <c r="DU26" s="543"/>
      <c r="DV26" s="543"/>
      <c r="DW26" s="543"/>
      <c r="DX26" s="543"/>
      <c r="DY26" s="543"/>
      <c r="DZ26" s="543"/>
      <c r="EA26" s="543"/>
      <c r="EB26" s="543"/>
      <c r="EC26" s="543"/>
      <c r="ED26" s="543"/>
      <c r="EE26" s="543"/>
      <c r="EF26" s="543"/>
      <c r="EG26" s="543"/>
      <c r="EH26" s="543"/>
      <c r="EI26" s="543"/>
      <c r="EJ26" s="543"/>
      <c r="EK26" s="543"/>
      <c r="EL26" s="543"/>
      <c r="EM26" s="543"/>
      <c r="EN26" s="543"/>
      <c r="EO26" s="543"/>
      <c r="EP26" s="543"/>
      <c r="EQ26" s="543"/>
      <c r="ER26" s="543"/>
      <c r="ES26" s="543"/>
      <c r="ET26" s="543"/>
      <c r="EU26" s="543"/>
      <c r="EV26" s="543"/>
      <c r="EW26" s="543"/>
      <c r="EX26" s="543"/>
    </row>
    <row r="27" spans="1:154" s="1263" customFormat="1">
      <c r="A27" s="1255" t="s">
        <v>225</v>
      </c>
      <c r="B27" s="1256">
        <f t="shared" si="12"/>
        <v>16</v>
      </c>
      <c r="C27" s="1287" t="s">
        <v>247</v>
      </c>
      <c r="D27" s="1258">
        <v>42953954</v>
      </c>
      <c r="E27" s="1288">
        <v>31117</v>
      </c>
      <c r="F27" s="1289">
        <v>45398</v>
      </c>
      <c r="G27" s="1289"/>
      <c r="H27" s="1290" t="s">
        <v>248</v>
      </c>
      <c r="I27" s="1291" t="s">
        <v>71</v>
      </c>
      <c r="J27" s="1265">
        <v>2800</v>
      </c>
      <c r="K27" s="1254">
        <v>113</v>
      </c>
      <c r="L27" s="1257">
        <v>30</v>
      </c>
      <c r="M27" s="1257"/>
      <c r="N27" s="1294">
        <v>7</v>
      </c>
      <c r="O27" s="1257">
        <f t="shared" si="0"/>
        <v>23</v>
      </c>
      <c r="P27" s="1263">
        <v>8</v>
      </c>
      <c r="Q27" s="1257">
        <f t="shared" si="13"/>
        <v>184</v>
      </c>
      <c r="R27" s="1360">
        <f t="shared" si="1"/>
        <v>2120.3000000000002</v>
      </c>
      <c r="S27" s="1272">
        <f t="shared" si="5"/>
        <v>113</v>
      </c>
      <c r="T27" s="1252">
        <f t="shared" si="6"/>
        <v>0</v>
      </c>
      <c r="U27" s="1254"/>
      <c r="V27" s="1264"/>
      <c r="W27" s="1254">
        <f>H.E!L21</f>
        <v>98.6171875</v>
      </c>
      <c r="X27" s="1254">
        <f>H.E!M21</f>
        <v>40.964062500000004</v>
      </c>
      <c r="Y27" s="1254">
        <f>H.E!N21</f>
        <v>194.2</v>
      </c>
      <c r="Z27" s="1292"/>
      <c r="AA27" s="1254"/>
      <c r="AB27" s="1254"/>
      <c r="AC27" s="1252">
        <f t="shared" si="7"/>
        <v>679.69999999999993</v>
      </c>
      <c r="AD27" s="1254"/>
      <c r="AE27" s="1254"/>
      <c r="AF27" s="1254">
        <v>2913</v>
      </c>
      <c r="AG27" s="1254">
        <v>262.17</v>
      </c>
      <c r="AH27" s="1254"/>
      <c r="AI27" s="1265"/>
      <c r="AJ27" s="1254"/>
      <c r="AK27" s="1254"/>
      <c r="AL27" s="1266"/>
      <c r="AM27" s="1254">
        <f t="shared" si="14"/>
        <v>6421.9512500000001</v>
      </c>
      <c r="AN27" s="1253">
        <f t="shared" si="8"/>
        <v>3219.8764583333332</v>
      </c>
      <c r="AO27" s="1267"/>
      <c r="AP27" s="1254"/>
      <c r="AQ27" s="1268">
        <v>0.1</v>
      </c>
      <c r="AR27" s="1266">
        <f t="shared" ref="AR27" si="29">+AN27*AQ27</f>
        <v>321.98764583333332</v>
      </c>
      <c r="AS27" s="1268">
        <v>1.55E-2</v>
      </c>
      <c r="AT27" s="1254">
        <f t="shared" si="27"/>
        <v>49.908085104166666</v>
      </c>
      <c r="AU27" s="1268">
        <v>1.37E-2</v>
      </c>
      <c r="AV27" s="1254">
        <f t="shared" si="26"/>
        <v>44.112307479166667</v>
      </c>
      <c r="AW27" s="1268">
        <f t="shared" si="28"/>
        <v>0.12920000000000001</v>
      </c>
      <c r="AX27" s="1254">
        <f t="shared" si="25"/>
        <v>416.00803841666664</v>
      </c>
      <c r="AY27" s="1251">
        <f>TARDANZA!K21</f>
        <v>0</v>
      </c>
      <c r="AZ27" s="1251">
        <f>TARDANZA!L21</f>
        <v>26.904791666666664</v>
      </c>
      <c r="BA27" s="1269"/>
      <c r="BB27" s="1254">
        <f t="shared" si="9"/>
        <v>3175.17</v>
      </c>
      <c r="BC27" s="1254"/>
      <c r="BD27" s="1254"/>
      <c r="BE27" s="1254"/>
      <c r="BF27" s="1254"/>
      <c r="BH27" s="1253">
        <f>+'RTA 5TA'!Q115</f>
        <v>0</v>
      </c>
      <c r="BI27" s="1253">
        <f t="shared" si="10"/>
        <v>3618.0828300833336</v>
      </c>
      <c r="BJ27" s="1254">
        <f t="shared" si="11"/>
        <v>2803.8684199166664</v>
      </c>
      <c r="BK27" s="1271">
        <v>0.09</v>
      </c>
      <c r="BL27" s="1254">
        <f t="shared" si="4"/>
        <v>289.78888124999997</v>
      </c>
      <c r="BM27" s="1272">
        <v>10.1907</v>
      </c>
      <c r="BN27" s="1256"/>
      <c r="BO27" s="1273" t="s">
        <v>203</v>
      </c>
      <c r="BP27" s="1293"/>
      <c r="BQ27" s="1293"/>
      <c r="BR27" s="1274"/>
      <c r="BS27" s="1265"/>
      <c r="BT27" s="1269"/>
      <c r="BU27" s="1255" t="s">
        <v>203</v>
      </c>
      <c r="BV27" s="1274"/>
      <c r="BW27" s="1274"/>
      <c r="BX27" s="1274"/>
      <c r="BY27" s="1274"/>
      <c r="BZ27" s="1275"/>
      <c r="CA27" s="1276"/>
      <c r="CB27" s="1274"/>
      <c r="CC27" s="1274"/>
      <c r="CD27" s="1274"/>
      <c r="CE27" s="1274"/>
      <c r="CF27" s="1274"/>
      <c r="CG27" s="1274"/>
      <c r="CH27" s="1274"/>
      <c r="CI27" s="1274"/>
      <c r="CJ27" s="1274"/>
      <c r="CK27" s="1274"/>
      <c r="CL27" s="1274"/>
      <c r="CM27" s="1274"/>
      <c r="CN27" s="1274"/>
      <c r="CO27" s="1274"/>
      <c r="CP27" s="1274"/>
      <c r="CQ27" s="1274"/>
      <c r="CR27" s="1274"/>
      <c r="CS27" s="1274"/>
      <c r="CT27" s="1274"/>
      <c r="CU27" s="1274"/>
      <c r="CV27" s="1274"/>
      <c r="CW27" s="1274"/>
      <c r="CX27" s="1274"/>
      <c r="CY27" s="1274"/>
      <c r="CZ27" s="1274"/>
      <c r="DA27" s="1274"/>
      <c r="DB27" s="1274"/>
      <c r="DC27" s="1274"/>
      <c r="DD27" s="1274"/>
      <c r="DE27" s="1274"/>
      <c r="DF27" s="1274"/>
      <c r="DG27" s="1274"/>
      <c r="DH27" s="1274"/>
      <c r="DI27" s="1274"/>
      <c r="DJ27" s="1274"/>
      <c r="DK27" s="1274"/>
      <c r="DL27" s="1274"/>
      <c r="DM27" s="1274"/>
      <c r="DN27" s="1274"/>
      <c r="DO27" s="1274"/>
      <c r="DP27" s="1274"/>
      <c r="DQ27" s="1274"/>
      <c r="DR27" s="1274"/>
      <c r="DS27" s="1274"/>
      <c r="DT27" s="1274"/>
      <c r="DU27" s="1274"/>
      <c r="DV27" s="1274"/>
      <c r="DW27" s="1274"/>
      <c r="DX27" s="1274"/>
      <c r="DY27" s="1274"/>
      <c r="DZ27" s="1274"/>
      <c r="EA27" s="1274"/>
      <c r="EB27" s="1274"/>
      <c r="EC27" s="1274"/>
      <c r="ED27" s="1274"/>
      <c r="EE27" s="1274"/>
      <c r="EF27" s="1274"/>
      <c r="EG27" s="1274"/>
      <c r="EH27" s="1274"/>
      <c r="EI27" s="1274"/>
      <c r="EJ27" s="1274"/>
      <c r="EK27" s="1274"/>
      <c r="EL27" s="1274"/>
      <c r="EM27" s="1274"/>
      <c r="EN27" s="1274"/>
      <c r="EO27" s="1274"/>
      <c r="EP27" s="1274"/>
      <c r="EQ27" s="1274"/>
      <c r="ER27" s="1274"/>
      <c r="ES27" s="1274"/>
      <c r="ET27" s="1274"/>
      <c r="EU27" s="1274"/>
      <c r="EV27" s="1274"/>
      <c r="EW27" s="1274"/>
      <c r="EX27" s="1274"/>
    </row>
    <row r="28" spans="1:154" s="549" customFormat="1">
      <c r="A28" s="546" t="s">
        <v>204</v>
      </c>
      <c r="B28" s="1091">
        <f t="shared" si="12"/>
        <v>17</v>
      </c>
      <c r="C28" s="1111" t="s">
        <v>249</v>
      </c>
      <c r="D28" s="1101">
        <v>45654429</v>
      </c>
      <c r="E28" s="1102">
        <v>30383</v>
      </c>
      <c r="F28" s="1096">
        <v>45398</v>
      </c>
      <c r="G28" s="1096"/>
      <c r="H28" s="1097" t="s">
        <v>812</v>
      </c>
      <c r="I28" s="1098" t="s">
        <v>144</v>
      </c>
      <c r="J28" s="554">
        <v>1200</v>
      </c>
      <c r="K28" s="576"/>
      <c r="L28" s="1092">
        <v>30</v>
      </c>
      <c r="M28" s="1092"/>
      <c r="N28" s="1092"/>
      <c r="O28" s="1092">
        <f t="shared" si="0"/>
        <v>30</v>
      </c>
      <c r="P28" s="549">
        <v>8</v>
      </c>
      <c r="Q28" s="1092">
        <f t="shared" si="13"/>
        <v>240</v>
      </c>
      <c r="R28" s="1107">
        <f t="shared" si="1"/>
        <v>1200</v>
      </c>
      <c r="S28" s="923">
        <f t="shared" si="5"/>
        <v>0</v>
      </c>
      <c r="T28" s="829">
        <f t="shared" si="6"/>
        <v>0</v>
      </c>
      <c r="U28" s="576"/>
      <c r="V28" s="1107"/>
      <c r="W28" s="576">
        <f>H.E!L22</f>
        <v>0</v>
      </c>
      <c r="X28" s="576">
        <f>H.E!M22</f>
        <v>0</v>
      </c>
      <c r="Y28" s="576">
        <f>H.E!N22</f>
        <v>0</v>
      </c>
      <c r="Z28" s="1117"/>
      <c r="AA28" s="576"/>
      <c r="AB28" s="576"/>
      <c r="AC28" s="829">
        <f t="shared" si="7"/>
        <v>0</v>
      </c>
      <c r="AD28" s="576"/>
      <c r="AE28" s="576"/>
      <c r="AF28" s="576">
        <v>1130</v>
      </c>
      <c r="AG28" s="576">
        <v>101.7</v>
      </c>
      <c r="AH28" s="576"/>
      <c r="AI28" s="554"/>
      <c r="AJ28" s="576"/>
      <c r="AK28" s="1088"/>
      <c r="AL28" s="1104"/>
      <c r="AM28" s="576">
        <f t="shared" si="14"/>
        <v>2431.6999999999998</v>
      </c>
      <c r="AN28" s="1083">
        <f t="shared" si="8"/>
        <v>1199.9999999999998</v>
      </c>
      <c r="AO28" s="1108">
        <v>0.13</v>
      </c>
      <c r="AP28" s="576">
        <f>+AN28*AO28</f>
        <v>155.99999999999997</v>
      </c>
      <c r="AQ28" s="1100"/>
      <c r="AR28" s="1104"/>
      <c r="AS28" s="1100"/>
      <c r="AT28" s="576"/>
      <c r="AU28" s="1100"/>
      <c r="AV28" s="576"/>
      <c r="AW28" s="1100"/>
      <c r="AX28" s="576"/>
      <c r="AY28" s="576">
        <f>TARDANZA!K22</f>
        <v>0</v>
      </c>
      <c r="AZ28" s="576">
        <f>TARDANZA!L22</f>
        <v>0</v>
      </c>
      <c r="BA28" s="835"/>
      <c r="BB28" s="576">
        <f t="shared" si="9"/>
        <v>1231.7</v>
      </c>
      <c r="BC28" s="576"/>
      <c r="BD28" s="576"/>
      <c r="BE28" s="576"/>
      <c r="BF28" s="576"/>
      <c r="BG28" s="1124">
        <v>22.36</v>
      </c>
      <c r="BH28" s="829"/>
      <c r="BI28" s="829">
        <f t="shared" si="10"/>
        <v>1410.06</v>
      </c>
      <c r="BJ28" s="595">
        <f t="shared" si="11"/>
        <v>1021.6399999999999</v>
      </c>
      <c r="BK28" s="1099">
        <v>0.09</v>
      </c>
      <c r="BL28" s="576">
        <f t="shared" si="4"/>
        <v>107.99999999999997</v>
      </c>
      <c r="BM28" s="923">
        <v>4.4000000000000004</v>
      </c>
      <c r="BN28" s="1091"/>
      <c r="BO28" s="1103" t="s">
        <v>203</v>
      </c>
      <c r="BP28" s="1062"/>
      <c r="BQ28" s="1062"/>
      <c r="BR28" s="543"/>
      <c r="BS28" s="554"/>
      <c r="BT28" s="835"/>
      <c r="BU28" s="546" t="s">
        <v>203</v>
      </c>
      <c r="BV28" s="543"/>
      <c r="BW28" s="543"/>
      <c r="BX28" s="543"/>
      <c r="BY28" s="543"/>
      <c r="BZ28" s="1192"/>
      <c r="CA28" s="1124"/>
      <c r="CB28" s="543"/>
      <c r="CC28" s="543"/>
      <c r="CD28" s="543"/>
      <c r="CE28" s="543"/>
      <c r="CF28" s="543"/>
      <c r="CG28" s="543"/>
      <c r="CH28" s="543"/>
      <c r="CI28" s="543"/>
      <c r="CJ28" s="543"/>
      <c r="CK28" s="543"/>
      <c r="CL28" s="543"/>
      <c r="CM28" s="543"/>
      <c r="CN28" s="543"/>
      <c r="CO28" s="543"/>
      <c r="CP28" s="543"/>
      <c r="CQ28" s="543"/>
      <c r="CR28" s="543"/>
      <c r="CS28" s="543"/>
      <c r="CT28" s="543"/>
      <c r="CU28" s="543"/>
      <c r="CV28" s="543"/>
      <c r="CW28" s="543"/>
      <c r="CX28" s="543"/>
      <c r="CY28" s="543"/>
      <c r="CZ28" s="543"/>
      <c r="DA28" s="543"/>
      <c r="DB28" s="543"/>
      <c r="DC28" s="543"/>
      <c r="DD28" s="543"/>
      <c r="DE28" s="543"/>
      <c r="DF28" s="543"/>
      <c r="DG28" s="543"/>
      <c r="DH28" s="543"/>
      <c r="DI28" s="543"/>
      <c r="DJ28" s="543"/>
      <c r="DK28" s="543"/>
      <c r="DL28" s="543"/>
      <c r="DM28" s="543"/>
      <c r="DN28" s="543"/>
      <c r="DO28" s="543"/>
      <c r="DP28" s="543"/>
      <c r="DQ28" s="543"/>
      <c r="DR28" s="543"/>
      <c r="DS28" s="543"/>
      <c r="DT28" s="543"/>
      <c r="DU28" s="543"/>
      <c r="DV28" s="543"/>
      <c r="DW28" s="543"/>
      <c r="DX28" s="543"/>
      <c r="DY28" s="543"/>
      <c r="DZ28" s="543"/>
      <c r="EA28" s="543"/>
      <c r="EB28" s="543"/>
      <c r="EC28" s="543"/>
      <c r="ED28" s="543"/>
      <c r="EE28" s="543"/>
      <c r="EF28" s="543"/>
      <c r="EG28" s="543"/>
      <c r="EH28" s="543"/>
      <c r="EI28" s="543"/>
      <c r="EJ28" s="543"/>
      <c r="EK28" s="543"/>
      <c r="EL28" s="543"/>
      <c r="EM28" s="543"/>
      <c r="EN28" s="543"/>
      <c r="EO28" s="543"/>
      <c r="EP28" s="543"/>
      <c r="EQ28" s="543"/>
      <c r="ER28" s="543"/>
      <c r="ES28" s="543"/>
      <c r="ET28" s="543"/>
      <c r="EU28" s="543"/>
      <c r="EV28" s="543"/>
      <c r="EW28" s="543"/>
      <c r="EX28" s="543"/>
    </row>
    <row r="29" spans="1:154" s="549" customFormat="1">
      <c r="A29" s="546" t="s">
        <v>237</v>
      </c>
      <c r="B29" s="1091">
        <f t="shared" si="12"/>
        <v>18</v>
      </c>
      <c r="C29" s="1111" t="s">
        <v>251</v>
      </c>
      <c r="D29" s="1101">
        <v>74450353</v>
      </c>
      <c r="E29" s="1102">
        <v>34560</v>
      </c>
      <c r="F29" s="1096">
        <v>45418</v>
      </c>
      <c r="G29" s="1096"/>
      <c r="H29" s="1097" t="s">
        <v>252</v>
      </c>
      <c r="I29" s="1098" t="s">
        <v>71</v>
      </c>
      <c r="J29" s="554">
        <v>2800</v>
      </c>
      <c r="K29" s="576"/>
      <c r="L29" s="1092">
        <v>30</v>
      </c>
      <c r="M29" s="1092"/>
      <c r="N29" s="1092"/>
      <c r="O29" s="1092">
        <f t="shared" si="0"/>
        <v>30</v>
      </c>
      <c r="P29" s="549">
        <v>8</v>
      </c>
      <c r="Q29" s="1092">
        <f t="shared" si="13"/>
        <v>240</v>
      </c>
      <c r="R29" s="1107">
        <f t="shared" si="1"/>
        <v>2800</v>
      </c>
      <c r="S29" s="923">
        <f t="shared" si="5"/>
        <v>0</v>
      </c>
      <c r="T29" s="829">
        <f t="shared" si="6"/>
        <v>0</v>
      </c>
      <c r="U29" s="576"/>
      <c r="V29" s="576"/>
      <c r="W29" s="576">
        <f>H.E!L23</f>
        <v>0</v>
      </c>
      <c r="X29" s="576">
        <f>H.E!M23</f>
        <v>0</v>
      </c>
      <c r="Y29" s="576">
        <f>H.E!N23</f>
        <v>0</v>
      </c>
      <c r="Z29" s="1117"/>
      <c r="AA29" s="576"/>
      <c r="AB29" s="576"/>
      <c r="AC29" s="829">
        <f t="shared" si="7"/>
        <v>0</v>
      </c>
      <c r="AD29" s="576"/>
      <c r="AE29" s="576"/>
      <c r="AF29" s="576">
        <v>3011.8581944444445</v>
      </c>
      <c r="AG29" s="576">
        <v>271.06723749999998</v>
      </c>
      <c r="AH29" s="576"/>
      <c r="AI29" s="554"/>
      <c r="AJ29" s="576"/>
      <c r="AK29" s="1088"/>
      <c r="AL29" s="1104"/>
      <c r="AM29" s="576">
        <f t="shared" si="14"/>
        <v>6082.9254319444453</v>
      </c>
      <c r="AN29" s="1083">
        <f t="shared" si="8"/>
        <v>2793.5833333333344</v>
      </c>
      <c r="AO29" s="1108"/>
      <c r="AP29" s="576"/>
      <c r="AQ29" s="1100">
        <v>0.1</v>
      </c>
      <c r="AR29" s="1104">
        <f>+AN29*AQ29</f>
        <v>279.35833333333346</v>
      </c>
      <c r="AS29" s="1100">
        <v>0</v>
      </c>
      <c r="AT29" s="576">
        <f>+AN29*AS29</f>
        <v>0</v>
      </c>
      <c r="AU29" s="1100">
        <v>1.37E-2</v>
      </c>
      <c r="AV29" s="576">
        <f>+AN29*AU29</f>
        <v>38.272091666666682</v>
      </c>
      <c r="AW29" s="1100">
        <f>+AQ29+AS29+AU29</f>
        <v>0.11370000000000001</v>
      </c>
      <c r="AX29" s="576">
        <f>+AR29+AT29+AV29</f>
        <v>317.63042500000017</v>
      </c>
      <c r="AY29" s="576">
        <f>TARDANZA!K23</f>
        <v>0</v>
      </c>
      <c r="AZ29" s="576">
        <f>TARDANZA!L23</f>
        <v>6.416666666666667</v>
      </c>
      <c r="BA29" s="835"/>
      <c r="BB29" s="576">
        <f t="shared" si="9"/>
        <v>3282.9254319444444</v>
      </c>
      <c r="BC29" s="576">
        <f>350+350</f>
        <v>700</v>
      </c>
      <c r="BD29" s="576"/>
      <c r="BE29" s="576"/>
      <c r="BF29" s="576"/>
      <c r="BG29" s="1104"/>
      <c r="BH29" s="829">
        <f>+'RTA 5TA'!P115</f>
        <v>20.509791666666644</v>
      </c>
      <c r="BI29" s="829">
        <f t="shared" si="10"/>
        <v>4327.4823152777781</v>
      </c>
      <c r="BJ29" s="595">
        <f t="shared" si="11"/>
        <v>1755.4431166666673</v>
      </c>
      <c r="BK29" s="1099">
        <v>0.09</v>
      </c>
      <c r="BL29" s="576">
        <f t="shared" si="4"/>
        <v>251.4225000000001</v>
      </c>
      <c r="BM29" s="923">
        <v>3.75</v>
      </c>
      <c r="BN29" s="1091"/>
      <c r="BO29" s="1092" t="s">
        <v>210</v>
      </c>
      <c r="BR29" s="579"/>
      <c r="BS29" s="554"/>
      <c r="BT29" s="835"/>
      <c r="BU29" s="546" t="s">
        <v>210</v>
      </c>
      <c r="BV29" s="543"/>
      <c r="BW29" s="543"/>
      <c r="BX29" s="543"/>
      <c r="BY29" s="543"/>
      <c r="BZ29" s="1192"/>
      <c r="CA29" s="1124"/>
      <c r="CB29" s="543"/>
      <c r="CC29" s="543"/>
      <c r="CD29" s="543"/>
      <c r="CE29" s="543"/>
      <c r="CF29" s="543"/>
      <c r="CG29" s="543"/>
      <c r="CH29" s="543"/>
      <c r="CI29" s="543"/>
      <c r="CJ29" s="543"/>
      <c r="CK29" s="543"/>
      <c r="CL29" s="543"/>
      <c r="CM29" s="543"/>
      <c r="CN29" s="543"/>
      <c r="CO29" s="543"/>
      <c r="CP29" s="543"/>
      <c r="CQ29" s="543"/>
      <c r="CR29" s="543"/>
      <c r="CS29" s="543"/>
      <c r="CT29" s="543"/>
      <c r="CU29" s="543"/>
      <c r="CV29" s="543"/>
      <c r="CW29" s="543"/>
      <c r="CX29" s="543"/>
      <c r="CY29" s="543"/>
      <c r="CZ29" s="543"/>
      <c r="DA29" s="543"/>
      <c r="DB29" s="543"/>
      <c r="DC29" s="543"/>
      <c r="DD29" s="543"/>
      <c r="DE29" s="543"/>
      <c r="DF29" s="543"/>
      <c r="DG29" s="543"/>
      <c r="DH29" s="543"/>
      <c r="DI29" s="543"/>
      <c r="DJ29" s="543"/>
      <c r="DK29" s="543"/>
      <c r="DL29" s="543"/>
      <c r="DM29" s="543"/>
      <c r="DN29" s="543"/>
      <c r="DO29" s="543"/>
      <c r="DP29" s="543"/>
      <c r="DQ29" s="543"/>
      <c r="DR29" s="543"/>
      <c r="DS29" s="543"/>
      <c r="DT29" s="543"/>
      <c r="DU29" s="543"/>
      <c r="DV29" s="543"/>
      <c r="DW29" s="543"/>
      <c r="DX29" s="543"/>
      <c r="DY29" s="543"/>
      <c r="DZ29" s="543"/>
      <c r="EA29" s="543"/>
      <c r="EB29" s="543"/>
      <c r="EC29" s="543"/>
      <c r="ED29" s="543"/>
      <c r="EE29" s="543"/>
      <c r="EF29" s="543"/>
      <c r="EG29" s="543"/>
      <c r="EH29" s="543"/>
      <c r="EI29" s="543"/>
      <c r="EJ29" s="543"/>
      <c r="EK29" s="543"/>
      <c r="EL29" s="543"/>
      <c r="EM29" s="543"/>
      <c r="EN29" s="543"/>
      <c r="EO29" s="543"/>
      <c r="EP29" s="543"/>
      <c r="EQ29" s="543"/>
      <c r="ER29" s="543"/>
      <c r="ES29" s="543"/>
      <c r="ET29" s="543"/>
      <c r="EU29" s="543"/>
      <c r="EV29" s="543"/>
      <c r="EW29" s="543"/>
      <c r="EX29" s="543"/>
    </row>
    <row r="30" spans="1:154" s="549" customFormat="1">
      <c r="A30" s="546" t="s">
        <v>200</v>
      </c>
      <c r="B30" s="1091">
        <f t="shared" si="12"/>
        <v>19</v>
      </c>
      <c r="C30" s="1111" t="s">
        <v>253</v>
      </c>
      <c r="D30" s="1101" t="s">
        <v>254</v>
      </c>
      <c r="E30" s="1102">
        <v>26434</v>
      </c>
      <c r="F30" s="1096">
        <v>45474</v>
      </c>
      <c r="G30" s="1096"/>
      <c r="H30" s="1097" t="s">
        <v>255</v>
      </c>
      <c r="I30" s="1098" t="s">
        <v>72</v>
      </c>
      <c r="J30" s="554">
        <v>2800</v>
      </c>
      <c r="K30" s="576"/>
      <c r="L30" s="1092">
        <v>30</v>
      </c>
      <c r="M30" s="1092"/>
      <c r="N30" s="1092">
        <v>8</v>
      </c>
      <c r="O30" s="1092">
        <f t="shared" si="0"/>
        <v>22</v>
      </c>
      <c r="P30" s="549">
        <v>8</v>
      </c>
      <c r="Q30" s="1092">
        <f t="shared" si="13"/>
        <v>176</v>
      </c>
      <c r="R30" s="1107">
        <f t="shared" si="1"/>
        <v>2053.3333333333335</v>
      </c>
      <c r="S30" s="923">
        <f t="shared" si="5"/>
        <v>0</v>
      </c>
      <c r="T30" s="829">
        <f t="shared" si="6"/>
        <v>0</v>
      </c>
      <c r="U30" s="576"/>
      <c r="V30" s="576"/>
      <c r="W30" s="576">
        <f>H.E!L24</f>
        <v>0</v>
      </c>
      <c r="X30" s="576">
        <f>H.E!M24</f>
        <v>0</v>
      </c>
      <c r="Y30" s="576">
        <f>H.E!N24</f>
        <v>0</v>
      </c>
      <c r="Z30" s="1117"/>
      <c r="AA30" s="576"/>
      <c r="AB30" s="576"/>
      <c r="AC30" s="829">
        <f t="shared" si="7"/>
        <v>746.66666666666663</v>
      </c>
      <c r="AD30" s="1107"/>
      <c r="AE30" s="576"/>
      <c r="AF30" s="576">
        <v>2800</v>
      </c>
      <c r="AG30" s="1107">
        <v>252</v>
      </c>
      <c r="AH30" s="1107"/>
      <c r="AI30" s="554"/>
      <c r="AJ30" s="576"/>
      <c r="AK30" s="1092"/>
      <c r="AL30" s="1104"/>
      <c r="AM30" s="576">
        <f t="shared" si="14"/>
        <v>5852</v>
      </c>
      <c r="AN30" s="1083">
        <f t="shared" si="8"/>
        <v>2771.8055555555557</v>
      </c>
      <c r="AO30" s="1108"/>
      <c r="AP30" s="576"/>
      <c r="AQ30" s="1100">
        <v>0.1</v>
      </c>
      <c r="AR30" s="1104">
        <f t="shared" ref="AR30" si="30">+AN30*AQ30</f>
        <v>277.1805555555556</v>
      </c>
      <c r="AS30" s="1100">
        <v>1.6E-2</v>
      </c>
      <c r="AT30" s="576">
        <f>+AN30*AS30</f>
        <v>44.348888888888894</v>
      </c>
      <c r="AU30" s="1100">
        <v>1.37E-2</v>
      </c>
      <c r="AV30" s="576">
        <f t="shared" si="26"/>
        <v>37.973736111111116</v>
      </c>
      <c r="AW30" s="1100">
        <f t="shared" ref="AW30:AX31" si="31">+AQ30+AS30+AU30</f>
        <v>0.12970000000000001</v>
      </c>
      <c r="AX30" s="576">
        <f t="shared" si="31"/>
        <v>359.50318055555562</v>
      </c>
      <c r="AY30" s="576">
        <f>TARDANZA!K24</f>
        <v>0</v>
      </c>
      <c r="AZ30" s="576">
        <f>TARDANZA!L24</f>
        <v>28.194444444444446</v>
      </c>
      <c r="BA30" s="835"/>
      <c r="BB30" s="576">
        <f t="shared" si="9"/>
        <v>3052</v>
      </c>
      <c r="BC30" s="576"/>
      <c r="BD30" s="576"/>
      <c r="BE30" s="576">
        <f ca="1">'HT. EPS'!O37</f>
        <v>76.416280237295339</v>
      </c>
      <c r="BF30" s="576"/>
      <c r="BH30" s="1250">
        <f>+'RTA 5TA'!R115</f>
        <v>0.04</v>
      </c>
      <c r="BI30" s="829">
        <f t="shared" ca="1" si="10"/>
        <v>3516.153905237295</v>
      </c>
      <c r="BJ30" s="595">
        <f t="shared" ca="1" si="11"/>
        <v>2335.846094762705</v>
      </c>
      <c r="BK30" s="1099">
        <v>0.09</v>
      </c>
      <c r="BL30" s="576">
        <f t="shared" si="4"/>
        <v>249.46250000000001</v>
      </c>
      <c r="BM30" s="923">
        <v>9.75</v>
      </c>
      <c r="BN30" s="1091" t="s">
        <v>182</v>
      </c>
      <c r="BO30" s="1092" t="s">
        <v>210</v>
      </c>
      <c r="BR30" s="543"/>
      <c r="BS30" s="554"/>
      <c r="BT30" s="835"/>
      <c r="BU30" s="546" t="s">
        <v>210</v>
      </c>
      <c r="BV30" s="543"/>
      <c r="BW30" s="543"/>
      <c r="BX30" s="543"/>
      <c r="BY30" s="543"/>
      <c r="BZ30" s="1192"/>
      <c r="CA30" s="1124"/>
      <c r="CB30" s="543"/>
      <c r="CC30" s="543"/>
      <c r="CD30" s="543"/>
      <c r="CE30" s="543"/>
      <c r="CF30" s="543"/>
      <c r="CG30" s="543"/>
      <c r="CH30" s="543"/>
      <c r="CI30" s="543"/>
      <c r="CJ30" s="543"/>
      <c r="CK30" s="543"/>
      <c r="CL30" s="543"/>
      <c r="CM30" s="543"/>
      <c r="CN30" s="543"/>
      <c r="CO30" s="543"/>
      <c r="CP30" s="543"/>
      <c r="CQ30" s="543"/>
      <c r="CR30" s="543"/>
      <c r="CS30" s="543"/>
      <c r="CT30" s="543"/>
      <c r="CU30" s="543"/>
      <c r="CV30" s="543"/>
      <c r="CW30" s="543"/>
      <c r="CX30" s="543"/>
      <c r="CY30" s="543"/>
      <c r="CZ30" s="543"/>
      <c r="DA30" s="543"/>
      <c r="DB30" s="543"/>
      <c r="DC30" s="543"/>
      <c r="DD30" s="543"/>
      <c r="DE30" s="543"/>
      <c r="DF30" s="543"/>
      <c r="DG30" s="543"/>
      <c r="DH30" s="543"/>
      <c r="DI30" s="543"/>
      <c r="DJ30" s="543"/>
      <c r="DK30" s="543"/>
      <c r="DL30" s="543"/>
      <c r="DM30" s="543"/>
      <c r="DN30" s="543"/>
      <c r="DO30" s="543"/>
      <c r="DP30" s="543"/>
      <c r="DQ30" s="543"/>
      <c r="DR30" s="543"/>
      <c r="DS30" s="543"/>
      <c r="DT30" s="543"/>
      <c r="DU30" s="543"/>
      <c r="DV30" s="543"/>
      <c r="DW30" s="543"/>
      <c r="DX30" s="543"/>
      <c r="DY30" s="543"/>
      <c r="DZ30" s="543"/>
      <c r="EA30" s="543"/>
      <c r="EB30" s="543"/>
      <c r="EC30" s="543"/>
      <c r="ED30" s="543"/>
      <c r="EE30" s="543"/>
      <c r="EF30" s="543"/>
      <c r="EG30" s="543"/>
      <c r="EH30" s="543"/>
      <c r="EI30" s="543"/>
      <c r="EJ30" s="543"/>
      <c r="EK30" s="543"/>
      <c r="EL30" s="543"/>
      <c r="EM30" s="543"/>
      <c r="EN30" s="543"/>
      <c r="EO30" s="543"/>
      <c r="EP30" s="543"/>
      <c r="EQ30" s="543"/>
      <c r="ER30" s="543"/>
      <c r="ES30" s="543"/>
      <c r="ET30" s="543"/>
      <c r="EU30" s="543"/>
      <c r="EV30" s="543"/>
      <c r="EW30" s="543"/>
      <c r="EX30" s="543"/>
    </row>
    <row r="31" spans="1:154" s="549" customFormat="1">
      <c r="A31" s="546" t="s">
        <v>207</v>
      </c>
      <c r="B31" s="1091">
        <f t="shared" si="12"/>
        <v>20</v>
      </c>
      <c r="C31" s="1111" t="s">
        <v>256</v>
      </c>
      <c r="D31" s="1101">
        <v>73231901</v>
      </c>
      <c r="E31" s="1102">
        <v>34632</v>
      </c>
      <c r="F31" s="1096">
        <v>45537</v>
      </c>
      <c r="G31" s="1096"/>
      <c r="H31" s="1097" t="s">
        <v>258</v>
      </c>
      <c r="I31" s="1098" t="s">
        <v>72</v>
      </c>
      <c r="J31" s="554">
        <v>2500</v>
      </c>
      <c r="K31" s="576"/>
      <c r="L31" s="1092">
        <v>30</v>
      </c>
      <c r="M31" s="1092"/>
      <c r="N31" s="1092">
        <v>12</v>
      </c>
      <c r="O31" s="1092">
        <f t="shared" si="0"/>
        <v>18</v>
      </c>
      <c r="P31" s="549">
        <v>8</v>
      </c>
      <c r="Q31" s="1092">
        <f t="shared" si="13"/>
        <v>144</v>
      </c>
      <c r="R31" s="1107">
        <f t="shared" si="1"/>
        <v>1500</v>
      </c>
      <c r="S31" s="923">
        <f t="shared" si="5"/>
        <v>0</v>
      </c>
      <c r="T31" s="829">
        <f t="shared" si="6"/>
        <v>0</v>
      </c>
      <c r="U31" s="576"/>
      <c r="V31" s="1107"/>
      <c r="W31" s="576">
        <f>H.E!L25</f>
        <v>0</v>
      </c>
      <c r="X31" s="576">
        <f>H.E!M25</f>
        <v>0</v>
      </c>
      <c r="Y31" s="576">
        <f>H.E!N25</f>
        <v>0</v>
      </c>
      <c r="Z31" s="1117"/>
      <c r="AA31" s="576"/>
      <c r="AB31" s="1107"/>
      <c r="AC31" s="829">
        <f t="shared" si="7"/>
        <v>1000</v>
      </c>
      <c r="AD31" s="1107"/>
      <c r="AE31" s="576"/>
      <c r="AF31" s="576">
        <v>2707.951111111111</v>
      </c>
      <c r="AG31" s="1107">
        <v>243.71559999999999</v>
      </c>
      <c r="AH31" s="1107"/>
      <c r="AI31" s="554"/>
      <c r="AJ31" s="576"/>
      <c r="AK31" s="1125"/>
      <c r="AL31" s="1126"/>
      <c r="AM31" s="576">
        <f t="shared" si="14"/>
        <v>5451.666711111111</v>
      </c>
      <c r="AN31" s="1083">
        <f t="shared" si="8"/>
        <v>2469.9652777777778</v>
      </c>
      <c r="AO31" s="1127"/>
      <c r="AP31" s="1125"/>
      <c r="AQ31" s="1100">
        <v>0.1</v>
      </c>
      <c r="AR31" s="1126">
        <f t="shared" ref="AR31" si="32">+AN31*AQ31</f>
        <v>246.9965277777778</v>
      </c>
      <c r="AS31" s="1100">
        <v>0</v>
      </c>
      <c r="AT31" s="576">
        <f>+AN31*AS31</f>
        <v>0</v>
      </c>
      <c r="AU31" s="1100">
        <v>1.37E-2</v>
      </c>
      <c r="AV31" s="576">
        <f t="shared" ref="AV31" si="33">+AN31*AU31</f>
        <v>33.838524305555559</v>
      </c>
      <c r="AW31" s="1100">
        <f t="shared" si="31"/>
        <v>0.11370000000000001</v>
      </c>
      <c r="AX31" s="1125">
        <f t="shared" si="31"/>
        <v>280.83505208333338</v>
      </c>
      <c r="AY31" s="576">
        <f>TARDANZA!K25</f>
        <v>0</v>
      </c>
      <c r="AZ31" s="576">
        <f>TARDANZA!L25</f>
        <v>30.034722222222221</v>
      </c>
      <c r="BA31" s="835"/>
      <c r="BB31" s="576">
        <f t="shared" si="9"/>
        <v>2951.666711111111</v>
      </c>
      <c r="BC31" s="576"/>
      <c r="BD31" s="576"/>
      <c r="BE31" s="576"/>
      <c r="BF31" s="576"/>
      <c r="BG31" s="549">
        <v>1122.02</v>
      </c>
      <c r="BH31" s="845"/>
      <c r="BI31" s="829">
        <f t="shared" si="10"/>
        <v>4384.5564854166669</v>
      </c>
      <c r="BJ31" s="595">
        <f t="shared" si="11"/>
        <v>1067.1102256944441</v>
      </c>
      <c r="BK31" s="1099">
        <v>0.09</v>
      </c>
      <c r="BL31" s="576">
        <f t="shared" si="4"/>
        <v>222.296875</v>
      </c>
      <c r="BM31" s="923">
        <v>3</v>
      </c>
      <c r="BN31" s="1091"/>
      <c r="BO31" s="1103" t="s">
        <v>203</v>
      </c>
      <c r="BP31" s="1062"/>
      <c r="BQ31" s="1062"/>
      <c r="BR31" s="543"/>
      <c r="BS31" s="554"/>
      <c r="BT31" s="835"/>
      <c r="BU31" s="546" t="s">
        <v>203</v>
      </c>
      <c r="BV31" s="543"/>
      <c r="BW31" s="543"/>
      <c r="BX31" s="543"/>
      <c r="BY31" s="543"/>
      <c r="BZ31" s="1192"/>
      <c r="CA31" s="1124"/>
      <c r="CB31" s="543"/>
      <c r="CC31" s="543"/>
      <c r="CD31" s="543"/>
      <c r="CE31" s="543"/>
      <c r="CF31" s="543"/>
      <c r="CG31" s="543"/>
      <c r="CH31" s="543"/>
      <c r="CI31" s="543"/>
      <c r="CJ31" s="543"/>
      <c r="CK31" s="543"/>
      <c r="CL31" s="543"/>
      <c r="CM31" s="543"/>
      <c r="CN31" s="543"/>
      <c r="CO31" s="543"/>
      <c r="CP31" s="543"/>
      <c r="CQ31" s="543"/>
      <c r="CR31" s="543"/>
      <c r="CS31" s="543"/>
      <c r="CT31" s="543"/>
      <c r="CU31" s="543"/>
      <c r="CV31" s="543"/>
      <c r="CW31" s="543"/>
      <c r="CX31" s="543"/>
      <c r="CY31" s="543"/>
      <c r="CZ31" s="543"/>
      <c r="DA31" s="543"/>
      <c r="DB31" s="543"/>
      <c r="DC31" s="543"/>
      <c r="DD31" s="543"/>
      <c r="DE31" s="543"/>
      <c r="DF31" s="543"/>
      <c r="DG31" s="543"/>
      <c r="DH31" s="543"/>
      <c r="DI31" s="543"/>
      <c r="DJ31" s="543"/>
      <c r="DK31" s="543"/>
      <c r="DL31" s="543"/>
      <c r="DM31" s="543"/>
      <c r="DN31" s="543"/>
      <c r="DO31" s="543"/>
      <c r="DP31" s="543"/>
      <c r="DQ31" s="543"/>
      <c r="DR31" s="543"/>
      <c r="DS31" s="543"/>
      <c r="DT31" s="543"/>
      <c r="DU31" s="543"/>
      <c r="DV31" s="543"/>
      <c r="DW31" s="543"/>
      <c r="DX31" s="543"/>
      <c r="DY31" s="543"/>
      <c r="DZ31" s="543"/>
      <c r="EA31" s="543"/>
      <c r="EB31" s="543"/>
      <c r="EC31" s="543"/>
      <c r="ED31" s="543"/>
      <c r="EE31" s="543"/>
      <c r="EF31" s="543"/>
      <c r="EG31" s="543"/>
      <c r="EH31" s="543"/>
      <c r="EI31" s="543"/>
      <c r="EJ31" s="543"/>
      <c r="EK31" s="543"/>
      <c r="EL31" s="543"/>
      <c r="EM31" s="543"/>
      <c r="EN31" s="543"/>
      <c r="EO31" s="543"/>
      <c r="EP31" s="543"/>
      <c r="EQ31" s="543"/>
      <c r="ER31" s="543"/>
      <c r="ES31" s="543"/>
      <c r="ET31" s="543"/>
      <c r="EU31" s="543"/>
      <c r="EV31" s="543"/>
      <c r="EW31" s="543"/>
      <c r="EX31" s="543"/>
    </row>
    <row r="32" spans="1:154" s="549" customFormat="1">
      <c r="A32" s="546" t="s">
        <v>207</v>
      </c>
      <c r="B32" s="1091">
        <f t="shared" si="12"/>
        <v>21</v>
      </c>
      <c r="C32" s="1111" t="s">
        <v>259</v>
      </c>
      <c r="D32" s="1101" t="s">
        <v>260</v>
      </c>
      <c r="E32" s="1102">
        <v>35803</v>
      </c>
      <c r="F32" s="1096">
        <v>45581</v>
      </c>
      <c r="G32" s="1096"/>
      <c r="H32" s="1097" t="s">
        <v>258</v>
      </c>
      <c r="I32" s="1098" t="s">
        <v>71</v>
      </c>
      <c r="J32" s="554">
        <v>2500</v>
      </c>
      <c r="K32" s="576"/>
      <c r="L32" s="1092">
        <v>30</v>
      </c>
      <c r="M32" s="1092"/>
      <c r="N32" s="1092"/>
      <c r="O32" s="1092">
        <f t="shared" si="0"/>
        <v>30</v>
      </c>
      <c r="P32" s="549">
        <v>8</v>
      </c>
      <c r="Q32" s="1092">
        <f t="shared" si="13"/>
        <v>240</v>
      </c>
      <c r="R32" s="1107">
        <f t="shared" si="1"/>
        <v>2500</v>
      </c>
      <c r="S32" s="923">
        <f t="shared" si="5"/>
        <v>0</v>
      </c>
      <c r="T32" s="829">
        <f t="shared" si="6"/>
        <v>0</v>
      </c>
      <c r="U32" s="576"/>
      <c r="V32" s="1107"/>
      <c r="W32" s="576">
        <f>H.E!L26</f>
        <v>0</v>
      </c>
      <c r="X32" s="576">
        <f>H.E!M26</f>
        <v>0</v>
      </c>
      <c r="Y32" s="576">
        <f>H.E!N26</f>
        <v>0</v>
      </c>
      <c r="Z32" s="576"/>
      <c r="AA32" s="576"/>
      <c r="AB32" s="1107"/>
      <c r="AC32" s="829">
        <f t="shared" si="7"/>
        <v>0</v>
      </c>
      <c r="AD32" s="1107"/>
      <c r="AE32" s="576"/>
      <c r="AF32" s="576">
        <v>2621.0019444444442</v>
      </c>
      <c r="AG32" s="1107">
        <v>235.89017499999997</v>
      </c>
      <c r="AH32" s="1107"/>
      <c r="AI32" s="554"/>
      <c r="AJ32" s="576"/>
      <c r="AK32" s="829"/>
      <c r="AL32" s="845"/>
      <c r="AM32" s="576">
        <f t="shared" si="14"/>
        <v>5356.8921194444438</v>
      </c>
      <c r="AN32" s="1083">
        <f t="shared" si="8"/>
        <v>2499.9999999999995</v>
      </c>
      <c r="AO32" s="1089"/>
      <c r="AP32" s="829"/>
      <c r="AQ32" s="1100">
        <v>0.1</v>
      </c>
      <c r="AR32" s="845">
        <f t="shared" ref="AR32:AR33" si="34">+AN32*AQ32</f>
        <v>249.99999999999997</v>
      </c>
      <c r="AS32" s="1100">
        <v>0</v>
      </c>
      <c r="AT32" s="576">
        <f t="shared" ref="AT32:AT35" si="35">+AN32*AS32</f>
        <v>0</v>
      </c>
      <c r="AU32" s="1100">
        <v>1.37E-2</v>
      </c>
      <c r="AV32" s="576">
        <f t="shared" ref="AV32:AV33" si="36">+AN32*AU32</f>
        <v>34.249999999999993</v>
      </c>
      <c r="AW32" s="1100">
        <f t="shared" ref="AW32:AW33" si="37">+AQ32+AS32+AU32</f>
        <v>0.11370000000000001</v>
      </c>
      <c r="AX32" s="829">
        <f t="shared" ref="AX32:AX36" si="38">+AR32+AT32+AV32</f>
        <v>284.24999999999994</v>
      </c>
      <c r="AY32" s="576">
        <f>TARDANZA!K26</f>
        <v>0</v>
      </c>
      <c r="AZ32" s="576">
        <f>TARDANZA!L26</f>
        <v>0</v>
      </c>
      <c r="BA32" s="835"/>
      <c r="BB32" s="576">
        <f t="shared" si="9"/>
        <v>2856.8921194444442</v>
      </c>
      <c r="BC32" s="576"/>
      <c r="BD32" s="576"/>
      <c r="BE32" s="576"/>
      <c r="BF32" s="576"/>
      <c r="BH32" s="845"/>
      <c r="BI32" s="829">
        <f t="shared" si="10"/>
        <v>3141.1421194444442</v>
      </c>
      <c r="BJ32" s="595">
        <f t="shared" si="11"/>
        <v>2215.7499999999995</v>
      </c>
      <c r="BK32" s="1099">
        <v>0.09</v>
      </c>
      <c r="BL32" s="576">
        <f t="shared" si="4"/>
        <v>224.99999999999994</v>
      </c>
      <c r="BM32" s="923">
        <v>3</v>
      </c>
      <c r="BN32" s="1091"/>
      <c r="BO32" s="1092" t="s">
        <v>210</v>
      </c>
      <c r="BR32" s="543"/>
      <c r="BS32" s="554"/>
      <c r="BT32" s="835"/>
      <c r="BU32" s="546" t="s">
        <v>210</v>
      </c>
      <c r="BV32" s="543"/>
      <c r="BW32" s="543"/>
      <c r="BX32" s="543"/>
      <c r="BY32" s="543"/>
      <c r="BZ32" s="1192"/>
      <c r="CA32" s="1124"/>
      <c r="CB32" s="543"/>
      <c r="CC32" s="543"/>
      <c r="CD32" s="543"/>
      <c r="CE32" s="543"/>
      <c r="CF32" s="543"/>
      <c r="CG32" s="543"/>
      <c r="CH32" s="543"/>
      <c r="CI32" s="543"/>
      <c r="CJ32" s="543"/>
      <c r="CK32" s="543"/>
      <c r="CL32" s="543"/>
      <c r="CM32" s="543"/>
      <c r="CN32" s="543"/>
      <c r="CO32" s="543"/>
      <c r="CP32" s="543"/>
      <c r="CQ32" s="543"/>
      <c r="CR32" s="543"/>
      <c r="CS32" s="543"/>
      <c r="CT32" s="543"/>
      <c r="CU32" s="543"/>
      <c r="CV32" s="543"/>
      <c r="CW32" s="543"/>
      <c r="CX32" s="543"/>
      <c r="CY32" s="543"/>
      <c r="CZ32" s="543"/>
      <c r="DA32" s="543"/>
      <c r="DB32" s="543"/>
      <c r="DC32" s="543"/>
      <c r="DD32" s="543"/>
      <c r="DE32" s="543"/>
      <c r="DF32" s="543"/>
      <c r="DG32" s="543"/>
      <c r="DH32" s="543"/>
      <c r="DI32" s="543"/>
      <c r="DJ32" s="543"/>
      <c r="DK32" s="543"/>
      <c r="DL32" s="543"/>
      <c r="DM32" s="543"/>
      <c r="DN32" s="543"/>
      <c r="DO32" s="543"/>
      <c r="DP32" s="543"/>
      <c r="DQ32" s="543"/>
      <c r="DR32" s="543"/>
      <c r="DS32" s="543"/>
      <c r="DT32" s="543"/>
      <c r="DU32" s="543"/>
      <c r="DV32" s="543"/>
      <c r="DW32" s="543"/>
      <c r="DX32" s="543"/>
      <c r="DY32" s="543"/>
      <c r="DZ32" s="543"/>
      <c r="EA32" s="543"/>
      <c r="EB32" s="543"/>
      <c r="EC32" s="543"/>
      <c r="ED32" s="543"/>
      <c r="EE32" s="543"/>
      <c r="EF32" s="543"/>
      <c r="EG32" s="543"/>
      <c r="EH32" s="543"/>
      <c r="EI32" s="543"/>
      <c r="EJ32" s="543"/>
      <c r="EK32" s="543"/>
      <c r="EL32" s="543"/>
      <c r="EM32" s="543"/>
      <c r="EN32" s="543"/>
      <c r="EO32" s="543"/>
      <c r="EP32" s="543"/>
      <c r="EQ32" s="543"/>
      <c r="ER32" s="543"/>
      <c r="ES32" s="543"/>
      <c r="ET32" s="543"/>
      <c r="EU32" s="543"/>
      <c r="EV32" s="543"/>
      <c r="EW32" s="543"/>
      <c r="EX32" s="543"/>
    </row>
    <row r="33" spans="1:154" s="1118" customFormat="1">
      <c r="A33" s="1109" t="s">
        <v>225</v>
      </c>
      <c r="B33" s="1091">
        <f t="shared" si="12"/>
        <v>22</v>
      </c>
      <c r="C33" s="1111" t="s">
        <v>261</v>
      </c>
      <c r="D33" s="1112">
        <v>73952223</v>
      </c>
      <c r="E33" s="1113" t="s">
        <v>263</v>
      </c>
      <c r="F33" s="1114">
        <v>45627</v>
      </c>
      <c r="G33" s="1114"/>
      <c r="H33" s="1115" t="s">
        <v>264</v>
      </c>
      <c r="I33" s="1116" t="s">
        <v>71</v>
      </c>
      <c r="J33" s="554">
        <v>2500</v>
      </c>
      <c r="K33" s="1117"/>
      <c r="L33" s="1111">
        <v>30</v>
      </c>
      <c r="M33" s="1111"/>
      <c r="N33" s="1092">
        <v>1</v>
      </c>
      <c r="O33" s="1092">
        <f t="shared" si="0"/>
        <v>29</v>
      </c>
      <c r="P33" s="1118">
        <v>8</v>
      </c>
      <c r="Q33" s="1111">
        <f t="shared" si="13"/>
        <v>232</v>
      </c>
      <c r="R33" s="1107">
        <f t="shared" si="1"/>
        <v>2416.6666666666665</v>
      </c>
      <c r="S33" s="923">
        <f t="shared" si="5"/>
        <v>0</v>
      </c>
      <c r="T33" s="829">
        <f t="shared" si="6"/>
        <v>0</v>
      </c>
      <c r="U33" s="576"/>
      <c r="V33" s="1119"/>
      <c r="W33" s="576">
        <f>H.E!L27</f>
        <v>104.16666666666666</v>
      </c>
      <c r="X33" s="576">
        <f>H.E!M27</f>
        <v>56.25</v>
      </c>
      <c r="Y33" s="576">
        <f>H.E!N27</f>
        <v>333.33333333333331</v>
      </c>
      <c r="Z33" s="576"/>
      <c r="AA33" s="576"/>
      <c r="AB33" s="1119"/>
      <c r="AC33" s="829">
        <f t="shared" si="7"/>
        <v>83.333333333333329</v>
      </c>
      <c r="AD33" s="1119"/>
      <c r="AE33" s="576"/>
      <c r="AF33" s="1117">
        <v>2500</v>
      </c>
      <c r="AG33" s="1119">
        <v>225</v>
      </c>
      <c r="AH33" s="1119"/>
      <c r="AI33" s="556"/>
      <c r="AJ33" s="576"/>
      <c r="AK33" s="1009"/>
      <c r="AL33" s="1010"/>
      <c r="AM33" s="576">
        <f t="shared" si="14"/>
        <v>5718.75</v>
      </c>
      <c r="AN33" s="1083">
        <f t="shared" si="8"/>
        <v>2987.1527777777778</v>
      </c>
      <c r="AO33" s="1090"/>
      <c r="AP33" s="1009"/>
      <c r="AQ33" s="1122">
        <v>0.1</v>
      </c>
      <c r="AR33" s="1010">
        <f t="shared" si="34"/>
        <v>298.71527777777777</v>
      </c>
      <c r="AS33" s="1122">
        <v>0</v>
      </c>
      <c r="AT33" s="1117">
        <f t="shared" si="35"/>
        <v>0</v>
      </c>
      <c r="AU33" s="1122">
        <v>1.37E-2</v>
      </c>
      <c r="AV33" s="1117">
        <f t="shared" si="36"/>
        <v>40.923993055555556</v>
      </c>
      <c r="AW33" s="1122">
        <f t="shared" si="37"/>
        <v>0.11370000000000001</v>
      </c>
      <c r="AX33" s="1009">
        <f t="shared" si="38"/>
        <v>339.63927083333334</v>
      </c>
      <c r="AY33" s="576">
        <f>TARDANZA!K27</f>
        <v>0</v>
      </c>
      <c r="AZ33" s="576">
        <f>TARDANZA!L27</f>
        <v>6.5972222222222223</v>
      </c>
      <c r="BA33" s="835"/>
      <c r="BB33" s="576">
        <f t="shared" si="9"/>
        <v>2725</v>
      </c>
      <c r="BC33" s="576"/>
      <c r="BD33" s="576"/>
      <c r="BE33" s="576"/>
      <c r="BF33" s="576"/>
      <c r="BH33" s="1010"/>
      <c r="BI33" s="829">
        <f t="shared" si="10"/>
        <v>3071.2364930555555</v>
      </c>
      <c r="BJ33" s="595">
        <f t="shared" si="11"/>
        <v>2647.5135069444445</v>
      </c>
      <c r="BK33" s="1121">
        <v>0.09</v>
      </c>
      <c r="BL33" s="1117">
        <f t="shared" si="4"/>
        <v>268.84375</v>
      </c>
      <c r="BM33" s="1087">
        <v>3.3000000000000003</v>
      </c>
      <c r="BN33" s="1110"/>
      <c r="BO33" s="1111" t="s">
        <v>210</v>
      </c>
      <c r="BR33" s="544"/>
      <c r="BS33" s="554"/>
      <c r="BT33" s="835"/>
      <c r="BU33" s="1109" t="s">
        <v>210</v>
      </c>
      <c r="BV33" s="543"/>
      <c r="BW33" s="543"/>
      <c r="BX33" s="544"/>
      <c r="BY33" s="544"/>
      <c r="BZ33" s="1193"/>
      <c r="CA33" s="1124"/>
      <c r="CB33" s="544"/>
      <c r="CC33" s="544"/>
      <c r="CD33" s="544"/>
      <c r="CE33" s="544"/>
      <c r="CF33" s="544"/>
      <c r="CG33" s="544"/>
      <c r="CH33" s="544"/>
      <c r="CI33" s="544"/>
      <c r="CJ33" s="544"/>
      <c r="CK33" s="544"/>
      <c r="CL33" s="544"/>
      <c r="CM33" s="544"/>
      <c r="CN33" s="544"/>
      <c r="CO33" s="544"/>
      <c r="CP33" s="544"/>
      <c r="CQ33" s="544"/>
      <c r="CR33" s="544"/>
      <c r="CS33" s="544"/>
      <c r="CT33" s="544"/>
      <c r="CU33" s="544"/>
      <c r="CV33" s="544"/>
      <c r="CW33" s="544"/>
      <c r="CX33" s="544"/>
      <c r="CY33" s="544"/>
      <c r="CZ33" s="544"/>
      <c r="DA33" s="544"/>
      <c r="DB33" s="544"/>
      <c r="DC33" s="544"/>
      <c r="DD33" s="544"/>
      <c r="DE33" s="544"/>
      <c r="DF33" s="544"/>
      <c r="DG33" s="544"/>
      <c r="DH33" s="544"/>
      <c r="DI33" s="544"/>
      <c r="DJ33" s="544"/>
      <c r="DK33" s="544"/>
      <c r="DL33" s="544"/>
      <c r="DM33" s="544"/>
      <c r="DN33" s="544"/>
      <c r="DO33" s="544"/>
      <c r="DP33" s="544"/>
      <c r="DQ33" s="544"/>
      <c r="DR33" s="544"/>
      <c r="DS33" s="544"/>
      <c r="DT33" s="544"/>
      <c r="DU33" s="544"/>
      <c r="DV33" s="544"/>
      <c r="DW33" s="544"/>
      <c r="DX33" s="544"/>
      <c r="DY33" s="544"/>
      <c r="DZ33" s="544"/>
      <c r="EA33" s="544"/>
      <c r="EB33" s="544"/>
      <c r="EC33" s="544"/>
      <c r="ED33" s="544"/>
      <c r="EE33" s="544"/>
      <c r="EF33" s="544"/>
      <c r="EG33" s="544"/>
      <c r="EH33" s="544"/>
      <c r="EI33" s="544"/>
      <c r="EJ33" s="544"/>
      <c r="EK33" s="544"/>
      <c r="EL33" s="544"/>
      <c r="EM33" s="544"/>
      <c r="EN33" s="544"/>
      <c r="EO33" s="544"/>
      <c r="EP33" s="544"/>
      <c r="EQ33" s="544"/>
      <c r="ER33" s="544"/>
      <c r="ES33" s="544"/>
      <c r="ET33" s="544"/>
      <c r="EU33" s="544"/>
      <c r="EV33" s="544"/>
      <c r="EW33" s="544"/>
      <c r="EX33" s="544"/>
    </row>
    <row r="34" spans="1:154" s="549" customFormat="1">
      <c r="A34" s="546" t="s">
        <v>233</v>
      </c>
      <c r="B34" s="1091">
        <f t="shared" si="12"/>
        <v>23</v>
      </c>
      <c r="C34" s="1111" t="s">
        <v>265</v>
      </c>
      <c r="D34" s="1101" t="s">
        <v>266</v>
      </c>
      <c r="E34" s="1102">
        <v>32383</v>
      </c>
      <c r="F34" s="1096">
        <v>45658</v>
      </c>
      <c r="G34" s="1096"/>
      <c r="H34" s="1097" t="s">
        <v>236</v>
      </c>
      <c r="I34" s="1098" t="s">
        <v>72</v>
      </c>
      <c r="J34" s="554">
        <v>2800</v>
      </c>
      <c r="K34" s="576"/>
      <c r="L34" s="1092">
        <v>30</v>
      </c>
      <c r="M34" s="1092"/>
      <c r="N34" s="1092">
        <v>7</v>
      </c>
      <c r="O34" s="1092">
        <f t="shared" si="0"/>
        <v>23</v>
      </c>
      <c r="P34" s="549">
        <v>8</v>
      </c>
      <c r="Q34" s="1092">
        <f t="shared" si="13"/>
        <v>184</v>
      </c>
      <c r="R34" s="1107">
        <f t="shared" si="1"/>
        <v>2146.666666666667</v>
      </c>
      <c r="S34" s="923">
        <f t="shared" si="5"/>
        <v>0</v>
      </c>
      <c r="T34" s="829">
        <f t="shared" si="6"/>
        <v>0</v>
      </c>
      <c r="U34" s="1092"/>
      <c r="V34" s="1107"/>
      <c r="W34" s="576">
        <f>H.E!L28</f>
        <v>0</v>
      </c>
      <c r="X34" s="576">
        <f>H.E!M28</f>
        <v>0</v>
      </c>
      <c r="Y34" s="576">
        <f>H.E!N28</f>
        <v>0</v>
      </c>
      <c r="Z34" s="1107"/>
      <c r="AA34" s="576"/>
      <c r="AB34" s="1107"/>
      <c r="AC34" s="829">
        <f t="shared" si="7"/>
        <v>653.33333333333326</v>
      </c>
      <c r="AD34" s="1107"/>
      <c r="AE34" s="576"/>
      <c r="AF34" s="576">
        <v>2800</v>
      </c>
      <c r="AG34" s="1107">
        <v>252</v>
      </c>
      <c r="AH34" s="1107"/>
      <c r="AI34" s="554"/>
      <c r="AJ34" s="576"/>
      <c r="AK34" s="1092"/>
      <c r="AL34" s="1104"/>
      <c r="AM34" s="576">
        <f t="shared" si="14"/>
        <v>5852</v>
      </c>
      <c r="AN34" s="1083">
        <f t="shared" si="8"/>
        <v>2800</v>
      </c>
      <c r="AO34" s="1108"/>
      <c r="AP34" s="576"/>
      <c r="AQ34" s="1100">
        <v>0.1</v>
      </c>
      <c r="AR34" s="1104">
        <f t="shared" ref="AR34:AR35" si="39">+AN34*AQ34</f>
        <v>280</v>
      </c>
      <c r="AS34" s="1100">
        <v>0</v>
      </c>
      <c r="AT34" s="576">
        <f t="shared" si="35"/>
        <v>0</v>
      </c>
      <c r="AU34" s="1100">
        <v>1.37E-2</v>
      </c>
      <c r="AV34" s="576">
        <f t="shared" ref="AV34:AV35" si="40">+AN34*AU34</f>
        <v>38.36</v>
      </c>
      <c r="AW34" s="1100">
        <f t="shared" ref="AW34:AW35" si="41">+AQ34+AS34+AU34</f>
        <v>0.11370000000000001</v>
      </c>
      <c r="AX34" s="576">
        <f t="shared" si="38"/>
        <v>318.36</v>
      </c>
      <c r="AY34" s="576">
        <f>TARDANZA!K28</f>
        <v>0</v>
      </c>
      <c r="AZ34" s="576">
        <f>TARDANZA!L28</f>
        <v>0</v>
      </c>
      <c r="BA34" s="835"/>
      <c r="BB34" s="576">
        <f t="shared" si="9"/>
        <v>3052</v>
      </c>
      <c r="BC34" s="576"/>
      <c r="BD34" s="576"/>
      <c r="BE34" s="1117">
        <f ca="1">'HT. EPS'!O51</f>
        <v>73.450178542380087</v>
      </c>
      <c r="BF34" s="576"/>
      <c r="BH34" s="845"/>
      <c r="BI34" s="829">
        <f t="shared" ca="1" si="10"/>
        <v>3443.8101785423801</v>
      </c>
      <c r="BJ34" s="595">
        <f t="shared" ca="1" si="11"/>
        <v>2408.1898214576199</v>
      </c>
      <c r="BK34" s="1099">
        <v>0.09</v>
      </c>
      <c r="BL34" s="576">
        <f t="shared" si="4"/>
        <v>252</v>
      </c>
      <c r="BM34" s="923">
        <v>9.75</v>
      </c>
      <c r="BN34" s="1091" t="s">
        <v>182</v>
      </c>
      <c r="BO34" s="1092" t="s">
        <v>210</v>
      </c>
      <c r="BP34" s="1013"/>
      <c r="BQ34" s="1124"/>
      <c r="BR34" s="543"/>
      <c r="BS34" s="554"/>
      <c r="BT34" s="835"/>
      <c r="BU34" s="546" t="s">
        <v>210</v>
      </c>
      <c r="BV34" s="543"/>
      <c r="BW34" s="1124"/>
      <c r="BX34" s="543"/>
      <c r="BY34" s="543"/>
      <c r="BZ34" s="1192"/>
      <c r="CA34" s="1124"/>
      <c r="CB34" s="543"/>
      <c r="CC34" s="543"/>
      <c r="CD34" s="543"/>
      <c r="CE34" s="543"/>
      <c r="CF34" s="543"/>
      <c r="CG34" s="543"/>
      <c r="CH34" s="543"/>
      <c r="CI34" s="543"/>
      <c r="CJ34" s="543"/>
      <c r="CK34" s="543"/>
      <c r="CL34" s="543"/>
      <c r="CM34" s="543"/>
      <c r="CN34" s="543"/>
      <c r="CO34" s="543"/>
      <c r="CP34" s="543"/>
      <c r="CQ34" s="543"/>
      <c r="CR34" s="543"/>
      <c r="CS34" s="543"/>
      <c r="CT34" s="543"/>
      <c r="CU34" s="543"/>
      <c r="CV34" s="543"/>
      <c r="CW34" s="543"/>
      <c r="CX34" s="543"/>
      <c r="CY34" s="543"/>
      <c r="CZ34" s="543"/>
      <c r="DA34" s="543"/>
      <c r="DB34" s="543"/>
      <c r="DC34" s="543"/>
      <c r="DD34" s="543"/>
      <c r="DE34" s="543"/>
      <c r="DF34" s="543"/>
      <c r="DG34" s="543"/>
      <c r="DH34" s="543"/>
      <c r="DI34" s="543"/>
      <c r="DJ34" s="543"/>
      <c r="DK34" s="543"/>
      <c r="DL34" s="543"/>
      <c r="DM34" s="543"/>
      <c r="DN34" s="543"/>
      <c r="DO34" s="543"/>
      <c r="DP34" s="543"/>
      <c r="DQ34" s="543"/>
      <c r="DR34" s="543"/>
      <c r="DS34" s="543"/>
      <c r="DT34" s="543"/>
      <c r="DU34" s="543"/>
      <c r="DV34" s="543"/>
      <c r="DW34" s="543"/>
      <c r="DX34" s="543"/>
      <c r="DY34" s="543"/>
      <c r="DZ34" s="543"/>
      <c r="EA34" s="543"/>
      <c r="EB34" s="543"/>
      <c r="EC34" s="543"/>
      <c r="ED34" s="543"/>
      <c r="EE34" s="543"/>
      <c r="EF34" s="543"/>
      <c r="EG34" s="543"/>
      <c r="EH34" s="543"/>
      <c r="EI34" s="543"/>
      <c r="EJ34" s="543"/>
      <c r="EK34" s="543"/>
      <c r="EL34" s="543"/>
      <c r="EM34" s="543"/>
      <c r="EN34" s="543"/>
      <c r="EO34" s="543"/>
      <c r="EP34" s="543"/>
      <c r="EQ34" s="543"/>
      <c r="ER34" s="543"/>
      <c r="ES34" s="543"/>
      <c r="ET34" s="543"/>
      <c r="EU34" s="543"/>
      <c r="EV34" s="543"/>
      <c r="EW34" s="543"/>
      <c r="EX34" s="543"/>
    </row>
    <row r="35" spans="1:154" s="549" customFormat="1">
      <c r="A35" s="546" t="s">
        <v>200</v>
      </c>
      <c r="B35" s="1091">
        <f t="shared" si="12"/>
        <v>24</v>
      </c>
      <c r="C35" s="1111" t="s">
        <v>267</v>
      </c>
      <c r="D35" s="1101">
        <v>71114663</v>
      </c>
      <c r="E35" s="1102">
        <v>36860</v>
      </c>
      <c r="F35" s="1096">
        <v>45658</v>
      </c>
      <c r="G35" s="1096"/>
      <c r="H35" s="1097" t="s">
        <v>229</v>
      </c>
      <c r="I35" s="1098" t="s">
        <v>72</v>
      </c>
      <c r="J35" s="554">
        <v>2500</v>
      </c>
      <c r="K35" s="576"/>
      <c r="L35" s="1092">
        <v>30</v>
      </c>
      <c r="M35" s="1092"/>
      <c r="N35" s="1092"/>
      <c r="O35" s="1092">
        <f t="shared" si="0"/>
        <v>30</v>
      </c>
      <c r="P35" s="549">
        <v>8</v>
      </c>
      <c r="Q35" s="1092">
        <f t="shared" si="13"/>
        <v>240</v>
      </c>
      <c r="R35" s="1107">
        <f t="shared" si="1"/>
        <v>2500</v>
      </c>
      <c r="S35" s="923">
        <f t="shared" si="5"/>
        <v>0</v>
      </c>
      <c r="T35" s="829">
        <f t="shared" si="6"/>
        <v>0</v>
      </c>
      <c r="U35" s="576">
        <f>COMISIONES!J8</f>
        <v>1891.5045</v>
      </c>
      <c r="V35" s="1107"/>
      <c r="W35" s="576">
        <f>H.E!L29</f>
        <v>0</v>
      </c>
      <c r="X35" s="576">
        <f>H.E!M29</f>
        <v>0</v>
      </c>
      <c r="Y35" s="576">
        <f>H.E!N29</f>
        <v>0</v>
      </c>
      <c r="Z35" s="1107"/>
      <c r="AA35" s="576"/>
      <c r="AB35" s="1107"/>
      <c r="AC35" s="829">
        <f t="shared" si="7"/>
        <v>0</v>
      </c>
      <c r="AD35" s="1107"/>
      <c r="AE35" s="576"/>
      <c r="AF35" s="576">
        <v>3997.7520478813558</v>
      </c>
      <c r="AG35" s="1107">
        <v>359.79768430932199</v>
      </c>
      <c r="AH35" s="1107"/>
      <c r="AI35" s="554"/>
      <c r="AJ35" s="576"/>
      <c r="AK35" s="1092"/>
      <c r="AL35" s="1104"/>
      <c r="AM35" s="576">
        <f t="shared" si="14"/>
        <v>8749.0542321906778</v>
      </c>
      <c r="AN35" s="1083">
        <f t="shared" si="8"/>
        <v>4363.0322777777774</v>
      </c>
      <c r="AO35" s="1108"/>
      <c r="AP35" s="576"/>
      <c r="AQ35" s="1100">
        <v>0.1</v>
      </c>
      <c r="AR35" s="1104">
        <f t="shared" si="39"/>
        <v>436.30322777777775</v>
      </c>
      <c r="AS35" s="1100">
        <v>0</v>
      </c>
      <c r="AT35" s="576">
        <f t="shared" si="35"/>
        <v>0</v>
      </c>
      <c r="AU35" s="1100">
        <v>1.37E-2</v>
      </c>
      <c r="AV35" s="576">
        <f t="shared" si="40"/>
        <v>59.77354220555555</v>
      </c>
      <c r="AW35" s="1100">
        <f t="shared" si="41"/>
        <v>0.11370000000000001</v>
      </c>
      <c r="AX35" s="576">
        <f t="shared" si="38"/>
        <v>496.07676998333329</v>
      </c>
      <c r="AY35" s="576">
        <f>TARDANZA!K29</f>
        <v>0</v>
      </c>
      <c r="AZ35" s="576">
        <f>TARDANZA!L29</f>
        <v>28.472222222222221</v>
      </c>
      <c r="BA35" s="835"/>
      <c r="BB35" s="576">
        <f t="shared" si="9"/>
        <v>4357.5497321906778</v>
      </c>
      <c r="BC35" s="576"/>
      <c r="BD35" s="576"/>
      <c r="BE35" s="576"/>
      <c r="BF35" s="576"/>
      <c r="BH35" s="845">
        <f>+'RTA 5TA VTAS'!I121</f>
        <v>156.19047604371869</v>
      </c>
      <c r="BI35" s="829">
        <f>+AX35+SUM(AY35:BH35)+AP35</f>
        <v>5038.2892004399519</v>
      </c>
      <c r="BJ35" s="595">
        <f>(+AM35-BI35)</f>
        <v>3710.7650317507259</v>
      </c>
      <c r="BK35" s="1099">
        <v>0.09</v>
      </c>
      <c r="BL35" s="576">
        <f t="shared" si="4"/>
        <v>392.67290499999996</v>
      </c>
      <c r="BM35" s="923">
        <v>2.6999999999999997</v>
      </c>
      <c r="BN35" s="1091"/>
      <c r="BO35" s="1092" t="s">
        <v>210</v>
      </c>
      <c r="BR35" s="543"/>
      <c r="BS35" s="554"/>
      <c r="BT35" s="835"/>
      <c r="BU35" s="546" t="s">
        <v>210</v>
      </c>
      <c r="BV35" s="543"/>
      <c r="BW35" s="543"/>
      <c r="BX35" s="543"/>
      <c r="BY35" s="543"/>
      <c r="BZ35" s="1192"/>
      <c r="CA35" s="1124"/>
      <c r="CB35" s="543"/>
      <c r="CC35" s="543"/>
      <c r="CD35" s="543"/>
      <c r="CE35" s="543"/>
      <c r="CF35" s="543"/>
      <c r="CG35" s="543"/>
      <c r="CH35" s="543"/>
      <c r="CI35" s="543"/>
      <c r="CJ35" s="543"/>
      <c r="CK35" s="543"/>
      <c r="CL35" s="543"/>
      <c r="CM35" s="543"/>
      <c r="CN35" s="543"/>
      <c r="CO35" s="543"/>
      <c r="CP35" s="543"/>
      <c r="CQ35" s="543"/>
      <c r="CR35" s="543"/>
      <c r="CS35" s="543"/>
      <c r="CT35" s="543"/>
      <c r="CU35" s="543"/>
      <c r="CV35" s="543"/>
      <c r="CW35" s="543"/>
      <c r="CX35" s="543"/>
      <c r="CY35" s="543"/>
      <c r="CZ35" s="543"/>
      <c r="DA35" s="543"/>
      <c r="DB35" s="543"/>
      <c r="DC35" s="543"/>
      <c r="DD35" s="543"/>
      <c r="DE35" s="543"/>
      <c r="DF35" s="543"/>
      <c r="DG35" s="543"/>
      <c r="DH35" s="543"/>
      <c r="DI35" s="543"/>
      <c r="DJ35" s="543"/>
      <c r="DK35" s="543"/>
      <c r="DL35" s="543"/>
      <c r="DM35" s="543"/>
      <c r="DN35" s="543"/>
      <c r="DO35" s="543"/>
      <c r="DP35" s="543"/>
      <c r="DQ35" s="543"/>
      <c r="DR35" s="543"/>
      <c r="DS35" s="543"/>
      <c r="DT35" s="543"/>
      <c r="DU35" s="543"/>
      <c r="DV35" s="543"/>
      <c r="DW35" s="543"/>
      <c r="DX35" s="543"/>
      <c r="DY35" s="543"/>
      <c r="DZ35" s="543"/>
      <c r="EA35" s="543"/>
      <c r="EB35" s="543"/>
      <c r="EC35" s="543"/>
      <c r="ED35" s="543"/>
      <c r="EE35" s="543"/>
      <c r="EF35" s="543"/>
      <c r="EG35" s="543"/>
      <c r="EH35" s="543"/>
      <c r="EI35" s="543"/>
      <c r="EJ35" s="543"/>
      <c r="EK35" s="543"/>
      <c r="EL35" s="543"/>
      <c r="EM35" s="543"/>
      <c r="EN35" s="543"/>
      <c r="EO35" s="543"/>
      <c r="EP35" s="543"/>
      <c r="EQ35" s="543"/>
      <c r="ER35" s="543"/>
      <c r="ES35" s="543"/>
      <c r="ET35" s="543"/>
      <c r="EU35" s="543"/>
      <c r="EV35" s="543"/>
      <c r="EW35" s="543"/>
      <c r="EX35" s="543"/>
    </row>
    <row r="36" spans="1:154" s="549" customFormat="1">
      <c r="A36" s="546" t="s">
        <v>200</v>
      </c>
      <c r="B36" s="1091">
        <f t="shared" si="12"/>
        <v>25</v>
      </c>
      <c r="C36" s="1111" t="s">
        <v>269</v>
      </c>
      <c r="D36" s="1101">
        <v>73735818</v>
      </c>
      <c r="E36" s="1102">
        <v>36161</v>
      </c>
      <c r="F36" s="1096">
        <v>45689</v>
      </c>
      <c r="G36" s="1096"/>
      <c r="H36" s="1097" t="s">
        <v>229</v>
      </c>
      <c r="I36" s="1098" t="s">
        <v>71</v>
      </c>
      <c r="J36" s="554">
        <v>2500</v>
      </c>
      <c r="K36" s="576"/>
      <c r="L36" s="1092">
        <v>30</v>
      </c>
      <c r="M36" s="1092"/>
      <c r="N36" s="1092"/>
      <c r="O36" s="1092">
        <f t="shared" si="0"/>
        <v>30</v>
      </c>
      <c r="P36" s="549">
        <v>8</v>
      </c>
      <c r="Q36" s="1092">
        <f t="shared" si="13"/>
        <v>240</v>
      </c>
      <c r="R36" s="1107">
        <f t="shared" si="1"/>
        <v>2500</v>
      </c>
      <c r="S36" s="923">
        <f t="shared" si="5"/>
        <v>0</v>
      </c>
      <c r="T36" s="829">
        <f t="shared" si="6"/>
        <v>0</v>
      </c>
      <c r="U36" s="576">
        <f>COMISIONES!J7</f>
        <v>600.18254999999999</v>
      </c>
      <c r="V36" s="1107"/>
      <c r="W36" s="576">
        <f>H.E!L30</f>
        <v>0</v>
      </c>
      <c r="X36" s="576">
        <f>H.E!M30</f>
        <v>0</v>
      </c>
      <c r="Y36" s="576">
        <f>H.E!N30</f>
        <v>0</v>
      </c>
      <c r="Z36" s="1107"/>
      <c r="AA36" s="576"/>
      <c r="AB36" s="1107"/>
      <c r="AC36" s="829">
        <f t="shared" si="7"/>
        <v>0</v>
      </c>
      <c r="AD36" s="1107"/>
      <c r="AE36" s="576"/>
      <c r="AF36" s="576">
        <v>3704.8426749999999</v>
      </c>
      <c r="AG36" s="1107">
        <v>333.43584074999995</v>
      </c>
      <c r="AH36" s="1107"/>
      <c r="AI36" s="554"/>
      <c r="AJ36" s="576"/>
      <c r="AK36" s="829"/>
      <c r="AL36" s="845"/>
      <c r="AM36" s="576">
        <f t="shared" si="14"/>
        <v>7138.4610657499998</v>
      </c>
      <c r="AN36" s="1083">
        <f t="shared" si="8"/>
        <v>3100.18255</v>
      </c>
      <c r="AO36" s="1089"/>
      <c r="AP36" s="829"/>
      <c r="AQ36" s="1100">
        <v>0.1</v>
      </c>
      <c r="AR36" s="845">
        <f t="shared" ref="AR36" si="42">+AN36*AQ36</f>
        <v>310.01825500000001</v>
      </c>
      <c r="AS36" s="1100">
        <v>0</v>
      </c>
      <c r="AT36" s="576">
        <f t="shared" ref="AT36" si="43">+AN36*AS36</f>
        <v>0</v>
      </c>
      <c r="AU36" s="1100">
        <v>1.37E-2</v>
      </c>
      <c r="AV36" s="576">
        <f t="shared" ref="AV36" si="44">+AN36*AU36</f>
        <v>42.472500934999999</v>
      </c>
      <c r="AW36" s="1100">
        <f t="shared" ref="AW36" si="45">+AQ36+AS36+AU36</f>
        <v>0.11370000000000001</v>
      </c>
      <c r="AX36" s="829">
        <f t="shared" si="38"/>
        <v>352.49075593500004</v>
      </c>
      <c r="AY36" s="576">
        <f>TARDANZA!K30</f>
        <v>0</v>
      </c>
      <c r="AZ36" s="576">
        <f>TARDANZA!L30</f>
        <v>0</v>
      </c>
      <c r="BA36" s="835"/>
      <c r="BB36" s="576">
        <f t="shared" si="9"/>
        <v>4038.2785157499998</v>
      </c>
      <c r="BC36" s="576"/>
      <c r="BD36" s="576"/>
      <c r="BE36" s="576"/>
      <c r="BF36" s="576"/>
      <c r="BH36" s="845">
        <f>+'RTA 5TA VTAS'!H121</f>
        <v>107.23729988653054</v>
      </c>
      <c r="BI36" s="829">
        <f t="shared" si="10"/>
        <v>4498.0065715715309</v>
      </c>
      <c r="BJ36" s="595">
        <f t="shared" si="11"/>
        <v>2640.4544941784688</v>
      </c>
      <c r="BK36" s="1099">
        <v>0.09</v>
      </c>
      <c r="BL36" s="576">
        <f t="shared" si="4"/>
        <v>279.01642950000002</v>
      </c>
      <c r="BM36" s="923">
        <v>3.75</v>
      </c>
      <c r="BN36" s="1091"/>
      <c r="BO36" s="1103" t="s">
        <v>203</v>
      </c>
      <c r="BP36" s="1062"/>
      <c r="BQ36" s="1062"/>
      <c r="BR36" s="543"/>
      <c r="BS36" s="554"/>
      <c r="BT36" s="835"/>
      <c r="BU36" s="546" t="s">
        <v>203</v>
      </c>
      <c r="BV36" s="543"/>
      <c r="BW36" s="543"/>
      <c r="BX36" s="543"/>
      <c r="BY36" s="543"/>
      <c r="BZ36" s="1192"/>
      <c r="CA36" s="1124"/>
      <c r="CB36" s="543"/>
      <c r="CC36" s="543"/>
      <c r="CD36" s="543"/>
      <c r="CE36" s="543"/>
      <c r="CF36" s="543"/>
      <c r="CG36" s="543"/>
      <c r="CH36" s="543"/>
      <c r="CI36" s="543"/>
      <c r="CJ36" s="543"/>
      <c r="CK36" s="543"/>
      <c r="CL36" s="543"/>
      <c r="CM36" s="543"/>
      <c r="CN36" s="543"/>
      <c r="CO36" s="543"/>
      <c r="CP36" s="543"/>
      <c r="CQ36" s="543"/>
      <c r="CR36" s="543"/>
      <c r="CS36" s="543"/>
      <c r="CT36" s="543"/>
      <c r="CU36" s="543"/>
      <c r="CV36" s="543"/>
      <c r="CW36" s="543"/>
      <c r="CX36" s="543"/>
      <c r="CY36" s="543"/>
      <c r="CZ36" s="543"/>
      <c r="DA36" s="543"/>
      <c r="DB36" s="543"/>
      <c r="DC36" s="543"/>
      <c r="DD36" s="543"/>
      <c r="DE36" s="543"/>
      <c r="DF36" s="543"/>
      <c r="DG36" s="543"/>
      <c r="DH36" s="543"/>
      <c r="DI36" s="543"/>
      <c r="DJ36" s="543"/>
      <c r="DK36" s="543"/>
      <c r="DL36" s="543"/>
      <c r="DM36" s="543"/>
      <c r="DN36" s="543"/>
      <c r="DO36" s="543"/>
      <c r="DP36" s="543"/>
      <c r="DQ36" s="543"/>
      <c r="DR36" s="543"/>
      <c r="DS36" s="543"/>
      <c r="DT36" s="543"/>
      <c r="DU36" s="543"/>
      <c r="DV36" s="543"/>
      <c r="DW36" s="543"/>
      <c r="DX36" s="543"/>
      <c r="DY36" s="543"/>
      <c r="DZ36" s="543"/>
      <c r="EA36" s="543"/>
      <c r="EB36" s="543"/>
      <c r="EC36" s="543"/>
      <c r="ED36" s="543"/>
      <c r="EE36" s="543"/>
      <c r="EF36" s="543"/>
      <c r="EG36" s="543"/>
      <c r="EH36" s="543"/>
      <c r="EI36" s="543"/>
      <c r="EJ36" s="543"/>
      <c r="EK36" s="543"/>
      <c r="EL36" s="543"/>
      <c r="EM36" s="543"/>
      <c r="EN36" s="543"/>
      <c r="EO36" s="543"/>
      <c r="EP36" s="543"/>
      <c r="EQ36" s="543"/>
      <c r="ER36" s="543"/>
      <c r="ES36" s="543"/>
      <c r="ET36" s="543"/>
      <c r="EU36" s="543"/>
      <c r="EV36" s="543"/>
      <c r="EW36" s="543"/>
      <c r="EX36" s="543"/>
    </row>
    <row r="37" spans="1:154" s="549" customFormat="1">
      <c r="A37" s="546" t="s">
        <v>216</v>
      </c>
      <c r="B37" s="1091">
        <f t="shared" si="12"/>
        <v>26</v>
      </c>
      <c r="C37" s="1111" t="s">
        <v>270</v>
      </c>
      <c r="D37" s="1101">
        <v>6802763</v>
      </c>
      <c r="E37" s="1102">
        <v>28259</v>
      </c>
      <c r="F37" s="1096">
        <v>45698</v>
      </c>
      <c r="G37" s="1096"/>
      <c r="H37" s="1097" t="s">
        <v>271</v>
      </c>
      <c r="I37" s="1098" t="s">
        <v>144</v>
      </c>
      <c r="J37" s="554">
        <v>2800</v>
      </c>
      <c r="K37" s="576"/>
      <c r="L37" s="1092">
        <v>30</v>
      </c>
      <c r="M37" s="1092"/>
      <c r="N37" s="1092">
        <v>11</v>
      </c>
      <c r="O37" s="1092">
        <f t="shared" si="0"/>
        <v>19</v>
      </c>
      <c r="P37" s="549">
        <v>8</v>
      </c>
      <c r="Q37" s="1092">
        <f t="shared" si="13"/>
        <v>152</v>
      </c>
      <c r="R37" s="1107">
        <f t="shared" si="1"/>
        <v>1773.3333333333335</v>
      </c>
      <c r="S37" s="923">
        <f t="shared" si="5"/>
        <v>0</v>
      </c>
      <c r="T37" s="829">
        <f t="shared" si="6"/>
        <v>0</v>
      </c>
      <c r="U37" s="1107"/>
      <c r="V37" s="1107"/>
      <c r="W37" s="576">
        <f>H.E!L31</f>
        <v>0</v>
      </c>
      <c r="X37" s="576">
        <f>H.E!M31</f>
        <v>0</v>
      </c>
      <c r="Y37" s="576">
        <f>H.E!N31</f>
        <v>0</v>
      </c>
      <c r="Z37" s="1107"/>
      <c r="AA37" s="576"/>
      <c r="AB37" s="1107"/>
      <c r="AC37" s="829">
        <f t="shared" si="7"/>
        <v>1026.6666666666665</v>
      </c>
      <c r="AD37" s="1107"/>
      <c r="AE37" s="576"/>
      <c r="AF37" s="576">
        <v>2800</v>
      </c>
      <c r="AG37" s="1107">
        <v>252</v>
      </c>
      <c r="AH37" s="1107"/>
      <c r="AI37" s="554"/>
      <c r="AJ37" s="576"/>
      <c r="AK37" s="1092"/>
      <c r="AL37" s="1104"/>
      <c r="AM37" s="576">
        <f t="shared" si="14"/>
        <v>5852</v>
      </c>
      <c r="AN37" s="1083">
        <f t="shared" si="8"/>
        <v>2788.3333333333335</v>
      </c>
      <c r="AO37" s="1108">
        <v>0.13</v>
      </c>
      <c r="AP37" s="576">
        <f>+AN37*AO37</f>
        <v>362.48333333333335</v>
      </c>
      <c r="AQ37" s="1100"/>
      <c r="AR37" s="1104"/>
      <c r="AS37" s="1100"/>
      <c r="AT37" s="576"/>
      <c r="AU37" s="1100"/>
      <c r="AV37" s="576"/>
      <c r="AW37" s="1100"/>
      <c r="AX37" s="576"/>
      <c r="AY37" s="576">
        <f>TARDANZA!K31</f>
        <v>0</v>
      </c>
      <c r="AZ37" s="576">
        <f>TARDANZA!L31</f>
        <v>11.666666666666666</v>
      </c>
      <c r="BA37" s="835"/>
      <c r="BB37" s="576">
        <f t="shared" si="9"/>
        <v>3052</v>
      </c>
      <c r="BC37" s="576"/>
      <c r="BD37" s="576"/>
      <c r="BE37" s="576"/>
      <c r="BF37" s="576"/>
      <c r="BG37" s="549">
        <v>230.53</v>
      </c>
      <c r="BH37" s="845">
        <f>+'RTA 5TA'!N115</f>
        <v>8.0266666666666655</v>
      </c>
      <c r="BI37" s="829">
        <f t="shared" si="10"/>
        <v>3664.7066666666669</v>
      </c>
      <c r="BJ37" s="595">
        <f t="shared" si="11"/>
        <v>2187.2933333333331</v>
      </c>
      <c r="BK37" s="1099">
        <v>0.09</v>
      </c>
      <c r="BL37" s="576">
        <f t="shared" si="4"/>
        <v>250.95000000000002</v>
      </c>
      <c r="BM37" s="923">
        <v>10.92</v>
      </c>
      <c r="BN37" s="1091"/>
      <c r="BO37" s="1092" t="s">
        <v>210</v>
      </c>
      <c r="BR37" s="543"/>
      <c r="BS37" s="554"/>
      <c r="BT37" s="835"/>
      <c r="BU37" s="546" t="s">
        <v>210</v>
      </c>
      <c r="BV37" s="543"/>
      <c r="BW37" s="543"/>
      <c r="BX37" s="543"/>
      <c r="BY37" s="543"/>
      <c r="BZ37" s="1192"/>
      <c r="CA37" s="1124"/>
      <c r="CB37" s="543"/>
      <c r="CC37" s="543"/>
      <c r="CD37" s="543"/>
      <c r="CE37" s="543"/>
      <c r="CF37" s="543"/>
      <c r="CG37" s="543"/>
      <c r="CH37" s="543"/>
      <c r="CI37" s="543"/>
      <c r="CJ37" s="543"/>
      <c r="CK37" s="543"/>
      <c r="CL37" s="543"/>
      <c r="CM37" s="543"/>
      <c r="CN37" s="543"/>
      <c r="CO37" s="543"/>
      <c r="CP37" s="543"/>
      <c r="CQ37" s="543"/>
      <c r="CR37" s="543"/>
      <c r="CS37" s="543"/>
      <c r="CT37" s="543"/>
      <c r="CU37" s="543"/>
      <c r="CV37" s="543"/>
      <c r="CW37" s="543"/>
      <c r="CX37" s="543"/>
      <c r="CY37" s="543"/>
      <c r="CZ37" s="543"/>
      <c r="DA37" s="543"/>
      <c r="DB37" s="543"/>
      <c r="DC37" s="543"/>
      <c r="DD37" s="543"/>
      <c r="DE37" s="543"/>
      <c r="DF37" s="543"/>
      <c r="DG37" s="543"/>
      <c r="DH37" s="543"/>
      <c r="DI37" s="543"/>
      <c r="DJ37" s="543"/>
      <c r="DK37" s="543"/>
      <c r="DL37" s="543"/>
      <c r="DM37" s="543"/>
      <c r="DN37" s="543"/>
      <c r="DO37" s="543"/>
      <c r="DP37" s="543"/>
      <c r="DQ37" s="543"/>
      <c r="DR37" s="543"/>
      <c r="DS37" s="543"/>
      <c r="DT37" s="543"/>
      <c r="DU37" s="543"/>
      <c r="DV37" s="543"/>
      <c r="DW37" s="543"/>
      <c r="DX37" s="543"/>
      <c r="DY37" s="543"/>
      <c r="DZ37" s="543"/>
      <c r="EA37" s="543"/>
      <c r="EB37" s="543"/>
      <c r="EC37" s="543"/>
      <c r="ED37" s="543"/>
      <c r="EE37" s="543"/>
      <c r="EF37" s="543"/>
      <c r="EG37" s="543"/>
      <c r="EH37" s="543"/>
      <c r="EI37" s="543"/>
      <c r="EJ37" s="543"/>
      <c r="EK37" s="543"/>
      <c r="EL37" s="543"/>
      <c r="EM37" s="543"/>
      <c r="EN37" s="543"/>
      <c r="EO37" s="543"/>
      <c r="EP37" s="543"/>
      <c r="EQ37" s="543"/>
      <c r="ER37" s="543"/>
      <c r="ES37" s="543"/>
      <c r="ET37" s="543"/>
      <c r="EU37" s="543"/>
      <c r="EV37" s="543"/>
      <c r="EW37" s="543"/>
      <c r="EX37" s="543"/>
    </row>
    <row r="38" spans="1:154" s="549" customFormat="1">
      <c r="A38" s="546" t="s">
        <v>207</v>
      </c>
      <c r="B38" s="1091">
        <f t="shared" si="12"/>
        <v>27</v>
      </c>
      <c r="C38" s="1111" t="s">
        <v>272</v>
      </c>
      <c r="D38" s="1101">
        <v>48461873</v>
      </c>
      <c r="E38" s="1102">
        <v>34304</v>
      </c>
      <c r="F38" s="1096">
        <v>45719</v>
      </c>
      <c r="G38" s="1096"/>
      <c r="H38" s="1097" t="s">
        <v>258</v>
      </c>
      <c r="I38" s="1098" t="s">
        <v>71</v>
      </c>
      <c r="J38" s="554">
        <v>2000</v>
      </c>
      <c r="K38" s="576"/>
      <c r="L38" s="1092">
        <v>30</v>
      </c>
      <c r="M38" s="1092"/>
      <c r="N38" s="1092"/>
      <c r="O38" s="1092">
        <f t="shared" si="0"/>
        <v>30</v>
      </c>
      <c r="P38" s="549">
        <v>8</v>
      </c>
      <c r="Q38" s="1092">
        <f t="shared" si="13"/>
        <v>240</v>
      </c>
      <c r="R38" s="1107">
        <f t="shared" si="1"/>
        <v>2000</v>
      </c>
      <c r="S38" s="923">
        <f t="shared" si="5"/>
        <v>0</v>
      </c>
      <c r="T38" s="829">
        <f t="shared" si="6"/>
        <v>0</v>
      </c>
      <c r="U38" s="576"/>
      <c r="V38" s="1107"/>
      <c r="W38" s="576">
        <f>H.E!L32</f>
        <v>0</v>
      </c>
      <c r="X38" s="576">
        <f>H.E!M32</f>
        <v>0</v>
      </c>
      <c r="Y38" s="576">
        <f>H.E!N32</f>
        <v>0</v>
      </c>
      <c r="Z38" s="1107"/>
      <c r="AA38" s="576"/>
      <c r="AB38" s="1107"/>
      <c r="AC38" s="829">
        <f t="shared" si="7"/>
        <v>0</v>
      </c>
      <c r="AD38" s="1107"/>
      <c r="AE38" s="576"/>
      <c r="AF38" s="576">
        <v>2113.8986111111112</v>
      </c>
      <c r="AG38" s="1107">
        <v>190.25087500000001</v>
      </c>
      <c r="AH38" s="1107"/>
      <c r="AI38" s="554"/>
      <c r="AJ38" s="576"/>
      <c r="AK38" s="1092"/>
      <c r="AL38" s="1104"/>
      <c r="AM38" s="576">
        <f t="shared" si="14"/>
        <v>4304.1494861111114</v>
      </c>
      <c r="AN38" s="1083">
        <f t="shared" si="8"/>
        <v>1988.0555555555559</v>
      </c>
      <c r="AO38" s="1108"/>
      <c r="AP38" s="576"/>
      <c r="AQ38" s="1100">
        <v>0.1</v>
      </c>
      <c r="AR38" s="1104">
        <f t="shared" ref="AR38" si="46">+AN38*AQ38</f>
        <v>198.8055555555556</v>
      </c>
      <c r="AS38" s="1100">
        <v>0</v>
      </c>
      <c r="AT38" s="576">
        <f t="shared" ref="AT38" si="47">+AN38*AS38</f>
        <v>0</v>
      </c>
      <c r="AU38" s="1100">
        <v>1.37E-2</v>
      </c>
      <c r="AV38" s="576">
        <f t="shared" ref="AV38" si="48">+AN38*AU38</f>
        <v>27.236361111111115</v>
      </c>
      <c r="AW38" s="1100">
        <f>+AQ38+AS38+AU38</f>
        <v>0.11370000000000001</v>
      </c>
      <c r="AX38" s="576">
        <f>+AR38+AT38+AV38</f>
        <v>226.04191666666671</v>
      </c>
      <c r="AY38" s="576">
        <f>TARDANZA!K32</f>
        <v>0</v>
      </c>
      <c r="AZ38" s="576">
        <f>TARDANZA!L32</f>
        <v>11.944444444444445</v>
      </c>
      <c r="BA38" s="835"/>
      <c r="BB38" s="576">
        <f t="shared" si="9"/>
        <v>2304.1494861111114</v>
      </c>
      <c r="BC38" s="576"/>
      <c r="BD38" s="576"/>
      <c r="BE38" s="576"/>
      <c r="BF38" s="576"/>
      <c r="BG38" s="549">
        <v>281.52999999999997</v>
      </c>
      <c r="BH38" s="845"/>
      <c r="BI38" s="829">
        <f t="shared" si="10"/>
        <v>2823.6658472222221</v>
      </c>
      <c r="BJ38" s="595">
        <f t="shared" si="11"/>
        <v>1480.4836388888893</v>
      </c>
      <c r="BK38" s="1099">
        <v>0.09</v>
      </c>
      <c r="BL38" s="576">
        <f t="shared" si="4"/>
        <v>178.92500000000001</v>
      </c>
      <c r="BM38" s="923">
        <v>2.5500000000000003</v>
      </c>
      <c r="BN38" s="1091"/>
      <c r="BO38" s="1103" t="s">
        <v>210</v>
      </c>
      <c r="BP38" s="1062"/>
      <c r="BQ38" s="1062"/>
      <c r="BR38" s="543"/>
      <c r="BS38" s="554"/>
      <c r="BT38" s="835"/>
      <c r="BU38" s="546" t="s">
        <v>210</v>
      </c>
      <c r="BV38" s="543"/>
      <c r="BW38" s="543"/>
      <c r="BX38" s="543"/>
      <c r="BY38" s="543"/>
      <c r="BZ38" s="1192"/>
      <c r="CA38" s="1124"/>
      <c r="CB38" s="543"/>
      <c r="CC38" s="543"/>
      <c r="CD38" s="543"/>
      <c r="CE38" s="543"/>
      <c r="CF38" s="543"/>
      <c r="CG38" s="543"/>
      <c r="CH38" s="543"/>
      <c r="CI38" s="543"/>
      <c r="CJ38" s="543"/>
      <c r="CK38" s="543"/>
      <c r="CL38" s="543"/>
      <c r="CM38" s="543"/>
      <c r="CN38" s="543"/>
      <c r="CO38" s="543"/>
      <c r="CP38" s="543"/>
      <c r="CQ38" s="543"/>
      <c r="CR38" s="543"/>
      <c r="CS38" s="543"/>
      <c r="CT38" s="543"/>
      <c r="CU38" s="543"/>
      <c r="CV38" s="543"/>
      <c r="CW38" s="543"/>
      <c r="CX38" s="543"/>
      <c r="CY38" s="543"/>
      <c r="CZ38" s="543"/>
      <c r="DA38" s="543"/>
      <c r="DB38" s="543"/>
      <c r="DC38" s="543"/>
      <c r="DD38" s="543"/>
      <c r="DE38" s="543"/>
      <c r="DF38" s="543"/>
      <c r="DG38" s="543"/>
      <c r="DH38" s="543"/>
      <c r="DI38" s="543"/>
      <c r="DJ38" s="543"/>
      <c r="DK38" s="543"/>
      <c r="DL38" s="543"/>
      <c r="DM38" s="543"/>
      <c r="DN38" s="543"/>
      <c r="DO38" s="543"/>
      <c r="DP38" s="543"/>
      <c r="DQ38" s="543"/>
      <c r="DR38" s="543"/>
      <c r="DS38" s="543"/>
      <c r="DT38" s="543"/>
      <c r="DU38" s="543"/>
      <c r="DV38" s="543"/>
      <c r="DW38" s="543"/>
      <c r="DX38" s="543"/>
      <c r="DY38" s="543"/>
      <c r="DZ38" s="543"/>
      <c r="EA38" s="543"/>
      <c r="EB38" s="543"/>
      <c r="EC38" s="543"/>
      <c r="ED38" s="543"/>
      <c r="EE38" s="543"/>
      <c r="EF38" s="543"/>
      <c r="EG38" s="543"/>
      <c r="EH38" s="543"/>
      <c r="EI38" s="543"/>
      <c r="EJ38" s="543"/>
      <c r="EK38" s="543"/>
      <c r="EL38" s="543"/>
      <c r="EM38" s="543"/>
      <c r="EN38" s="543"/>
      <c r="EO38" s="543"/>
      <c r="EP38" s="543"/>
      <c r="EQ38" s="543"/>
      <c r="ER38" s="543"/>
      <c r="ES38" s="543"/>
      <c r="ET38" s="543"/>
      <c r="EU38" s="543"/>
      <c r="EV38" s="543"/>
      <c r="EW38" s="543"/>
      <c r="EX38" s="543"/>
    </row>
    <row r="39" spans="1:154" s="549" customFormat="1">
      <c r="A39" s="546" t="s">
        <v>213</v>
      </c>
      <c r="B39" s="1091">
        <f t="shared" si="12"/>
        <v>28</v>
      </c>
      <c r="C39" s="1111" t="s">
        <v>273</v>
      </c>
      <c r="D39" s="1101">
        <v>71932804</v>
      </c>
      <c r="E39" s="1128">
        <v>35956</v>
      </c>
      <c r="F39" s="1096">
        <v>45778</v>
      </c>
      <c r="G39" s="1096"/>
      <c r="H39" s="1097" t="s">
        <v>274</v>
      </c>
      <c r="I39" s="1098" t="s">
        <v>72</v>
      </c>
      <c r="J39" s="554">
        <v>2200</v>
      </c>
      <c r="K39" s="576"/>
      <c r="L39" s="1092">
        <v>30</v>
      </c>
      <c r="M39" s="1092"/>
      <c r="N39" s="1092"/>
      <c r="O39" s="1092">
        <f t="shared" si="0"/>
        <v>30</v>
      </c>
      <c r="P39" s="549">
        <v>8</v>
      </c>
      <c r="Q39" s="1092">
        <f t="shared" ref="Q39:Q41" si="49">+O39*P39</f>
        <v>240</v>
      </c>
      <c r="R39" s="1107">
        <f t="shared" si="1"/>
        <v>2200</v>
      </c>
      <c r="S39" s="923">
        <f t="shared" si="5"/>
        <v>0</v>
      </c>
      <c r="T39" s="829">
        <f t="shared" si="6"/>
        <v>0</v>
      </c>
      <c r="U39" s="576"/>
      <c r="V39" s="1107"/>
      <c r="W39" s="576">
        <f>H.E!L33</f>
        <v>0</v>
      </c>
      <c r="X39" s="576">
        <f>H.E!M33</f>
        <v>0</v>
      </c>
      <c r="Y39" s="576">
        <f>H.E!N33</f>
        <v>0</v>
      </c>
      <c r="Z39" s="1107"/>
      <c r="AA39" s="576"/>
      <c r="AB39" s="1107"/>
      <c r="AC39" s="829">
        <f t="shared" si="7"/>
        <v>0</v>
      </c>
      <c r="AD39" s="1107"/>
      <c r="AE39" s="576"/>
      <c r="AF39" s="576">
        <v>2200</v>
      </c>
      <c r="AG39" s="1107">
        <v>198</v>
      </c>
      <c r="AH39" s="1107"/>
      <c r="AI39" s="554"/>
      <c r="AJ39" s="576"/>
      <c r="AK39" s="1092"/>
      <c r="AL39" s="1104"/>
      <c r="AM39" s="576">
        <f t="shared" si="14"/>
        <v>4598</v>
      </c>
      <c r="AN39" s="1083">
        <f t="shared" si="8"/>
        <v>2196.7916666666665</v>
      </c>
      <c r="AO39" s="1108"/>
      <c r="AP39" s="576"/>
      <c r="AQ39" s="1100">
        <v>0.1</v>
      </c>
      <c r="AR39" s="1104">
        <f t="shared" ref="AR39:AR40" si="50">+AN39*AQ39</f>
        <v>219.67916666666667</v>
      </c>
      <c r="AS39" s="1100">
        <v>0</v>
      </c>
      <c r="AT39" s="576">
        <f t="shared" ref="AT39:AT40" si="51">+AN39*AS39</f>
        <v>0</v>
      </c>
      <c r="AU39" s="1100">
        <v>1.37E-2</v>
      </c>
      <c r="AV39" s="576">
        <f t="shared" ref="AV39:AV40" si="52">+AN39*AU39</f>
        <v>30.096045833333331</v>
      </c>
      <c r="AW39" s="1100">
        <f t="shared" ref="AW39:AW40" si="53">+AQ39+AS39+AU39</f>
        <v>0.11370000000000001</v>
      </c>
      <c r="AX39" s="576">
        <f t="shared" ref="AX39:AX40" si="54">+AR39+AT39+AV39</f>
        <v>249.77521250000001</v>
      </c>
      <c r="AY39" s="576">
        <f>TARDANZA!K33</f>
        <v>0</v>
      </c>
      <c r="AZ39" s="576">
        <f>TARDANZA!L33</f>
        <v>3.208333333333333</v>
      </c>
      <c r="BA39" s="835"/>
      <c r="BB39" s="576">
        <f t="shared" si="9"/>
        <v>2398</v>
      </c>
      <c r="BC39" s="576"/>
      <c r="BD39" s="576"/>
      <c r="BE39" s="576">
        <f ca="1">'HT. EPS'!O37</f>
        <v>76.416280237295339</v>
      </c>
      <c r="BF39" s="576"/>
      <c r="BH39" s="845"/>
      <c r="BI39" s="829">
        <f t="shared" ca="1" si="10"/>
        <v>2727.3998260706289</v>
      </c>
      <c r="BJ39" s="595">
        <f ca="1">(+AM39-BI39)</f>
        <v>1870.6001739293711</v>
      </c>
      <c r="BK39" s="1099">
        <v>0.09</v>
      </c>
      <c r="BL39" s="576">
        <f>AN39*BK39</f>
        <v>197.71124999999998</v>
      </c>
      <c r="BM39" s="923">
        <v>2.86</v>
      </c>
      <c r="BN39" s="1091" t="s">
        <v>182</v>
      </c>
      <c r="BO39" s="1103" t="s">
        <v>210</v>
      </c>
      <c r="BP39" s="1062"/>
      <c r="BQ39" s="1062"/>
      <c r="BR39" s="543"/>
      <c r="BS39" s="554"/>
      <c r="BT39" s="835"/>
      <c r="BU39" s="546" t="s">
        <v>210</v>
      </c>
      <c r="BV39" s="543"/>
      <c r="BW39" s="543"/>
      <c r="BX39" s="543"/>
      <c r="BY39" s="543"/>
      <c r="BZ39" s="1192"/>
      <c r="CA39" s="1124"/>
      <c r="CB39" s="543"/>
      <c r="CC39" s="543"/>
      <c r="CD39" s="543"/>
      <c r="CE39" s="543"/>
      <c r="CF39" s="543"/>
      <c r="CG39" s="543"/>
      <c r="CH39" s="543"/>
      <c r="CI39" s="543"/>
      <c r="CJ39" s="543"/>
      <c r="CK39" s="543"/>
      <c r="CL39" s="543"/>
      <c r="CM39" s="543"/>
      <c r="CN39" s="543"/>
      <c r="CO39" s="543"/>
      <c r="CP39" s="543"/>
      <c r="CQ39" s="543"/>
      <c r="CR39" s="543"/>
      <c r="CS39" s="543"/>
      <c r="CT39" s="543"/>
      <c r="CU39" s="543"/>
      <c r="CV39" s="543"/>
      <c r="CW39" s="543"/>
      <c r="CX39" s="543"/>
      <c r="CY39" s="543"/>
      <c r="CZ39" s="543"/>
      <c r="DA39" s="543"/>
      <c r="DB39" s="543"/>
      <c r="DC39" s="543"/>
      <c r="DD39" s="543"/>
      <c r="DE39" s="543"/>
      <c r="DF39" s="543"/>
      <c r="DG39" s="543"/>
      <c r="DH39" s="543"/>
      <c r="DI39" s="543"/>
      <c r="DJ39" s="543"/>
      <c r="DK39" s="543"/>
      <c r="DL39" s="543"/>
      <c r="DM39" s="543"/>
      <c r="DN39" s="543"/>
      <c r="DO39" s="543"/>
      <c r="DP39" s="543"/>
      <c r="DQ39" s="543"/>
      <c r="DR39" s="543"/>
      <c r="DS39" s="543"/>
      <c r="DT39" s="543"/>
      <c r="DU39" s="543"/>
      <c r="DV39" s="543"/>
      <c r="DW39" s="543"/>
      <c r="DX39" s="543"/>
      <c r="DY39" s="543"/>
      <c r="DZ39" s="543"/>
      <c r="EA39" s="543"/>
      <c r="EB39" s="543"/>
      <c r="EC39" s="543"/>
      <c r="ED39" s="543"/>
      <c r="EE39" s="543"/>
      <c r="EF39" s="543"/>
      <c r="EG39" s="543"/>
      <c r="EH39" s="543"/>
      <c r="EI39" s="543"/>
      <c r="EJ39" s="543"/>
      <c r="EK39" s="543"/>
      <c r="EL39" s="543"/>
      <c r="EM39" s="543"/>
      <c r="EN39" s="543"/>
      <c r="EO39" s="543"/>
      <c r="EP39" s="543"/>
      <c r="EQ39" s="543"/>
      <c r="ER39" s="543"/>
      <c r="ES39" s="543"/>
      <c r="ET39" s="543"/>
      <c r="EU39" s="543"/>
      <c r="EV39" s="543"/>
      <c r="EW39" s="543"/>
      <c r="EX39" s="543"/>
    </row>
    <row r="40" spans="1:154" s="549" customFormat="1">
      <c r="A40" s="546" t="s">
        <v>200</v>
      </c>
      <c r="B40" s="1091">
        <f t="shared" si="12"/>
        <v>29</v>
      </c>
      <c r="C40" s="1111" t="s">
        <v>275</v>
      </c>
      <c r="D40" s="1101">
        <v>72192314</v>
      </c>
      <c r="E40" s="1128">
        <v>34152</v>
      </c>
      <c r="F40" s="1096">
        <v>45778</v>
      </c>
      <c r="G40" s="1096"/>
      <c r="H40" s="1097" t="s">
        <v>276</v>
      </c>
      <c r="I40" s="1098" t="s">
        <v>71</v>
      </c>
      <c r="J40" s="576">
        <v>2300</v>
      </c>
      <c r="K40" s="576"/>
      <c r="L40" s="1092">
        <v>30</v>
      </c>
      <c r="M40" s="1092"/>
      <c r="N40" s="1399">
        <v>7</v>
      </c>
      <c r="O40" s="1092">
        <f t="shared" si="0"/>
        <v>23</v>
      </c>
      <c r="P40" s="549">
        <v>8</v>
      </c>
      <c r="Q40" s="1092">
        <f t="shared" si="49"/>
        <v>184</v>
      </c>
      <c r="R40" s="1107">
        <f t="shared" si="1"/>
        <v>1763.3333333333333</v>
      </c>
      <c r="S40" s="923">
        <f t="shared" si="5"/>
        <v>0</v>
      </c>
      <c r="T40" s="829">
        <f t="shared" si="6"/>
        <v>0</v>
      </c>
      <c r="U40" s="576">
        <f>COMISIONES!J9</f>
        <v>3142.0137</v>
      </c>
      <c r="V40" s="1107">
        <f>(SUM(COMISIONES!D9:I9)/6)/30*N40</f>
        <v>358.2310750706215</v>
      </c>
      <c r="W40" s="576">
        <f>H.E!L34</f>
        <v>0</v>
      </c>
      <c r="X40" s="576">
        <f>H.E!M34</f>
        <v>0</v>
      </c>
      <c r="Y40" s="576">
        <f>H.E!N34</f>
        <v>0</v>
      </c>
      <c r="Z40" s="1107"/>
      <c r="AA40" s="576"/>
      <c r="AB40" s="1107"/>
      <c r="AC40" s="829">
        <f t="shared" si="7"/>
        <v>536.66666666666674</v>
      </c>
      <c r="AD40" s="1107"/>
      <c r="AE40" s="576"/>
      <c r="AF40" s="576">
        <v>3835.2760360169495</v>
      </c>
      <c r="AG40" s="1107">
        <v>345.17484324152542</v>
      </c>
      <c r="AH40" s="1107"/>
      <c r="AI40" s="554"/>
      <c r="AJ40" s="576"/>
      <c r="AK40" s="1092"/>
      <c r="AL40" s="1104"/>
      <c r="AM40" s="576">
        <f t="shared" si="14"/>
        <v>9980.695654329098</v>
      </c>
      <c r="AN40" s="1083">
        <f t="shared" si="8"/>
        <v>5800.2447750706233</v>
      </c>
      <c r="AO40" s="1108"/>
      <c r="AP40" s="576"/>
      <c r="AQ40" s="1100">
        <v>0.1</v>
      </c>
      <c r="AR40" s="1104">
        <f t="shared" si="50"/>
        <v>580.02447750706233</v>
      </c>
      <c r="AS40" s="1100">
        <v>0</v>
      </c>
      <c r="AT40" s="576">
        <f t="shared" si="51"/>
        <v>0</v>
      </c>
      <c r="AU40" s="1100">
        <v>1.37E-2</v>
      </c>
      <c r="AV40" s="576">
        <f t="shared" si="52"/>
        <v>79.463353418467548</v>
      </c>
      <c r="AW40" s="1100">
        <f t="shared" si="53"/>
        <v>0.11370000000000001</v>
      </c>
      <c r="AX40" s="576">
        <f t="shared" si="54"/>
        <v>659.48783092552992</v>
      </c>
      <c r="AY40" s="576">
        <f>TARDANZA!K34</f>
        <v>0</v>
      </c>
      <c r="AZ40" s="576">
        <f>TARDANZA!L34</f>
        <v>0</v>
      </c>
      <c r="BA40" s="835"/>
      <c r="BB40" s="576">
        <f t="shared" si="9"/>
        <v>4180.4508792584747</v>
      </c>
      <c r="BC40" s="576"/>
      <c r="BD40" s="576"/>
      <c r="BE40" s="576">
        <f ca="1">'HT. EPS'!O37</f>
        <v>76.416280237295339</v>
      </c>
      <c r="BF40" s="576"/>
      <c r="BH40" s="845">
        <f>+'RTA 5TA VTAS'!J121</f>
        <v>215.9305840964501</v>
      </c>
      <c r="BI40" s="829">
        <f t="shared" ca="1" si="10"/>
        <v>5132.2855745177503</v>
      </c>
      <c r="BJ40" s="595">
        <f t="shared" ca="1" si="11"/>
        <v>4848.4100798113477</v>
      </c>
      <c r="BK40" s="1099">
        <v>0.09</v>
      </c>
      <c r="BL40" s="576">
        <f t="shared" ref="BL40" si="55">AN40*BK40</f>
        <v>522.02202975635612</v>
      </c>
      <c r="BM40" s="923">
        <v>3</v>
      </c>
      <c r="BN40" s="1091" t="s">
        <v>182</v>
      </c>
      <c r="BO40" s="1103" t="s">
        <v>210</v>
      </c>
      <c r="BP40" s="1062"/>
      <c r="BQ40" s="1062"/>
      <c r="BR40" s="543"/>
      <c r="BS40" s="554"/>
      <c r="BT40" s="835"/>
      <c r="BU40" s="546" t="s">
        <v>210</v>
      </c>
      <c r="BV40" s="543"/>
      <c r="BW40" s="543"/>
      <c r="BX40" s="543"/>
      <c r="BY40" s="543"/>
      <c r="BZ40" s="1192"/>
      <c r="CA40" s="1124"/>
      <c r="CB40" s="543"/>
      <c r="CC40" s="543"/>
      <c r="CD40" s="543"/>
      <c r="CE40" s="543"/>
      <c r="CF40" s="543"/>
      <c r="CG40" s="543"/>
      <c r="CH40" s="543"/>
      <c r="CI40" s="543"/>
      <c r="CJ40" s="543"/>
      <c r="CK40" s="543"/>
      <c r="CL40" s="543"/>
      <c r="CM40" s="543"/>
      <c r="CN40" s="543"/>
      <c r="CO40" s="543"/>
      <c r="CP40" s="543"/>
      <c r="CQ40" s="543"/>
      <c r="CR40" s="543"/>
      <c r="CS40" s="543"/>
      <c r="CT40" s="543"/>
      <c r="CU40" s="543"/>
      <c r="CV40" s="543"/>
      <c r="CW40" s="543"/>
      <c r="CX40" s="543"/>
      <c r="CY40" s="543"/>
      <c r="CZ40" s="543"/>
      <c r="DA40" s="543"/>
      <c r="DB40" s="543"/>
      <c r="DC40" s="543"/>
      <c r="DD40" s="543"/>
      <c r="DE40" s="543"/>
      <c r="DF40" s="543"/>
      <c r="DG40" s="543"/>
      <c r="DH40" s="543"/>
      <c r="DI40" s="543"/>
      <c r="DJ40" s="543"/>
      <c r="DK40" s="543"/>
      <c r="DL40" s="543"/>
      <c r="DM40" s="543"/>
      <c r="DN40" s="543"/>
      <c r="DO40" s="543"/>
      <c r="DP40" s="543"/>
      <c r="DQ40" s="543"/>
      <c r="DR40" s="543"/>
      <c r="DS40" s="543"/>
      <c r="DT40" s="543"/>
      <c r="DU40" s="543"/>
      <c r="DV40" s="543"/>
      <c r="DW40" s="543"/>
      <c r="DX40" s="543"/>
      <c r="DY40" s="543"/>
      <c r="DZ40" s="543"/>
      <c r="EA40" s="543"/>
      <c r="EB40" s="543"/>
      <c r="EC40" s="543"/>
      <c r="ED40" s="543"/>
      <c r="EE40" s="543"/>
      <c r="EF40" s="543"/>
      <c r="EG40" s="543"/>
      <c r="EH40" s="543"/>
      <c r="EI40" s="543"/>
      <c r="EJ40" s="543"/>
      <c r="EK40" s="543"/>
      <c r="EL40" s="543"/>
      <c r="EM40" s="543"/>
      <c r="EN40" s="543"/>
      <c r="EO40" s="543"/>
      <c r="EP40" s="543"/>
      <c r="EQ40" s="543"/>
      <c r="ER40" s="543"/>
      <c r="ES40" s="543"/>
      <c r="ET40" s="543"/>
      <c r="EU40" s="543"/>
      <c r="EV40" s="543"/>
      <c r="EW40" s="543"/>
      <c r="EX40" s="543"/>
    </row>
    <row r="41" spans="1:154" s="549" customFormat="1">
      <c r="A41" s="546" t="s">
        <v>225</v>
      </c>
      <c r="B41" s="1091">
        <f t="shared" si="12"/>
        <v>30</v>
      </c>
      <c r="C41" s="1111" t="s">
        <v>277</v>
      </c>
      <c r="D41" s="1101">
        <v>41995632</v>
      </c>
      <c r="E41" s="1102">
        <v>30308</v>
      </c>
      <c r="F41" s="1096">
        <v>45782</v>
      </c>
      <c r="G41" s="1096"/>
      <c r="H41" s="1097" t="s">
        <v>279</v>
      </c>
      <c r="I41" s="549" t="s">
        <v>144</v>
      </c>
      <c r="J41" s="576">
        <v>2500</v>
      </c>
      <c r="K41" s="576">
        <v>113</v>
      </c>
      <c r="L41" s="1092">
        <v>30</v>
      </c>
      <c r="M41" s="1092"/>
      <c r="N41" s="1092"/>
      <c r="O41" s="1092">
        <f t="shared" si="0"/>
        <v>30</v>
      </c>
      <c r="P41" s="549">
        <v>8</v>
      </c>
      <c r="Q41" s="1092">
        <f t="shared" si="49"/>
        <v>240</v>
      </c>
      <c r="R41" s="1107">
        <f t="shared" si="1"/>
        <v>2500</v>
      </c>
      <c r="S41" s="923">
        <f t="shared" si="5"/>
        <v>113</v>
      </c>
      <c r="T41" s="829">
        <f t="shared" si="6"/>
        <v>0</v>
      </c>
      <c r="U41" s="576"/>
      <c r="V41" s="1107"/>
      <c r="W41" s="576">
        <f>H.E!L35</f>
        <v>108.875</v>
      </c>
      <c r="X41" s="576">
        <f>H.E!M35</f>
        <v>44.094374999999992</v>
      </c>
      <c r="Y41" s="576">
        <f>H.E!N35</f>
        <v>174.2</v>
      </c>
      <c r="Z41" s="1107"/>
      <c r="AA41" s="576"/>
      <c r="AB41" s="1107"/>
      <c r="AC41" s="829">
        <f t="shared" si="7"/>
        <v>0</v>
      </c>
      <c r="AD41" s="1107"/>
      <c r="AE41" s="576"/>
      <c r="AF41" s="576">
        <v>2613</v>
      </c>
      <c r="AG41" s="1107">
        <v>235.17</v>
      </c>
      <c r="AH41" s="1107"/>
      <c r="AI41" s="554"/>
      <c r="AJ41" s="576"/>
      <c r="AK41" s="1092"/>
      <c r="AL41" s="1104"/>
      <c r="AM41" s="576">
        <f t="shared" si="14"/>
        <v>5788.3393749999996</v>
      </c>
      <c r="AN41" s="1083">
        <f t="shared" si="8"/>
        <v>2873.0297916666664</v>
      </c>
      <c r="AO41" s="1108">
        <v>0.13</v>
      </c>
      <c r="AP41" s="576">
        <f>+AN41*AO41</f>
        <v>373.49387291666665</v>
      </c>
      <c r="AQ41" s="1100"/>
      <c r="AR41" s="1104"/>
      <c r="AS41" s="1100"/>
      <c r="AT41" s="1107"/>
      <c r="AU41" s="1100"/>
      <c r="AV41" s="576"/>
      <c r="AW41" s="1100"/>
      <c r="AX41" s="576"/>
      <c r="AY41" s="576">
        <f>TARDANZA!K35</f>
        <v>0</v>
      </c>
      <c r="AZ41" s="576">
        <f>TARDANZA!L35</f>
        <v>67.139583333333334</v>
      </c>
      <c r="BA41" s="835"/>
      <c r="BB41" s="576">
        <f t="shared" si="9"/>
        <v>2848.17</v>
      </c>
      <c r="BC41" s="576"/>
      <c r="BD41" s="576"/>
      <c r="BE41" s="576"/>
      <c r="BF41" s="576"/>
      <c r="BH41" s="845"/>
      <c r="BI41" s="829">
        <f t="shared" si="10"/>
        <v>3288.8034562499997</v>
      </c>
      <c r="BJ41" s="595">
        <f t="shared" si="11"/>
        <v>2499.5359187499998</v>
      </c>
      <c r="BK41" s="1099">
        <v>0.09</v>
      </c>
      <c r="BL41" s="576">
        <f t="shared" ref="BL41:BL44" si="56">AN41*BK41</f>
        <v>258.57268124999996</v>
      </c>
      <c r="BM41" s="923">
        <v>8.24</v>
      </c>
      <c r="BN41" s="1091"/>
      <c r="BO41" s="1103" t="s">
        <v>203</v>
      </c>
      <c r="BP41" s="1062"/>
      <c r="BQ41" s="1062"/>
      <c r="BR41" s="543"/>
      <c r="BS41" s="554"/>
      <c r="BT41" s="835"/>
      <c r="BU41" s="546" t="s">
        <v>203</v>
      </c>
      <c r="BV41" s="543"/>
      <c r="BW41" s="543"/>
      <c r="BX41" s="543"/>
      <c r="BY41" s="543"/>
      <c r="BZ41" s="1192"/>
      <c r="CA41" s="1124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543"/>
      <c r="CW41" s="543"/>
      <c r="CX41" s="543"/>
      <c r="CY41" s="543"/>
      <c r="CZ41" s="543"/>
      <c r="DA41" s="543"/>
      <c r="DB41" s="543"/>
      <c r="DC41" s="543"/>
      <c r="DD41" s="543"/>
      <c r="DE41" s="543"/>
      <c r="DF41" s="543"/>
      <c r="DG41" s="543"/>
      <c r="DH41" s="543"/>
      <c r="DI41" s="543"/>
      <c r="DJ41" s="543"/>
      <c r="DK41" s="543"/>
      <c r="DL41" s="543"/>
      <c r="DM41" s="543"/>
      <c r="DN41" s="543"/>
      <c r="DO41" s="543"/>
      <c r="DP41" s="543"/>
      <c r="DQ41" s="543"/>
      <c r="DR41" s="543"/>
      <c r="DS41" s="543"/>
      <c r="DT41" s="543"/>
      <c r="DU41" s="543"/>
      <c r="DV41" s="543"/>
      <c r="DW41" s="543"/>
      <c r="DX41" s="543"/>
      <c r="DY41" s="543"/>
      <c r="DZ41" s="543"/>
      <c r="EA41" s="543"/>
      <c r="EB41" s="543"/>
      <c r="EC41" s="543"/>
      <c r="ED41" s="543"/>
      <c r="EE41" s="543"/>
      <c r="EF41" s="543"/>
      <c r="EG41" s="543"/>
      <c r="EH41" s="543"/>
      <c r="EI41" s="543"/>
      <c r="EJ41" s="543"/>
      <c r="EK41" s="543"/>
      <c r="EL41" s="543"/>
      <c r="EM41" s="543"/>
      <c r="EN41" s="543"/>
      <c r="EO41" s="543"/>
      <c r="EP41" s="543"/>
      <c r="EQ41" s="543"/>
      <c r="ER41" s="543"/>
      <c r="ES41" s="543"/>
      <c r="ET41" s="543"/>
      <c r="EU41" s="543"/>
      <c r="EV41" s="543"/>
      <c r="EW41" s="543"/>
      <c r="EX41" s="543"/>
    </row>
    <row r="42" spans="1:154" s="549" customFormat="1">
      <c r="A42" s="546" t="s">
        <v>200</v>
      </c>
      <c r="B42" s="1091">
        <f t="shared" si="12"/>
        <v>31</v>
      </c>
      <c r="C42" s="1111" t="s">
        <v>280</v>
      </c>
      <c r="D42" s="1101">
        <v>70608078</v>
      </c>
      <c r="E42" s="1128">
        <v>36556</v>
      </c>
      <c r="F42" s="1096">
        <v>45789</v>
      </c>
      <c r="G42" s="1096"/>
      <c r="H42" s="1097" t="s">
        <v>281</v>
      </c>
      <c r="I42" s="549" t="s">
        <v>71</v>
      </c>
      <c r="J42" s="576">
        <v>1800</v>
      </c>
      <c r="K42" s="576"/>
      <c r="L42" s="1092">
        <v>30</v>
      </c>
      <c r="M42" s="1092"/>
      <c r="N42" s="1092"/>
      <c r="O42" s="1092">
        <f t="shared" si="0"/>
        <v>30</v>
      </c>
      <c r="P42" s="549">
        <v>8</v>
      </c>
      <c r="Q42" s="1092">
        <f t="shared" ref="Q42" si="57">+O42*P42</f>
        <v>240</v>
      </c>
      <c r="R42" s="1107">
        <f t="shared" si="1"/>
        <v>1800</v>
      </c>
      <c r="S42" s="923">
        <f t="shared" si="5"/>
        <v>0</v>
      </c>
      <c r="T42" s="829">
        <f t="shared" si="6"/>
        <v>0</v>
      </c>
      <c r="U42" s="576">
        <f>COMISIONES!J10</f>
        <v>1180.96785</v>
      </c>
      <c r="V42" s="1107"/>
      <c r="W42" s="576">
        <f>H.E!L36</f>
        <v>0</v>
      </c>
      <c r="X42" s="576">
        <f>H.E!M36</f>
        <v>0</v>
      </c>
      <c r="Y42" s="576">
        <f>H.E!N36</f>
        <v>0</v>
      </c>
      <c r="Z42" s="1107"/>
      <c r="AA42" s="576"/>
      <c r="AB42" s="1107"/>
      <c r="AC42" s="829">
        <f t="shared" si="7"/>
        <v>0</v>
      </c>
      <c r="AD42" s="1107"/>
      <c r="AE42" s="576"/>
      <c r="AF42" s="576">
        <v>1800</v>
      </c>
      <c r="AG42" s="1107">
        <v>162</v>
      </c>
      <c r="AH42" s="1107"/>
      <c r="AI42" s="554"/>
      <c r="AJ42" s="576"/>
      <c r="AK42" s="1092"/>
      <c r="AL42" s="1104"/>
      <c r="AM42" s="576">
        <f t="shared" si="14"/>
        <v>4942.96785</v>
      </c>
      <c r="AN42" s="1083">
        <f t="shared" si="8"/>
        <v>2974.71785</v>
      </c>
      <c r="AO42" s="1108"/>
      <c r="AP42" s="576"/>
      <c r="AQ42" s="1100">
        <v>0.1</v>
      </c>
      <c r="AR42" s="1104">
        <f t="shared" ref="AR42:AR43" si="58">+AN42*AQ42</f>
        <v>297.47178500000001</v>
      </c>
      <c r="AS42" s="1100">
        <v>0</v>
      </c>
      <c r="AT42" s="576">
        <f t="shared" ref="AT42:AT43" si="59">+AN42*AS42</f>
        <v>0</v>
      </c>
      <c r="AU42" s="1100">
        <v>1.37E-2</v>
      </c>
      <c r="AV42" s="576">
        <f t="shared" ref="AV42:AV43" si="60">+AN42*AU42</f>
        <v>40.753634545000004</v>
      </c>
      <c r="AW42" s="1100">
        <f>+AQ42+AS42+AU42</f>
        <v>0.11370000000000001</v>
      </c>
      <c r="AX42" s="576">
        <f>+AR42+AT42+AV42</f>
        <v>338.22541954500002</v>
      </c>
      <c r="AY42" s="576">
        <f>TARDANZA!K36</f>
        <v>0</v>
      </c>
      <c r="AZ42" s="576">
        <f>TARDANZA!L36</f>
        <v>6.25</v>
      </c>
      <c r="BA42" s="835"/>
      <c r="BB42" s="576">
        <f t="shared" si="9"/>
        <v>1962</v>
      </c>
      <c r="BC42" s="576"/>
      <c r="BD42" s="576"/>
      <c r="BE42" s="576"/>
      <c r="BF42" s="576"/>
      <c r="BH42" s="845"/>
      <c r="BI42" s="829">
        <f t="shared" si="10"/>
        <v>2306.475419545</v>
      </c>
      <c r="BJ42" s="595">
        <f t="shared" si="11"/>
        <v>2636.492430455</v>
      </c>
      <c r="BK42" s="1099">
        <v>0.09</v>
      </c>
      <c r="BL42" s="576">
        <f t="shared" si="56"/>
        <v>267.72460649999999</v>
      </c>
      <c r="BM42" s="923">
        <v>2.25</v>
      </c>
      <c r="BN42" s="1091"/>
      <c r="BO42" s="1103" t="s">
        <v>203</v>
      </c>
      <c r="BP42" s="1062"/>
      <c r="BQ42" s="1062"/>
      <c r="BR42" s="543"/>
      <c r="BS42" s="554"/>
      <c r="BT42" s="835"/>
      <c r="BU42" s="546" t="s">
        <v>203</v>
      </c>
      <c r="BV42" s="543"/>
      <c r="BW42" s="543"/>
      <c r="BX42" s="543"/>
      <c r="BY42" s="543"/>
      <c r="BZ42" s="1192"/>
      <c r="CA42" s="1124"/>
      <c r="CB42" s="543"/>
      <c r="CC42" s="543"/>
      <c r="CD42" s="543"/>
      <c r="CE42" s="543"/>
      <c r="CF42" s="543"/>
      <c r="CG42" s="543"/>
      <c r="CH42" s="543"/>
      <c r="CI42" s="543"/>
      <c r="CJ42" s="543"/>
      <c r="CK42" s="543"/>
      <c r="CL42" s="543"/>
      <c r="CM42" s="543"/>
      <c r="CN42" s="543"/>
      <c r="CO42" s="543"/>
      <c r="CP42" s="543"/>
      <c r="CQ42" s="543"/>
      <c r="CR42" s="543"/>
      <c r="CS42" s="543"/>
      <c r="CT42" s="543"/>
      <c r="CU42" s="543"/>
      <c r="CV42" s="543"/>
      <c r="CW42" s="543"/>
      <c r="CX42" s="543"/>
      <c r="CY42" s="543"/>
      <c r="CZ42" s="543"/>
      <c r="DA42" s="543"/>
      <c r="DB42" s="543"/>
      <c r="DC42" s="543"/>
      <c r="DD42" s="543"/>
      <c r="DE42" s="543"/>
      <c r="DF42" s="543"/>
      <c r="DG42" s="543"/>
      <c r="DH42" s="543"/>
      <c r="DI42" s="543"/>
      <c r="DJ42" s="543"/>
      <c r="DK42" s="543"/>
      <c r="DL42" s="543"/>
      <c r="DM42" s="543"/>
      <c r="DN42" s="543"/>
      <c r="DO42" s="543"/>
      <c r="DP42" s="543"/>
      <c r="DQ42" s="543"/>
      <c r="DR42" s="543"/>
      <c r="DS42" s="543"/>
      <c r="DT42" s="543"/>
      <c r="DU42" s="543"/>
      <c r="DV42" s="543"/>
      <c r="DW42" s="543"/>
      <c r="DX42" s="543"/>
      <c r="DY42" s="543"/>
      <c r="DZ42" s="543"/>
      <c r="EA42" s="543"/>
      <c r="EB42" s="543"/>
      <c r="EC42" s="543"/>
      <c r="ED42" s="543"/>
      <c r="EE42" s="543"/>
      <c r="EF42" s="543"/>
      <c r="EG42" s="543"/>
      <c r="EH42" s="543"/>
      <c r="EI42" s="543"/>
      <c r="EJ42" s="543">
        <f>4000+113</f>
        <v>4113</v>
      </c>
      <c r="EK42" s="543"/>
      <c r="EL42" s="543">
        <f>4000/30</f>
        <v>133.33333333333334</v>
      </c>
      <c r="EM42" s="543"/>
      <c r="EN42" s="543"/>
      <c r="EO42" s="543"/>
      <c r="EP42" s="543"/>
      <c r="EQ42" s="543"/>
      <c r="ER42" s="543"/>
      <c r="ES42" s="543"/>
      <c r="ET42" s="543"/>
      <c r="EU42" s="543"/>
      <c r="EV42" s="543"/>
      <c r="EW42" s="543"/>
      <c r="EX42" s="543"/>
    </row>
    <row r="43" spans="1:154" s="549" customFormat="1">
      <c r="A43" s="546" t="s">
        <v>225</v>
      </c>
      <c r="B43" s="1091">
        <f t="shared" si="12"/>
        <v>32</v>
      </c>
      <c r="C43" s="1111" t="s">
        <v>282</v>
      </c>
      <c r="D43" s="1101">
        <v>45469176</v>
      </c>
      <c r="E43" s="1128">
        <v>32412</v>
      </c>
      <c r="F43" s="1096">
        <v>45796</v>
      </c>
      <c r="G43" s="1096"/>
      <c r="H43" s="1097" t="s">
        <v>279</v>
      </c>
      <c r="I43" s="549" t="s">
        <v>72</v>
      </c>
      <c r="J43" s="576">
        <v>1700</v>
      </c>
      <c r="K43" s="576">
        <v>113</v>
      </c>
      <c r="L43" s="1092">
        <v>30</v>
      </c>
      <c r="M43" s="1092"/>
      <c r="N43" s="1092">
        <v>5</v>
      </c>
      <c r="O43" s="1092">
        <f t="shared" si="0"/>
        <v>25</v>
      </c>
      <c r="P43" s="549">
        <v>8</v>
      </c>
      <c r="Q43" s="1092">
        <f t="shared" ref="Q43" si="61">+O43*P43</f>
        <v>200</v>
      </c>
      <c r="R43" s="1107">
        <f t="shared" si="1"/>
        <v>1397.8333333333335</v>
      </c>
      <c r="S43" s="923">
        <f t="shared" si="5"/>
        <v>113</v>
      </c>
      <c r="T43" s="829">
        <f t="shared" si="6"/>
        <v>0</v>
      </c>
      <c r="U43" s="576"/>
      <c r="V43" s="1107"/>
      <c r="W43" s="576">
        <f>H.E!L37</f>
        <v>47.213541666666657</v>
      </c>
      <c r="X43" s="576">
        <f>H.E!M37</f>
        <v>25.495312499999997</v>
      </c>
      <c r="Y43" s="576">
        <f>H.E!N37</f>
        <v>241.73333333333332</v>
      </c>
      <c r="Z43" s="1107"/>
      <c r="AA43" s="576"/>
      <c r="AB43" s="1107"/>
      <c r="AC43" s="829">
        <f t="shared" si="7"/>
        <v>302.16666666666663</v>
      </c>
      <c r="AD43" s="1107"/>
      <c r="AE43" s="576"/>
      <c r="AF43" s="576">
        <v>1813</v>
      </c>
      <c r="AG43" s="1107">
        <v>163.16999999999999</v>
      </c>
      <c r="AH43" s="1107"/>
      <c r="AI43" s="554"/>
      <c r="AJ43" s="576"/>
      <c r="AK43" s="1129"/>
      <c r="AL43" s="1104"/>
      <c r="AM43" s="576">
        <f t="shared" si="14"/>
        <v>4103.6121874999999</v>
      </c>
      <c r="AN43" s="1083">
        <f t="shared" si="8"/>
        <v>2114.7260069444442</v>
      </c>
      <c r="AO43" s="1108"/>
      <c r="AP43" s="576"/>
      <c r="AQ43" s="1100">
        <v>0.1</v>
      </c>
      <c r="AR43" s="1104">
        <f t="shared" si="58"/>
        <v>211.47260069444442</v>
      </c>
      <c r="AS43" s="1100">
        <v>0</v>
      </c>
      <c r="AT43" s="576">
        <f t="shared" si="59"/>
        <v>0</v>
      </c>
      <c r="AU43" s="1100">
        <v>1.37E-2</v>
      </c>
      <c r="AV43" s="1247">
        <f t="shared" si="60"/>
        <v>28.971746295138885</v>
      </c>
      <c r="AW43" s="1100">
        <f t="shared" ref="AW43" si="62">+AQ43+AS43+AU43</f>
        <v>0.11370000000000001</v>
      </c>
      <c r="AX43" s="576">
        <f t="shared" ref="AX43" si="63">+AR43+AT43+AV43</f>
        <v>240.44434698958332</v>
      </c>
      <c r="AY43" s="576">
        <f>TARDANZA!K37</f>
        <v>0</v>
      </c>
      <c r="AZ43" s="576">
        <f>TARDANZA!L37</f>
        <v>12.716180555555555</v>
      </c>
      <c r="BA43" s="835"/>
      <c r="BB43" s="576">
        <f t="shared" si="9"/>
        <v>1976.17</v>
      </c>
      <c r="BC43" s="576"/>
      <c r="BD43" s="576"/>
      <c r="BE43" s="576"/>
      <c r="BF43" s="576"/>
      <c r="BH43" s="845"/>
      <c r="BI43" s="829">
        <f t="shared" si="10"/>
        <v>2229.3305275451389</v>
      </c>
      <c r="BJ43" s="595">
        <f t="shared" si="11"/>
        <v>1874.281659954861</v>
      </c>
      <c r="BK43" s="1099">
        <v>0.09</v>
      </c>
      <c r="BL43" s="576">
        <f t="shared" si="56"/>
        <v>190.32534062499997</v>
      </c>
      <c r="BM43" s="923">
        <v>7.07</v>
      </c>
      <c r="BN43" s="1091"/>
      <c r="BO43" s="1103" t="s">
        <v>203</v>
      </c>
      <c r="BP43" s="1062"/>
      <c r="BQ43" s="1062"/>
      <c r="BR43" s="543"/>
      <c r="BS43" s="554"/>
      <c r="BT43" s="835"/>
      <c r="BU43" s="546" t="s">
        <v>203</v>
      </c>
      <c r="BV43" s="1130"/>
      <c r="BW43" s="1130"/>
      <c r="BX43" s="1084"/>
      <c r="BY43" s="1130"/>
      <c r="BZ43" s="1194"/>
      <c r="CA43" s="1124"/>
      <c r="CB43" s="543"/>
      <c r="CC43" s="543"/>
      <c r="CD43" s="543"/>
      <c r="CE43" s="543"/>
      <c r="CF43" s="543"/>
      <c r="CG43" s="543"/>
      <c r="CH43" s="543"/>
      <c r="CI43" s="543"/>
      <c r="CJ43" s="543"/>
      <c r="CK43" s="543"/>
      <c r="CL43" s="543"/>
      <c r="CM43" s="543"/>
      <c r="CN43" s="543"/>
      <c r="CO43" s="543"/>
      <c r="CP43" s="543"/>
      <c r="CQ43" s="543"/>
      <c r="CR43" s="543"/>
      <c r="CS43" s="543"/>
      <c r="CT43" s="543"/>
      <c r="CU43" s="543"/>
      <c r="CV43" s="543"/>
      <c r="CW43" s="543"/>
      <c r="CX43" s="543"/>
      <c r="CY43" s="543"/>
      <c r="CZ43" s="543"/>
      <c r="DA43" s="543"/>
      <c r="DB43" s="543"/>
      <c r="DC43" s="543"/>
      <c r="DD43" s="543"/>
      <c r="DE43" s="543"/>
      <c r="DF43" s="543"/>
      <c r="DG43" s="543"/>
      <c r="DH43" s="543"/>
      <c r="DI43" s="543"/>
      <c r="DJ43" s="543"/>
      <c r="DK43" s="543"/>
      <c r="DL43" s="543"/>
      <c r="DM43" s="543"/>
      <c r="DN43" s="543"/>
      <c r="DO43" s="543"/>
      <c r="DP43" s="543"/>
      <c r="DQ43" s="543"/>
      <c r="DR43" s="543"/>
      <c r="DS43" s="543"/>
      <c r="DT43" s="543"/>
      <c r="DU43" s="543"/>
      <c r="DV43" s="543"/>
      <c r="DW43" s="543"/>
      <c r="DX43" s="543"/>
      <c r="DY43" s="543"/>
      <c r="DZ43" s="543"/>
      <c r="EA43" s="543"/>
      <c r="EB43" s="543"/>
      <c r="EC43" s="543"/>
      <c r="ED43" s="543"/>
      <c r="EE43" s="543"/>
      <c r="EF43" s="543"/>
      <c r="EG43" s="543"/>
      <c r="EH43" s="543"/>
      <c r="EI43" s="543"/>
      <c r="EJ43" s="543">
        <f>EJ42/30</f>
        <v>137.1</v>
      </c>
      <c r="EK43" s="543"/>
      <c r="EL43" s="543"/>
      <c r="EM43" s="543"/>
      <c r="EN43" s="543"/>
      <c r="EO43" s="543"/>
      <c r="EP43" s="543"/>
      <c r="EQ43" s="543"/>
      <c r="ER43" s="543"/>
      <c r="ES43" s="543"/>
      <c r="ET43" s="543"/>
      <c r="EU43" s="543"/>
      <c r="EV43" s="543"/>
      <c r="EW43" s="543"/>
      <c r="EX43" s="543"/>
    </row>
    <row r="44" spans="1:154" s="549" customFormat="1">
      <c r="A44" s="546" t="s">
        <v>207</v>
      </c>
      <c r="B44" s="1091">
        <f t="shared" si="12"/>
        <v>33</v>
      </c>
      <c r="C44" s="1111" t="s">
        <v>283</v>
      </c>
      <c r="D44" s="1101">
        <v>75676708</v>
      </c>
      <c r="E44" s="1128">
        <v>34883</v>
      </c>
      <c r="F44" s="1096">
        <v>45946</v>
      </c>
      <c r="G44" s="1096"/>
      <c r="H44" s="1097" t="s">
        <v>284</v>
      </c>
      <c r="I44" s="549" t="s">
        <v>70</v>
      </c>
      <c r="J44" s="576">
        <v>1500</v>
      </c>
      <c r="K44" s="576">
        <v>113</v>
      </c>
      <c r="L44" s="1092">
        <v>30</v>
      </c>
      <c r="M44" s="1092"/>
      <c r="N44" s="1092"/>
      <c r="O44" s="1092">
        <f t="shared" si="0"/>
        <v>30</v>
      </c>
      <c r="P44" s="549">
        <v>8</v>
      </c>
      <c r="Q44" s="1092">
        <f t="shared" ref="Q44" si="64">+O44*P44</f>
        <v>240</v>
      </c>
      <c r="R44" s="1107">
        <f t="shared" si="1"/>
        <v>1500</v>
      </c>
      <c r="S44" s="923">
        <f t="shared" si="5"/>
        <v>113</v>
      </c>
      <c r="T44" s="829">
        <f t="shared" si="6"/>
        <v>0</v>
      </c>
      <c r="U44" s="576"/>
      <c r="V44" s="1107"/>
      <c r="W44" s="576">
        <f>H.E!L38</f>
        <v>0</v>
      </c>
      <c r="X44" s="576">
        <f>H.E!M38</f>
        <v>0</v>
      </c>
      <c r="Y44" s="576">
        <f>H.E!N38</f>
        <v>0</v>
      </c>
      <c r="Z44" s="1107"/>
      <c r="AA44" s="576"/>
      <c r="AB44" s="1107"/>
      <c r="AC44" s="829">
        <f t="shared" si="7"/>
        <v>0</v>
      </c>
      <c r="AD44" s="1107"/>
      <c r="AE44" s="576"/>
      <c r="AF44" s="576">
        <v>1642.2016840277779</v>
      </c>
      <c r="AG44" s="1107">
        <v>147.79815156250001</v>
      </c>
      <c r="AH44" s="1107"/>
      <c r="AI44" s="554"/>
      <c r="AJ44" s="576"/>
      <c r="AK44" s="1129"/>
      <c r="AL44" s="1104"/>
      <c r="AM44" s="576">
        <f t="shared" si="14"/>
        <v>3402.9998355902781</v>
      </c>
      <c r="AN44" s="1083">
        <f t="shared" si="8"/>
        <v>1607.5113194444448</v>
      </c>
      <c r="AO44" s="1108"/>
      <c r="AP44" s="576"/>
      <c r="AQ44" s="1100">
        <v>0.1</v>
      </c>
      <c r="AR44" s="576">
        <f>+AN44*AQ44</f>
        <v>160.7511319444445</v>
      </c>
      <c r="AS44" s="1100">
        <v>0</v>
      </c>
      <c r="AT44" s="576">
        <f t="shared" ref="AT44" si="65">+AN44*AS44</f>
        <v>0</v>
      </c>
      <c r="AU44" s="1100">
        <v>1.37E-2</v>
      </c>
      <c r="AV44" s="576">
        <f t="shared" ref="AV44" si="66">+AN44*AU44</f>
        <v>22.022905076388895</v>
      </c>
      <c r="AW44" s="1100">
        <f>+AQ44+AS44+AU44</f>
        <v>0.11370000000000001</v>
      </c>
      <c r="AX44" s="576">
        <f t="shared" ref="AX44" si="67">+AR44+AT44+AV44</f>
        <v>182.77403702083339</v>
      </c>
      <c r="AY44" s="576">
        <f>TARDANZA!K38</f>
        <v>0</v>
      </c>
      <c r="AZ44" s="576">
        <f>TARDANZA!L38</f>
        <v>5.4886805555555558</v>
      </c>
      <c r="BA44" s="835"/>
      <c r="BB44" s="576">
        <f t="shared" si="9"/>
        <v>1789.9998355902778</v>
      </c>
      <c r="BC44" s="576"/>
      <c r="BD44" s="576"/>
      <c r="BE44" s="576"/>
      <c r="BF44" s="576"/>
      <c r="BG44" s="576"/>
      <c r="BH44" s="829"/>
      <c r="BI44" s="829">
        <f t="shared" si="10"/>
        <v>1978.2625531666667</v>
      </c>
      <c r="BJ44" s="595">
        <f t="shared" si="11"/>
        <v>1424.7372824236113</v>
      </c>
      <c r="BK44" s="1099">
        <v>0.09</v>
      </c>
      <c r="BL44" s="576">
        <f t="shared" si="56"/>
        <v>144.67601875000003</v>
      </c>
      <c r="BM44" s="923">
        <v>2.27</v>
      </c>
      <c r="BN44" s="1092"/>
      <c r="BO44" s="1092" t="s">
        <v>210</v>
      </c>
      <c r="BR44" s="543"/>
      <c r="BS44" s="554"/>
      <c r="BT44" s="835"/>
      <c r="BU44" s="546" t="s">
        <v>210</v>
      </c>
      <c r="BV44" s="1130"/>
      <c r="BW44" s="1130"/>
      <c r="BX44" s="1084"/>
      <c r="BY44" s="1130"/>
      <c r="BZ44" s="1194"/>
      <c r="CA44" s="1124"/>
      <c r="CB44" s="543"/>
      <c r="CC44" s="543"/>
      <c r="CD44" s="543"/>
      <c r="CE44" s="543"/>
      <c r="CF44" s="543"/>
      <c r="CG44" s="543"/>
      <c r="CH44" s="543"/>
      <c r="CI44" s="543"/>
      <c r="CJ44" s="543"/>
      <c r="CK44" s="543"/>
      <c r="CL44" s="543"/>
      <c r="CM44" s="543"/>
      <c r="CN44" s="543"/>
      <c r="CO44" s="543"/>
      <c r="CP44" s="543"/>
      <c r="CQ44" s="543"/>
      <c r="CR44" s="543"/>
      <c r="CS44" s="543"/>
      <c r="CT44" s="543"/>
      <c r="CU44" s="543"/>
      <c r="CV44" s="543"/>
      <c r="CW44" s="543"/>
      <c r="CX44" s="543"/>
      <c r="CY44" s="543"/>
      <c r="CZ44" s="543"/>
      <c r="DA44" s="543"/>
      <c r="DB44" s="543"/>
      <c r="DC44" s="543"/>
      <c r="DD44" s="543"/>
      <c r="DE44" s="543"/>
      <c r="DF44" s="543"/>
      <c r="DG44" s="543"/>
      <c r="DH44" s="543"/>
      <c r="DI44" s="543"/>
      <c r="DJ44" s="543"/>
      <c r="DK44" s="543"/>
      <c r="DL44" s="543"/>
      <c r="DM44" s="543"/>
      <c r="DN44" s="543"/>
      <c r="DO44" s="543"/>
      <c r="DP44" s="543"/>
      <c r="DQ44" s="543"/>
      <c r="DR44" s="543"/>
      <c r="DS44" s="543"/>
      <c r="DT44" s="543"/>
      <c r="DU44" s="543"/>
      <c r="DV44" s="543"/>
      <c r="DW44" s="543"/>
      <c r="DX44" s="543"/>
      <c r="DY44" s="543"/>
      <c r="DZ44" s="543"/>
      <c r="EA44" s="543"/>
      <c r="EB44" s="543"/>
      <c r="EC44" s="543"/>
      <c r="ED44" s="543"/>
      <c r="EE44" s="543"/>
      <c r="EF44" s="543"/>
      <c r="EG44" s="543"/>
      <c r="EH44" s="543"/>
      <c r="EI44" s="543"/>
      <c r="EJ44" s="543"/>
      <c r="EK44" s="543"/>
      <c r="EL44" s="543"/>
      <c r="EM44" s="543"/>
      <c r="EN44" s="543"/>
      <c r="EO44" s="543"/>
      <c r="EP44" s="543"/>
      <c r="EQ44" s="543"/>
      <c r="ER44" s="543"/>
      <c r="ES44" s="543"/>
      <c r="ET44" s="543"/>
      <c r="EU44" s="543"/>
      <c r="EV44" s="543"/>
      <c r="EW44" s="543"/>
      <c r="EX44" s="543"/>
    </row>
    <row r="45" spans="1:154" s="549" customFormat="1">
      <c r="A45" s="546" t="s">
        <v>200</v>
      </c>
      <c r="B45" s="1091">
        <f t="shared" si="12"/>
        <v>34</v>
      </c>
      <c r="C45" s="1092" t="s">
        <v>285</v>
      </c>
      <c r="D45" s="1101">
        <v>71127067</v>
      </c>
      <c r="E45" s="1147">
        <v>35153</v>
      </c>
      <c r="F45" s="1149">
        <v>46083</v>
      </c>
      <c r="G45" s="1020"/>
      <c r="H45" s="1131" t="s">
        <v>281</v>
      </c>
      <c r="I45" s="549" t="s">
        <v>72</v>
      </c>
      <c r="J45" s="576">
        <v>2000</v>
      </c>
      <c r="K45" s="576"/>
      <c r="L45" s="1092">
        <v>30</v>
      </c>
      <c r="M45" s="1092"/>
      <c r="N45" s="1092"/>
      <c r="O45" s="1092">
        <f t="shared" si="0"/>
        <v>30</v>
      </c>
      <c r="P45" s="549">
        <v>8</v>
      </c>
      <c r="Q45" s="1092">
        <f t="shared" ref="Q45" si="68">+O45*P45</f>
        <v>240</v>
      </c>
      <c r="R45" s="1107">
        <f t="shared" si="1"/>
        <v>2000</v>
      </c>
      <c r="S45" s="923">
        <f t="shared" si="5"/>
        <v>0</v>
      </c>
      <c r="T45" s="829">
        <f t="shared" si="6"/>
        <v>0</v>
      </c>
      <c r="U45" s="576"/>
      <c r="V45" s="1107"/>
      <c r="W45" s="576">
        <f>H.E!L39</f>
        <v>0</v>
      </c>
      <c r="X45" s="576">
        <f>H.E!M39</f>
        <v>0</v>
      </c>
      <c r="Y45" s="576">
        <f>H.E!N39</f>
        <v>0</v>
      </c>
      <c r="Z45" s="1107"/>
      <c r="AA45" s="576"/>
      <c r="AB45" s="1107"/>
      <c r="AC45" s="829">
        <f t="shared" si="7"/>
        <v>0</v>
      </c>
      <c r="AD45" s="1107"/>
      <c r="AE45" s="1107"/>
      <c r="AF45" s="576">
        <v>1000</v>
      </c>
      <c r="AG45" s="1107">
        <v>90</v>
      </c>
      <c r="AH45" s="1107"/>
      <c r="AI45" s="554"/>
      <c r="AJ45" s="576"/>
      <c r="AK45" s="1092"/>
      <c r="AL45" s="1104"/>
      <c r="AM45" s="576">
        <f t="shared" si="14"/>
        <v>3090</v>
      </c>
      <c r="AN45" s="1083">
        <f t="shared" si="8"/>
        <v>1997.9166666666667</v>
      </c>
      <c r="AO45" s="1108"/>
      <c r="AP45" s="576"/>
      <c r="AQ45" s="1100">
        <v>0.1</v>
      </c>
      <c r="AR45" s="1104">
        <f t="shared" ref="AR45" si="69">+AN45*AQ45</f>
        <v>199.79166666666669</v>
      </c>
      <c r="AS45" s="1100">
        <v>0</v>
      </c>
      <c r="AT45" s="576">
        <f t="shared" ref="AT45:AT46" si="70">+AN45*AS45</f>
        <v>0</v>
      </c>
      <c r="AU45" s="1100">
        <v>1.37E-2</v>
      </c>
      <c r="AV45" s="576">
        <f t="shared" ref="AV45:AV46" si="71">+AN45*AU45</f>
        <v>27.371458333333337</v>
      </c>
      <c r="AW45" s="1100">
        <f t="shared" ref="AW45" si="72">+AQ45+AS45+AU45</f>
        <v>0.11370000000000001</v>
      </c>
      <c r="AX45" s="576">
        <f t="shared" ref="AX45:AX47" si="73">+AR45+AT45+AV45</f>
        <v>227.16312500000004</v>
      </c>
      <c r="AY45" s="576">
        <f>TARDANZA!K39</f>
        <v>0</v>
      </c>
      <c r="AZ45" s="576">
        <f>TARDANZA!L39</f>
        <v>2.0833333333333335</v>
      </c>
      <c r="BA45" s="835">
        <v>880</v>
      </c>
      <c r="BB45" s="576">
        <f t="shared" si="9"/>
        <v>1090</v>
      </c>
      <c r="BC45" s="576"/>
      <c r="BD45" s="576"/>
      <c r="BE45" s="576"/>
      <c r="BF45" s="576"/>
      <c r="BH45" s="845"/>
      <c r="BI45" s="829">
        <f t="shared" si="10"/>
        <v>2199.2464583333335</v>
      </c>
      <c r="BJ45" s="595">
        <f>(+AM45-BI45)</f>
        <v>890.75354166666648</v>
      </c>
      <c r="BK45" s="1099">
        <v>0.09</v>
      </c>
      <c r="BL45" s="576">
        <f>AN45*BK45</f>
        <v>179.8125</v>
      </c>
      <c r="BM45" s="1189">
        <v>3</v>
      </c>
      <c r="BN45" s="1091"/>
      <c r="BO45" s="1103" t="s">
        <v>203</v>
      </c>
      <c r="BR45" s="543"/>
      <c r="BS45" s="554"/>
      <c r="BT45" s="835"/>
      <c r="BU45" s="546" t="s">
        <v>203</v>
      </c>
      <c r="BV45" s="543"/>
      <c r="BW45" s="543"/>
      <c r="BX45" s="543"/>
      <c r="BY45" s="543"/>
      <c r="BZ45" s="1192"/>
      <c r="CA45" s="1124"/>
      <c r="CB45" s="543"/>
      <c r="CC45" s="543"/>
      <c r="CD45" s="543"/>
      <c r="CE45" s="543"/>
      <c r="CF45" s="543"/>
      <c r="CG45" s="543"/>
      <c r="CH45" s="543"/>
      <c r="CI45" s="543"/>
      <c r="CJ45" s="543"/>
      <c r="CK45" s="543"/>
      <c r="CL45" s="543"/>
      <c r="CM45" s="543"/>
      <c r="CN45" s="543"/>
      <c r="CO45" s="543"/>
      <c r="CP45" s="543"/>
      <c r="CQ45" s="543"/>
      <c r="CR45" s="543"/>
      <c r="CS45" s="543"/>
      <c r="CT45" s="543"/>
      <c r="CU45" s="543"/>
      <c r="CV45" s="543"/>
      <c r="CW45" s="543"/>
      <c r="CX45" s="543"/>
      <c r="CY45" s="543"/>
      <c r="CZ45" s="543"/>
      <c r="DA45" s="543"/>
      <c r="DB45" s="543"/>
      <c r="DC45" s="543"/>
      <c r="DD45" s="543"/>
      <c r="DE45" s="543"/>
      <c r="DF45" s="543"/>
      <c r="DG45" s="543"/>
      <c r="DH45" s="543"/>
      <c r="DI45" s="543"/>
      <c r="DJ45" s="543"/>
      <c r="DK45" s="543"/>
      <c r="DL45" s="543"/>
      <c r="DM45" s="543"/>
      <c r="DN45" s="543"/>
      <c r="DO45" s="543"/>
      <c r="DP45" s="543"/>
      <c r="DQ45" s="543"/>
      <c r="DR45" s="543"/>
      <c r="DS45" s="543"/>
      <c r="DT45" s="543"/>
      <c r="DU45" s="543"/>
      <c r="DV45" s="543"/>
      <c r="DW45" s="543"/>
      <c r="DX45" s="543"/>
      <c r="DY45" s="543"/>
      <c r="DZ45" s="543"/>
      <c r="EA45" s="543"/>
      <c r="EB45" s="543"/>
      <c r="EC45" s="543"/>
      <c r="ED45" s="543"/>
      <c r="EE45" s="543"/>
      <c r="EF45" s="543"/>
      <c r="EG45" s="543"/>
      <c r="EH45" s="543"/>
      <c r="EI45" s="543"/>
      <c r="EJ45" s="543"/>
      <c r="EK45" s="543"/>
      <c r="EL45" s="543"/>
      <c r="EM45" s="543"/>
      <c r="EN45" s="543"/>
      <c r="EO45" s="543"/>
      <c r="EP45" s="543"/>
      <c r="EQ45" s="543"/>
      <c r="ER45" s="543"/>
      <c r="ES45" s="543"/>
      <c r="ET45" s="543"/>
      <c r="EU45" s="543"/>
      <c r="EV45" s="543"/>
      <c r="EW45" s="543"/>
      <c r="EX45" s="543"/>
    </row>
    <row r="46" spans="1:154" s="1263" customFormat="1">
      <c r="A46" s="1255" t="s">
        <v>225</v>
      </c>
      <c r="B46" s="1256">
        <f t="shared" si="12"/>
        <v>35</v>
      </c>
      <c r="C46" s="1257" t="s">
        <v>766</v>
      </c>
      <c r="D46" s="1258">
        <v>71562324</v>
      </c>
      <c r="E46" s="1259">
        <v>35075</v>
      </c>
      <c r="F46" s="1260">
        <v>46160</v>
      </c>
      <c r="G46" s="1261"/>
      <c r="H46" s="1262" t="s">
        <v>264</v>
      </c>
      <c r="I46" s="1263" t="s">
        <v>70</v>
      </c>
      <c r="J46" s="1254">
        <v>1500</v>
      </c>
      <c r="K46" s="1254"/>
      <c r="L46" s="1257">
        <v>30</v>
      </c>
      <c r="M46" s="1257"/>
      <c r="N46" s="1257"/>
      <c r="O46" s="1257">
        <f t="shared" si="0"/>
        <v>30</v>
      </c>
      <c r="P46" s="1263">
        <v>8</v>
      </c>
      <c r="Q46" s="1257">
        <f t="shared" ref="Q46:Q53" si="74">+O46*P46</f>
        <v>240</v>
      </c>
      <c r="R46" s="1360">
        <f t="shared" si="1"/>
        <v>1500</v>
      </c>
      <c r="S46" s="1272">
        <f t="shared" si="5"/>
        <v>0</v>
      </c>
      <c r="T46" s="1252">
        <f t="shared" si="6"/>
        <v>0</v>
      </c>
      <c r="U46" s="1254"/>
      <c r="V46" s="1264"/>
      <c r="W46" s="1254">
        <f>H.E!L40</f>
        <v>50.78125</v>
      </c>
      <c r="X46" s="1254">
        <f>H.E!M40</f>
        <v>21.09375</v>
      </c>
      <c r="Y46" s="1254">
        <f>H.E!N40</f>
        <v>200</v>
      </c>
      <c r="Z46" s="1264"/>
      <c r="AA46" s="1254"/>
      <c r="AB46" s="1264"/>
      <c r="AC46" s="1252">
        <f t="shared" si="7"/>
        <v>0</v>
      </c>
      <c r="AD46" s="1264"/>
      <c r="AE46" s="1264"/>
      <c r="AF46" s="1254">
        <v>250</v>
      </c>
      <c r="AG46" s="1264">
        <v>22.5</v>
      </c>
      <c r="AH46" s="1264"/>
      <c r="AI46" s="1265"/>
      <c r="AJ46" s="1254"/>
      <c r="AK46" s="1257"/>
      <c r="AL46" s="1266"/>
      <c r="AM46" s="1254">
        <f t="shared" si="14"/>
        <v>2044.375</v>
      </c>
      <c r="AN46" s="1253">
        <f t="shared" si="8"/>
        <v>1766.7708333333333</v>
      </c>
      <c r="AO46" s="1267"/>
      <c r="AP46" s="1254"/>
      <c r="AQ46" s="1268">
        <v>0.1</v>
      </c>
      <c r="AR46" s="1254">
        <f>+AN46*AQ46</f>
        <v>176.67708333333334</v>
      </c>
      <c r="AS46" s="1268">
        <v>0</v>
      </c>
      <c r="AT46" s="1254">
        <f t="shared" si="70"/>
        <v>0</v>
      </c>
      <c r="AU46" s="1268">
        <v>1.37E-2</v>
      </c>
      <c r="AV46" s="1254">
        <f t="shared" si="71"/>
        <v>24.204760416666666</v>
      </c>
      <c r="AW46" s="1268">
        <f>+AQ46+AS46+AU46</f>
        <v>0.11370000000000001</v>
      </c>
      <c r="AX46" s="1254">
        <f>+AR46+AT46+AV46</f>
        <v>200.88184375</v>
      </c>
      <c r="AY46" s="1251">
        <f>TARDANZA!K40</f>
        <v>0</v>
      </c>
      <c r="AZ46" s="1251">
        <f>TARDANZA!L40</f>
        <v>5.104166666666667</v>
      </c>
      <c r="BA46" s="1269">
        <v>665</v>
      </c>
      <c r="BB46" s="1254">
        <f t="shared" si="9"/>
        <v>272.5</v>
      </c>
      <c r="BC46" s="1254"/>
      <c r="BD46" s="1254"/>
      <c r="BE46" s="1254"/>
      <c r="BF46" s="1254"/>
      <c r="BH46" s="1270"/>
      <c r="BI46" s="1253">
        <f t="shared" si="10"/>
        <v>1143.4860104166667</v>
      </c>
      <c r="BJ46" s="1254">
        <f t="shared" ref="BJ46:BJ47" si="75">(+AM46-BI46)</f>
        <v>900.88898958333334</v>
      </c>
      <c r="BK46" s="1271">
        <v>0.09</v>
      </c>
      <c r="BL46" s="1254">
        <f>AN46*BK46</f>
        <v>159.00937499999998</v>
      </c>
      <c r="BM46" s="1272">
        <v>2.5299999999999998</v>
      </c>
      <c r="BN46" s="1256"/>
      <c r="BO46" s="1273" t="s">
        <v>203</v>
      </c>
      <c r="BR46" s="1274"/>
      <c r="BS46" s="1265"/>
      <c r="BT46" s="1269"/>
      <c r="BU46" s="1255" t="s">
        <v>203</v>
      </c>
      <c r="BV46" s="1274"/>
      <c r="BW46" s="1274"/>
      <c r="BX46" s="1274"/>
      <c r="BY46" s="1274"/>
      <c r="BZ46" s="1275"/>
      <c r="CA46" s="1276"/>
      <c r="CB46" s="1274"/>
      <c r="CC46" s="1274"/>
      <c r="CD46" s="1274"/>
      <c r="CE46" s="1274"/>
      <c r="CF46" s="1274"/>
      <c r="CG46" s="1274"/>
      <c r="CH46" s="1274"/>
      <c r="CI46" s="1274"/>
      <c r="CJ46" s="1274"/>
      <c r="CK46" s="1274"/>
      <c r="CL46" s="1274"/>
      <c r="CM46" s="1274"/>
      <c r="CN46" s="1274"/>
      <c r="CO46" s="1274"/>
      <c r="CP46" s="1274"/>
      <c r="CQ46" s="1274"/>
      <c r="CR46" s="1274"/>
      <c r="CS46" s="1274"/>
      <c r="CT46" s="1274"/>
      <c r="CU46" s="1274"/>
      <c r="CV46" s="1274"/>
      <c r="CW46" s="1274"/>
      <c r="CX46" s="1274"/>
      <c r="CY46" s="1274"/>
      <c r="CZ46" s="1274"/>
      <c r="DA46" s="1274"/>
      <c r="DB46" s="1274"/>
      <c r="DC46" s="1274"/>
      <c r="DD46" s="1274"/>
      <c r="DE46" s="1274"/>
      <c r="DF46" s="1274"/>
      <c r="DG46" s="1274"/>
      <c r="DH46" s="1274"/>
      <c r="DI46" s="1274"/>
      <c r="DJ46" s="1274"/>
      <c r="DK46" s="1274"/>
      <c r="DL46" s="1274"/>
      <c r="DM46" s="1274"/>
      <c r="DN46" s="1274"/>
      <c r="DO46" s="1274"/>
      <c r="DP46" s="1274"/>
      <c r="DQ46" s="1274"/>
      <c r="DR46" s="1274"/>
      <c r="DS46" s="1274"/>
      <c r="DT46" s="1274"/>
      <c r="DU46" s="1274"/>
      <c r="DV46" s="1274"/>
      <c r="DW46" s="1274"/>
      <c r="DX46" s="1274"/>
      <c r="DY46" s="1274"/>
      <c r="DZ46" s="1274"/>
      <c r="EA46" s="1274"/>
      <c r="EB46" s="1274"/>
      <c r="EC46" s="1274"/>
      <c r="ED46" s="1274"/>
      <c r="EE46" s="1274"/>
      <c r="EF46" s="1274"/>
      <c r="EG46" s="1274"/>
      <c r="EH46" s="1274"/>
      <c r="EI46" s="1274"/>
      <c r="EJ46" s="1274"/>
      <c r="EK46" s="1274"/>
      <c r="EL46" s="1274"/>
      <c r="EM46" s="1274"/>
      <c r="EN46" s="1274"/>
      <c r="EO46" s="1274"/>
      <c r="EP46" s="1274"/>
      <c r="EQ46" s="1274"/>
      <c r="ER46" s="1274"/>
      <c r="ES46" s="1274"/>
      <c r="ET46" s="1274"/>
      <c r="EU46" s="1274"/>
      <c r="EV46" s="1274"/>
      <c r="EW46" s="1274"/>
      <c r="EX46" s="1274"/>
    </row>
    <row r="47" spans="1:154" s="549" customFormat="1">
      <c r="A47" s="546" t="s">
        <v>237</v>
      </c>
      <c r="B47" s="1091">
        <f t="shared" si="12"/>
        <v>36</v>
      </c>
      <c r="C47" s="1092" t="s">
        <v>765</v>
      </c>
      <c r="D47" s="1101">
        <v>74217394</v>
      </c>
      <c r="E47" s="1147">
        <v>34877</v>
      </c>
      <c r="F47" s="1149">
        <v>46160</v>
      </c>
      <c r="G47" s="1020"/>
      <c r="H47" s="1131" t="s">
        <v>764</v>
      </c>
      <c r="I47" s="549" t="s">
        <v>73</v>
      </c>
      <c r="J47" s="576">
        <v>2850</v>
      </c>
      <c r="K47" s="576"/>
      <c r="L47" s="1092">
        <v>30</v>
      </c>
      <c r="M47" s="1092"/>
      <c r="N47" s="1092"/>
      <c r="O47" s="1092">
        <f t="shared" si="0"/>
        <v>30</v>
      </c>
      <c r="P47" s="549">
        <v>8</v>
      </c>
      <c r="Q47" s="1092">
        <f t="shared" si="74"/>
        <v>240</v>
      </c>
      <c r="R47" s="1107">
        <f t="shared" si="1"/>
        <v>2850</v>
      </c>
      <c r="S47" s="923">
        <f t="shared" si="5"/>
        <v>0</v>
      </c>
      <c r="T47" s="829">
        <f t="shared" si="6"/>
        <v>0</v>
      </c>
      <c r="U47" s="576"/>
      <c r="V47" s="1107"/>
      <c r="W47" s="576">
        <f>H.E!L41</f>
        <v>0</v>
      </c>
      <c r="X47" s="576">
        <f>H.E!M41</f>
        <v>0</v>
      </c>
      <c r="Y47" s="576">
        <f>H.E!N41</f>
        <v>0</v>
      </c>
      <c r="Z47" s="1107"/>
      <c r="AA47" s="576"/>
      <c r="AB47" s="1107"/>
      <c r="AC47" s="829">
        <f t="shared" si="7"/>
        <v>0</v>
      </c>
      <c r="AD47" s="1107"/>
      <c r="AE47" s="1107"/>
      <c r="AF47" s="576">
        <v>475</v>
      </c>
      <c r="AG47" s="1107">
        <v>42.75</v>
      </c>
      <c r="AH47" s="1107"/>
      <c r="AI47" s="554"/>
      <c r="AJ47" s="576"/>
      <c r="AK47" s="1092"/>
      <c r="AL47" s="1104"/>
      <c r="AM47" s="576">
        <f t="shared" si="14"/>
        <v>3367.75</v>
      </c>
      <c r="AN47" s="1083">
        <f t="shared" si="8"/>
        <v>2840.1041666666665</v>
      </c>
      <c r="AO47" s="1108"/>
      <c r="AP47" s="576"/>
      <c r="AQ47" s="1100">
        <v>0.1</v>
      </c>
      <c r="AR47" s="576">
        <f>+AN47*AQ47</f>
        <v>284.01041666666669</v>
      </c>
      <c r="AS47" s="1100">
        <v>0</v>
      </c>
      <c r="AT47" s="576">
        <f>+AN47*AS47</f>
        <v>0</v>
      </c>
      <c r="AU47" s="1100">
        <v>1.37E-2</v>
      </c>
      <c r="AV47" s="576">
        <f>+AN47*AU47</f>
        <v>38.909427083333334</v>
      </c>
      <c r="AW47" s="1100">
        <f>+AQ47+AS47+AU47</f>
        <v>0.11370000000000001</v>
      </c>
      <c r="AX47" s="576">
        <f t="shared" si="73"/>
        <v>322.91984375000004</v>
      </c>
      <c r="AY47" s="576">
        <f>TARDANZA!K41</f>
        <v>0</v>
      </c>
      <c r="AZ47" s="576">
        <f>TARDANZA!L41</f>
        <v>9.8958333333333321</v>
      </c>
      <c r="BA47" s="835">
        <v>1230</v>
      </c>
      <c r="BB47" s="576">
        <f t="shared" si="9"/>
        <v>517.75</v>
      </c>
      <c r="BC47" s="576"/>
      <c r="BD47" s="576"/>
      <c r="BE47" s="576"/>
      <c r="BF47" s="576"/>
      <c r="BH47" s="845"/>
      <c r="BI47" s="829">
        <f t="shared" si="10"/>
        <v>2080.5656770833334</v>
      </c>
      <c r="BJ47" s="595">
        <f t="shared" si="75"/>
        <v>1287.1843229166666</v>
      </c>
      <c r="BK47" s="1099">
        <v>0.09</v>
      </c>
      <c r="BL47" s="576">
        <f t="shared" ref="BL47" si="76">AN47*BK47</f>
        <v>255.60937499999997</v>
      </c>
      <c r="BM47" s="923">
        <v>4.8099999999999996</v>
      </c>
      <c r="BN47" s="1091"/>
      <c r="BO47" s="1103" t="s">
        <v>203</v>
      </c>
      <c r="BR47" s="543"/>
      <c r="BS47" s="554"/>
      <c r="BT47" s="835"/>
      <c r="BU47" s="546" t="s">
        <v>203</v>
      </c>
      <c r="BV47" s="543"/>
      <c r="BW47" s="543"/>
      <c r="BX47" s="543"/>
      <c r="BY47" s="543"/>
      <c r="BZ47" s="1192"/>
      <c r="CA47" s="1124"/>
      <c r="CB47" s="543"/>
      <c r="CC47" s="543"/>
      <c r="CD47" s="543"/>
      <c r="CE47" s="543"/>
      <c r="CF47" s="543"/>
      <c r="CG47" s="543"/>
      <c r="CH47" s="543"/>
      <c r="CI47" s="543"/>
      <c r="CJ47" s="543"/>
      <c r="CK47" s="543"/>
      <c r="CL47" s="543"/>
      <c r="CM47" s="543"/>
      <c r="CN47" s="543"/>
      <c r="CO47" s="543"/>
      <c r="CP47" s="543"/>
      <c r="CQ47" s="543"/>
      <c r="CR47" s="543"/>
      <c r="CS47" s="543"/>
      <c r="CT47" s="543"/>
      <c r="CU47" s="543"/>
      <c r="CV47" s="543"/>
      <c r="CW47" s="543"/>
      <c r="CX47" s="543"/>
      <c r="CY47" s="543"/>
      <c r="CZ47" s="543"/>
      <c r="DA47" s="543"/>
      <c r="DB47" s="543"/>
      <c r="DC47" s="543"/>
      <c r="DD47" s="543"/>
      <c r="DE47" s="543"/>
      <c r="DF47" s="543"/>
      <c r="DG47" s="543"/>
      <c r="DH47" s="543"/>
      <c r="DI47" s="543"/>
      <c r="DJ47" s="543"/>
      <c r="DK47" s="543"/>
      <c r="DL47" s="543"/>
      <c r="DM47" s="543"/>
      <c r="DN47" s="543"/>
      <c r="DO47" s="543"/>
      <c r="DP47" s="543"/>
      <c r="DQ47" s="543"/>
      <c r="DR47" s="543"/>
      <c r="DS47" s="543"/>
      <c r="DT47" s="543"/>
      <c r="DU47" s="543"/>
      <c r="DV47" s="543"/>
      <c r="DW47" s="543"/>
      <c r="DX47" s="543"/>
      <c r="DY47" s="543"/>
      <c r="DZ47" s="543"/>
      <c r="EA47" s="543"/>
      <c r="EB47" s="543"/>
      <c r="EC47" s="543"/>
      <c r="ED47" s="543"/>
      <c r="EE47" s="543"/>
      <c r="EF47" s="543"/>
      <c r="EG47" s="543"/>
      <c r="EH47" s="543"/>
      <c r="EI47" s="543"/>
      <c r="EJ47" s="543"/>
      <c r="EK47" s="543"/>
      <c r="EL47" s="543"/>
      <c r="EM47" s="543"/>
      <c r="EN47" s="543"/>
      <c r="EO47" s="543"/>
      <c r="EP47" s="543"/>
      <c r="EQ47" s="543"/>
      <c r="ER47" s="543"/>
      <c r="ES47" s="543"/>
      <c r="ET47" s="543"/>
      <c r="EU47" s="543"/>
      <c r="EV47" s="543"/>
      <c r="EW47" s="543"/>
      <c r="EX47" s="543"/>
    </row>
    <row r="48" spans="1:154" s="549" customFormat="1">
      <c r="A48" s="546" t="s">
        <v>207</v>
      </c>
      <c r="B48" s="1091">
        <f t="shared" si="12"/>
        <v>37</v>
      </c>
      <c r="C48" s="1092" t="s">
        <v>769</v>
      </c>
      <c r="D48" s="1101">
        <v>72326112</v>
      </c>
      <c r="E48" s="1147">
        <v>35254</v>
      </c>
      <c r="F48" s="1149">
        <v>46181</v>
      </c>
      <c r="G48" s="1020"/>
      <c r="H48" s="1131" t="s">
        <v>258</v>
      </c>
      <c r="I48" s="549" t="s">
        <v>71</v>
      </c>
      <c r="J48" s="576">
        <v>1700</v>
      </c>
      <c r="K48" s="576"/>
      <c r="L48" s="1092">
        <v>30</v>
      </c>
      <c r="M48" s="1092"/>
      <c r="N48" s="1092"/>
      <c r="O48" s="1092">
        <f t="shared" si="0"/>
        <v>30</v>
      </c>
      <c r="P48" s="549">
        <v>8</v>
      </c>
      <c r="Q48" s="1092">
        <f t="shared" ref="Q48:Q52" si="77">+O48*P48</f>
        <v>240</v>
      </c>
      <c r="R48" s="1107">
        <f t="shared" si="1"/>
        <v>1700</v>
      </c>
      <c r="S48" s="923">
        <f t="shared" si="5"/>
        <v>0</v>
      </c>
      <c r="T48" s="829">
        <f t="shared" si="6"/>
        <v>0</v>
      </c>
      <c r="U48" s="576"/>
      <c r="V48" s="1107"/>
      <c r="W48" s="576">
        <f>H.E!L42</f>
        <v>0</v>
      </c>
      <c r="X48" s="576">
        <f>H.E!M42</f>
        <v>0</v>
      </c>
      <c r="Y48" s="576">
        <f>H.E!N42</f>
        <v>0</v>
      </c>
      <c r="Z48" s="1107"/>
      <c r="AA48" s="576"/>
      <c r="AB48" s="1107"/>
      <c r="AC48" s="829">
        <f t="shared" si="7"/>
        <v>0</v>
      </c>
      <c r="AD48" s="1107"/>
      <c r="AE48" s="1107"/>
      <c r="AF48" s="576"/>
      <c r="AG48" s="1107"/>
      <c r="AH48" s="1107"/>
      <c r="AI48" s="554"/>
      <c r="AJ48" s="576"/>
      <c r="AK48" s="1092"/>
      <c r="AL48" s="1104"/>
      <c r="AM48" s="576">
        <f t="shared" si="14"/>
        <v>1700</v>
      </c>
      <c r="AN48" s="1083">
        <f t="shared" si="8"/>
        <v>1695.5138888888889</v>
      </c>
      <c r="AO48" s="1108"/>
      <c r="AP48" s="576"/>
      <c r="AQ48" s="1100">
        <v>0.1</v>
      </c>
      <c r="AR48" s="1104">
        <f t="shared" ref="AR48" si="78">+AN48*AQ48</f>
        <v>169.55138888888891</v>
      </c>
      <c r="AS48" s="1100">
        <v>0</v>
      </c>
      <c r="AT48" s="576">
        <f t="shared" ref="AT48:AT53" si="79">+AN48*AS48</f>
        <v>0</v>
      </c>
      <c r="AU48" s="1100">
        <v>1.37E-2</v>
      </c>
      <c r="AV48" s="576">
        <f t="shared" ref="AV48:AV53" si="80">+AN48*AU48</f>
        <v>23.228540277777778</v>
      </c>
      <c r="AW48" s="1100">
        <f>+AQ48+AS48+AU48</f>
        <v>0.11370000000000001</v>
      </c>
      <c r="AX48" s="576">
        <f>+AR48+AT48+AV48</f>
        <v>192.77992916666668</v>
      </c>
      <c r="AY48" s="576">
        <f>TARDANZA!K42</f>
        <v>0</v>
      </c>
      <c r="AZ48" s="576">
        <f>TARDANZA!L42</f>
        <v>4.4861111111111107</v>
      </c>
      <c r="BA48" s="835">
        <v>750</v>
      </c>
      <c r="BB48" s="576"/>
      <c r="BC48" s="576"/>
      <c r="BD48" s="576"/>
      <c r="BE48" s="576"/>
      <c r="BF48" s="576"/>
      <c r="BH48" s="845"/>
      <c r="BI48" s="829">
        <f t="shared" ref="BI48:BI50" si="81">+AX48+SUM(AY48:BH48)+AP48</f>
        <v>947.26604027777773</v>
      </c>
      <c r="BJ48" s="595">
        <f t="shared" ref="BJ48:BJ50" si="82">(+AM48-BI48)</f>
        <v>752.73395972222227</v>
      </c>
      <c r="BK48" s="1099">
        <v>0.09</v>
      </c>
      <c r="BL48" s="576">
        <f t="shared" ref="BL48" si="83">AN48*BK48</f>
        <v>152.59625</v>
      </c>
      <c r="BM48" s="923">
        <v>2.5499999999999998</v>
      </c>
      <c r="BN48" s="1091"/>
      <c r="BO48" s="1103" t="s">
        <v>203</v>
      </c>
      <c r="BP48" s="1282"/>
      <c r="BR48" s="543"/>
      <c r="BS48" s="554"/>
      <c r="BT48" s="1175"/>
      <c r="BU48" s="546" t="s">
        <v>203</v>
      </c>
      <c r="BV48" s="543"/>
      <c r="BW48" s="543"/>
      <c r="BX48" s="543"/>
      <c r="BY48" s="543"/>
      <c r="BZ48" s="1192"/>
      <c r="CA48" s="1124"/>
      <c r="CB48" s="543"/>
      <c r="CC48" s="543"/>
      <c r="CD48" s="543"/>
      <c r="CE48" s="543"/>
      <c r="CF48" s="543"/>
      <c r="CG48" s="543"/>
      <c r="CH48" s="543"/>
      <c r="CI48" s="543"/>
      <c r="CJ48" s="543"/>
      <c r="CK48" s="543"/>
      <c r="CL48" s="543"/>
      <c r="CM48" s="543"/>
      <c r="CN48" s="543"/>
      <c r="CO48" s="543"/>
      <c r="CP48" s="543"/>
      <c r="CQ48" s="543"/>
      <c r="CR48" s="543"/>
      <c r="CS48" s="543"/>
      <c r="CT48" s="543"/>
      <c r="CU48" s="543"/>
      <c r="CV48" s="543"/>
      <c r="CW48" s="543"/>
      <c r="CX48" s="543"/>
      <c r="CY48" s="543"/>
      <c r="CZ48" s="543"/>
      <c r="DA48" s="543"/>
      <c r="DB48" s="543"/>
      <c r="DC48" s="543"/>
      <c r="DD48" s="543"/>
      <c r="DE48" s="543"/>
      <c r="DF48" s="543"/>
      <c r="DG48" s="543"/>
      <c r="DH48" s="543"/>
      <c r="DI48" s="543"/>
      <c r="DJ48" s="543"/>
      <c r="DK48" s="543"/>
      <c r="DL48" s="543"/>
      <c r="DM48" s="543"/>
      <c r="DN48" s="543"/>
      <c r="DO48" s="543"/>
      <c r="DP48" s="543"/>
      <c r="DQ48" s="543"/>
      <c r="DR48" s="543"/>
      <c r="DS48" s="543"/>
      <c r="DT48" s="543"/>
      <c r="DU48" s="543"/>
      <c r="DV48" s="543"/>
      <c r="DW48" s="543"/>
      <c r="DX48" s="543"/>
      <c r="DY48" s="543"/>
      <c r="DZ48" s="543"/>
      <c r="EA48" s="543"/>
      <c r="EB48" s="543"/>
      <c r="EC48" s="543"/>
      <c r="ED48" s="543"/>
      <c r="EE48" s="543"/>
      <c r="EF48" s="543"/>
      <c r="EG48" s="543"/>
      <c r="EH48" s="543"/>
      <c r="EI48" s="543"/>
      <c r="EJ48" s="543"/>
      <c r="EK48" s="543"/>
      <c r="EL48" s="543"/>
      <c r="EM48" s="543"/>
      <c r="EN48" s="543"/>
      <c r="EO48" s="543"/>
      <c r="EP48" s="543"/>
      <c r="EQ48" s="543"/>
      <c r="ER48" s="543"/>
      <c r="ES48" s="543"/>
      <c r="ET48" s="543"/>
      <c r="EU48" s="543"/>
      <c r="EV48" s="543"/>
      <c r="EW48" s="543"/>
      <c r="EX48" s="543"/>
    </row>
    <row r="49" spans="1:154" s="1263" customFormat="1">
      <c r="A49" s="1255" t="s">
        <v>233</v>
      </c>
      <c r="B49" s="1256">
        <f t="shared" si="12"/>
        <v>38</v>
      </c>
      <c r="C49" s="1257" t="s">
        <v>770</v>
      </c>
      <c r="D49" s="1258">
        <v>46421278</v>
      </c>
      <c r="E49" s="1259">
        <v>33084</v>
      </c>
      <c r="F49" s="1260">
        <v>46182</v>
      </c>
      <c r="G49" s="1261" t="s">
        <v>800</v>
      </c>
      <c r="H49" s="1262" t="s">
        <v>236</v>
      </c>
      <c r="I49" s="1263" t="s">
        <v>72</v>
      </c>
      <c r="J49" s="1254">
        <v>2000</v>
      </c>
      <c r="K49" s="1254">
        <v>113</v>
      </c>
      <c r="L49" s="1257">
        <v>30</v>
      </c>
      <c r="M49" s="1257"/>
      <c r="N49" s="1257"/>
      <c r="O49" s="1257">
        <f t="shared" si="0"/>
        <v>30</v>
      </c>
      <c r="P49" s="1263">
        <v>8</v>
      </c>
      <c r="Q49" s="1257">
        <f t="shared" si="74"/>
        <v>240</v>
      </c>
      <c r="R49" s="1360">
        <f>66.6666666666667*9</f>
        <v>600</v>
      </c>
      <c r="S49" s="1272">
        <f t="shared" si="5"/>
        <v>113</v>
      </c>
      <c r="T49" s="1252">
        <f t="shared" si="6"/>
        <v>0</v>
      </c>
      <c r="U49" s="1254"/>
      <c r="V49" s="1264"/>
      <c r="W49" s="1254">
        <f>H.E!L43</f>
        <v>0</v>
      </c>
      <c r="X49" s="1254">
        <f>H.E!M43</f>
        <v>0</v>
      </c>
      <c r="Y49" s="1254">
        <f>H.E!N43</f>
        <v>0</v>
      </c>
      <c r="Z49" s="1264"/>
      <c r="AA49" s="1264"/>
      <c r="AB49" s="1264"/>
      <c r="AC49" s="1252">
        <f t="shared" si="7"/>
        <v>0</v>
      </c>
      <c r="AD49" s="1264"/>
      <c r="AE49" s="1264"/>
      <c r="AF49" s="1254"/>
      <c r="AG49" s="1264"/>
      <c r="AH49" s="1264"/>
      <c r="AI49" s="1265"/>
      <c r="AJ49" s="1254"/>
      <c r="AK49" s="1257"/>
      <c r="AL49" s="1266"/>
      <c r="AM49" s="1254">
        <f t="shared" si="14"/>
        <v>713</v>
      </c>
      <c r="AN49" s="1253">
        <f t="shared" si="8"/>
        <v>713</v>
      </c>
      <c r="AO49" s="1267"/>
      <c r="AP49" s="1254"/>
      <c r="AQ49" s="1268">
        <v>0.1</v>
      </c>
      <c r="AR49" s="1266">
        <f>+AN49*AQ49</f>
        <v>71.3</v>
      </c>
      <c r="AS49" s="1268">
        <v>0</v>
      </c>
      <c r="AT49" s="1254">
        <f t="shared" si="79"/>
        <v>0</v>
      </c>
      <c r="AU49" s="1268">
        <v>1.37E-2</v>
      </c>
      <c r="AV49" s="1254">
        <f t="shared" si="80"/>
        <v>9.7681000000000004</v>
      </c>
      <c r="AW49" s="1268">
        <f t="shared" ref="AW49:AW53" si="84">+AQ49+AS49+AU49</f>
        <v>0.11370000000000001</v>
      </c>
      <c r="AX49" s="1254">
        <f t="shared" ref="AX49:AX53" si="85">+AR49+AT49+AV49</f>
        <v>81.068100000000001</v>
      </c>
      <c r="AY49" s="1251">
        <f>TARDANZA!K43</f>
        <v>0</v>
      </c>
      <c r="AZ49" s="1251">
        <f>TARDANZA!L43</f>
        <v>0</v>
      </c>
      <c r="BA49" s="1269"/>
      <c r="BB49" s="1253"/>
      <c r="BC49" s="1254"/>
      <c r="BD49" s="1254"/>
      <c r="BE49" s="1254"/>
      <c r="BF49" s="1254"/>
      <c r="BH49" s="1270"/>
      <c r="BI49" s="1253">
        <f t="shared" ref="BI49:BI53" si="86">+AX49+SUM(AY49:BH49)+AP49</f>
        <v>81.068100000000001</v>
      </c>
      <c r="BJ49" s="1254">
        <f>(+AM49-BI49)</f>
        <v>631.93190000000004</v>
      </c>
      <c r="BK49" s="1271">
        <v>0.09</v>
      </c>
      <c r="BL49" s="1254">
        <f t="shared" ref="BL49" si="87">AN49*BK49</f>
        <v>64.17</v>
      </c>
      <c r="BM49" s="1272">
        <v>3</v>
      </c>
      <c r="BN49" s="1256"/>
      <c r="BO49" s="1273" t="s">
        <v>203</v>
      </c>
      <c r="BP49" s="1277"/>
      <c r="BR49" s="1274"/>
      <c r="BT49" s="1279"/>
      <c r="BU49" s="1255" t="s">
        <v>203</v>
      </c>
      <c r="BV49" s="1274"/>
      <c r="BW49" s="1274"/>
      <c r="BX49" s="1274"/>
      <c r="BY49" s="1274"/>
      <c r="BZ49" s="1275"/>
      <c r="CA49" s="1276"/>
      <c r="CB49" s="1274"/>
      <c r="CC49" s="1274"/>
      <c r="CD49" s="1274"/>
      <c r="CE49" s="1274"/>
      <c r="CF49" s="1274"/>
      <c r="CG49" s="1274"/>
      <c r="CH49" s="1274"/>
      <c r="CI49" s="1274"/>
      <c r="CJ49" s="1274"/>
      <c r="CK49" s="1274"/>
      <c r="CL49" s="1274"/>
      <c r="CM49" s="1274"/>
      <c r="CN49" s="1274"/>
      <c r="CO49" s="1274"/>
      <c r="CP49" s="1274"/>
      <c r="CQ49" s="1274"/>
      <c r="CR49" s="1274"/>
      <c r="CS49" s="1274"/>
      <c r="CT49" s="1274"/>
      <c r="CU49" s="1274"/>
      <c r="CV49" s="1274"/>
      <c r="CW49" s="1274"/>
      <c r="CX49" s="1274"/>
      <c r="CY49" s="1274"/>
      <c r="CZ49" s="1274"/>
      <c r="DA49" s="1274"/>
      <c r="DB49" s="1274"/>
      <c r="DC49" s="1274"/>
      <c r="DD49" s="1274"/>
      <c r="DE49" s="1274"/>
      <c r="DF49" s="1274"/>
      <c r="DG49" s="1274"/>
      <c r="DH49" s="1274"/>
      <c r="DI49" s="1274"/>
      <c r="DJ49" s="1274"/>
      <c r="DK49" s="1274"/>
      <c r="DL49" s="1274"/>
      <c r="DM49" s="1274"/>
      <c r="DN49" s="1274"/>
      <c r="DO49" s="1274"/>
      <c r="DP49" s="1274"/>
      <c r="DQ49" s="1274"/>
      <c r="DR49" s="1274"/>
      <c r="DS49" s="1274"/>
      <c r="DT49" s="1274"/>
      <c r="DU49" s="1274"/>
      <c r="DV49" s="1274"/>
      <c r="DW49" s="1274"/>
      <c r="DX49" s="1274"/>
      <c r="DY49" s="1274"/>
      <c r="DZ49" s="1274"/>
      <c r="EA49" s="1274"/>
      <c r="EB49" s="1274"/>
      <c r="EC49" s="1274"/>
      <c r="ED49" s="1274"/>
      <c r="EE49" s="1274"/>
      <c r="EF49" s="1274"/>
      <c r="EG49" s="1274"/>
      <c r="EH49" s="1274"/>
      <c r="EI49" s="1274"/>
      <c r="EJ49" s="1274"/>
      <c r="EK49" s="1274"/>
      <c r="EL49" s="1274"/>
      <c r="EM49" s="1274"/>
      <c r="EN49" s="1274"/>
      <c r="EO49" s="1274"/>
      <c r="EP49" s="1274"/>
      <c r="EQ49" s="1274"/>
      <c r="ER49" s="1274"/>
      <c r="ES49" s="1274"/>
      <c r="ET49" s="1274"/>
      <c r="EU49" s="1274"/>
      <c r="EV49" s="1274"/>
      <c r="EW49" s="1274"/>
      <c r="EX49" s="1274"/>
    </row>
    <row r="50" spans="1:154" s="549" customFormat="1">
      <c r="A50" s="546" t="s">
        <v>207</v>
      </c>
      <c r="B50" s="1091">
        <f t="shared" si="12"/>
        <v>39</v>
      </c>
      <c r="C50" s="1092" t="s">
        <v>774</v>
      </c>
      <c r="D50" s="1101">
        <v>72705177</v>
      </c>
      <c r="E50" s="1147">
        <v>36894</v>
      </c>
      <c r="F50" s="1149">
        <v>46188</v>
      </c>
      <c r="G50" s="1020"/>
      <c r="H50" s="1131" t="s">
        <v>258</v>
      </c>
      <c r="I50" s="549" t="s">
        <v>71</v>
      </c>
      <c r="J50" s="576">
        <v>2800</v>
      </c>
      <c r="K50" s="576"/>
      <c r="L50" s="1092">
        <v>30</v>
      </c>
      <c r="M50" s="1092"/>
      <c r="N50" s="1092"/>
      <c r="O50" s="1092">
        <f t="shared" si="0"/>
        <v>30</v>
      </c>
      <c r="P50" s="549">
        <v>8</v>
      </c>
      <c r="Q50" s="1092">
        <f t="shared" si="77"/>
        <v>240</v>
      </c>
      <c r="R50" s="1107">
        <f t="shared" si="1"/>
        <v>2800</v>
      </c>
      <c r="S50" s="923">
        <f t="shared" si="5"/>
        <v>0</v>
      </c>
      <c r="T50" s="829">
        <f t="shared" si="6"/>
        <v>0</v>
      </c>
      <c r="U50" s="576"/>
      <c r="V50" s="1107"/>
      <c r="W50" s="576">
        <f>H.E!L44</f>
        <v>0</v>
      </c>
      <c r="X50" s="576">
        <f>H.E!M44</f>
        <v>0</v>
      </c>
      <c r="Y50" s="576">
        <f>H.E!N44</f>
        <v>0</v>
      </c>
      <c r="Z50" s="1107"/>
      <c r="AA50" s="576"/>
      <c r="AB50" s="1107"/>
      <c r="AC50" s="829">
        <f t="shared" si="7"/>
        <v>0</v>
      </c>
      <c r="AD50" s="1107"/>
      <c r="AE50" s="1107"/>
      <c r="AF50" s="576"/>
      <c r="AG50" s="1107"/>
      <c r="AH50" s="1107"/>
      <c r="AI50" s="554"/>
      <c r="AJ50" s="576"/>
      <c r="AK50" s="1092"/>
      <c r="AL50" s="1104"/>
      <c r="AM50" s="576">
        <f t="shared" si="14"/>
        <v>2800</v>
      </c>
      <c r="AN50" s="1083">
        <f t="shared" si="8"/>
        <v>2792.2222222222222</v>
      </c>
      <c r="AO50" s="1108"/>
      <c r="AP50" s="576"/>
      <c r="AQ50" s="1100">
        <v>0.1</v>
      </c>
      <c r="AR50" s="576">
        <f>+AN50*AQ50</f>
        <v>279.22222222222223</v>
      </c>
      <c r="AS50" s="1100">
        <v>0</v>
      </c>
      <c r="AT50" s="576">
        <f t="shared" si="79"/>
        <v>0</v>
      </c>
      <c r="AU50" s="1100">
        <v>1.37E-2</v>
      </c>
      <c r="AV50" s="576">
        <f t="shared" si="80"/>
        <v>38.253444444444447</v>
      </c>
      <c r="AW50" s="1100">
        <f t="shared" si="84"/>
        <v>0.11370000000000001</v>
      </c>
      <c r="AX50" s="576">
        <f t="shared" si="85"/>
        <v>317.47566666666665</v>
      </c>
      <c r="AY50" s="576">
        <f>TARDANZA!K44</f>
        <v>0</v>
      </c>
      <c r="AZ50" s="576">
        <f>TARDANZA!L44</f>
        <v>7.7777777777777777</v>
      </c>
      <c r="BA50" s="1104">
        <v>1240</v>
      </c>
      <c r="BB50" s="829"/>
      <c r="BC50" s="576"/>
      <c r="BD50" s="576"/>
      <c r="BE50" s="576"/>
      <c r="BF50" s="576"/>
      <c r="BH50" s="845"/>
      <c r="BI50" s="829">
        <f t="shared" si="81"/>
        <v>1565.2534444444445</v>
      </c>
      <c r="BJ50" s="595">
        <f t="shared" si="82"/>
        <v>1234.7465555555555</v>
      </c>
      <c r="BK50" s="1099">
        <v>0.09</v>
      </c>
      <c r="BL50" s="595">
        <f>AN50*BK50</f>
        <v>251.29999999999998</v>
      </c>
      <c r="BM50" s="923">
        <v>4.2</v>
      </c>
      <c r="BN50" s="1091"/>
      <c r="BO50" s="1206" t="s">
        <v>203</v>
      </c>
      <c r="BP50" s="1062"/>
      <c r="BQ50" s="1062"/>
      <c r="BS50" s="554"/>
      <c r="BT50" s="1175"/>
      <c r="BU50" s="546" t="s">
        <v>203</v>
      </c>
    </row>
    <row r="51" spans="1:154" s="550" customFormat="1">
      <c r="A51" s="546" t="s">
        <v>207</v>
      </c>
      <c r="B51" s="1091">
        <f t="shared" si="12"/>
        <v>40</v>
      </c>
      <c r="C51" s="1092" t="s">
        <v>775</v>
      </c>
      <c r="D51" s="1101">
        <v>72368094</v>
      </c>
      <c r="E51" s="1147">
        <v>37634</v>
      </c>
      <c r="F51" s="1149">
        <v>46188</v>
      </c>
      <c r="G51" s="1020"/>
      <c r="H51" s="1131" t="s">
        <v>795</v>
      </c>
      <c r="I51" s="549" t="s">
        <v>73</v>
      </c>
      <c r="J51" s="576">
        <v>1400</v>
      </c>
      <c r="K51" s="576"/>
      <c r="L51" s="1092">
        <v>30</v>
      </c>
      <c r="M51" s="1092"/>
      <c r="N51" s="1092"/>
      <c r="O51" s="1092">
        <f t="shared" si="0"/>
        <v>30</v>
      </c>
      <c r="P51" s="549">
        <v>8</v>
      </c>
      <c r="Q51" s="1092">
        <f t="shared" si="74"/>
        <v>240</v>
      </c>
      <c r="R51" s="1107">
        <f t="shared" si="1"/>
        <v>1400</v>
      </c>
      <c r="S51" s="923">
        <f t="shared" si="5"/>
        <v>0</v>
      </c>
      <c r="T51" s="829">
        <f t="shared" si="6"/>
        <v>0</v>
      </c>
      <c r="U51" s="576"/>
      <c r="V51" s="1107"/>
      <c r="W51" s="576">
        <f>H.E!L45</f>
        <v>0</v>
      </c>
      <c r="X51" s="576">
        <f>H.E!M45</f>
        <v>0</v>
      </c>
      <c r="Y51" s="576">
        <f>H.E!N45</f>
        <v>0</v>
      </c>
      <c r="Z51" s="1107"/>
      <c r="AA51" s="576"/>
      <c r="AB51" s="1107"/>
      <c r="AC51" s="829">
        <f t="shared" si="7"/>
        <v>0</v>
      </c>
      <c r="AD51" s="1107"/>
      <c r="AE51" s="1107"/>
      <c r="AF51" s="576"/>
      <c r="AG51" s="1107"/>
      <c r="AH51" s="1107"/>
      <c r="AI51" s="554"/>
      <c r="AJ51" s="576"/>
      <c r="AK51" s="1092"/>
      <c r="AL51" s="1104"/>
      <c r="AM51" s="576">
        <f t="shared" si="14"/>
        <v>1400</v>
      </c>
      <c r="AN51" s="1083">
        <f t="shared" si="8"/>
        <v>1391.7361111111111</v>
      </c>
      <c r="AO51" s="1108"/>
      <c r="AP51" s="576"/>
      <c r="AQ51" s="1100">
        <v>0.1</v>
      </c>
      <c r="AR51" s="576">
        <f>+AN51*AQ51</f>
        <v>139.17361111111111</v>
      </c>
      <c r="AS51" s="1100">
        <v>0</v>
      </c>
      <c r="AT51" s="576">
        <f>+AN51*AS51</f>
        <v>0</v>
      </c>
      <c r="AU51" s="1100">
        <v>1.37E-2</v>
      </c>
      <c r="AV51" s="576">
        <f t="shared" si="80"/>
        <v>19.066784722222224</v>
      </c>
      <c r="AW51" s="1100">
        <f t="shared" si="84"/>
        <v>0.11370000000000001</v>
      </c>
      <c r="AX51" s="576">
        <f t="shared" si="85"/>
        <v>158.24039583333334</v>
      </c>
      <c r="AY51" s="576">
        <f>TARDANZA!K45</f>
        <v>0</v>
      </c>
      <c r="AZ51" s="576">
        <f>TARDANZA!L45</f>
        <v>8.2638888888888893</v>
      </c>
      <c r="BA51" s="1104">
        <v>620</v>
      </c>
      <c r="BB51" s="829"/>
      <c r="BC51" s="576"/>
      <c r="BD51" s="576"/>
      <c r="BE51" s="576"/>
      <c r="BF51" s="576"/>
      <c r="BG51" s="549"/>
      <c r="BH51" s="845"/>
      <c r="BI51" s="829">
        <f t="shared" si="86"/>
        <v>786.50428472222222</v>
      </c>
      <c r="BJ51" s="595">
        <f t="shared" ref="BJ51:BJ53" si="88">(+AM51-BI51)</f>
        <v>613.49571527777778</v>
      </c>
      <c r="BK51" s="1099">
        <v>0.09</v>
      </c>
      <c r="BL51" s="595">
        <f>AN51*BK51</f>
        <v>125.25624999999999</v>
      </c>
      <c r="BM51" s="923">
        <v>2.1</v>
      </c>
      <c r="BN51" s="1091"/>
      <c r="BO51" s="1206" t="s">
        <v>203</v>
      </c>
      <c r="BP51" s="551"/>
      <c r="BQ51" s="551"/>
      <c r="BS51" s="554"/>
      <c r="BT51" s="1175"/>
      <c r="BU51" s="546" t="s">
        <v>203</v>
      </c>
    </row>
    <row r="52" spans="1:154" s="550" customFormat="1" ht="12.75" customHeight="1">
      <c r="A52" s="546" t="s">
        <v>773</v>
      </c>
      <c r="B52" s="1091">
        <f t="shared" si="12"/>
        <v>41</v>
      </c>
      <c r="C52" s="1092" t="s">
        <v>776</v>
      </c>
      <c r="D52" s="1101">
        <v>70351677</v>
      </c>
      <c r="E52" s="1147">
        <v>35876</v>
      </c>
      <c r="F52" s="1149">
        <v>46188</v>
      </c>
      <c r="G52" s="1020"/>
      <c r="H52" s="1131" t="s">
        <v>778</v>
      </c>
      <c r="I52" s="549" t="s">
        <v>71</v>
      </c>
      <c r="J52" s="576">
        <v>2000</v>
      </c>
      <c r="K52" s="576"/>
      <c r="L52" s="1092">
        <v>30</v>
      </c>
      <c r="M52" s="1092">
        <v>1</v>
      </c>
      <c r="N52" s="1092"/>
      <c r="O52" s="1092">
        <f t="shared" si="0"/>
        <v>29</v>
      </c>
      <c r="P52" s="549">
        <v>8</v>
      </c>
      <c r="Q52" s="1092">
        <f t="shared" si="77"/>
        <v>232</v>
      </c>
      <c r="R52" s="1107">
        <f t="shared" si="1"/>
        <v>1933.3333333333333</v>
      </c>
      <c r="S52" s="923">
        <f t="shared" si="5"/>
        <v>0</v>
      </c>
      <c r="T52" s="829">
        <f t="shared" si="6"/>
        <v>66.666666666666671</v>
      </c>
      <c r="U52" s="576"/>
      <c r="V52" s="1107"/>
      <c r="W52" s="576">
        <f>H.E!L46</f>
        <v>0</v>
      </c>
      <c r="X52" s="576">
        <f>H.E!M46</f>
        <v>0</v>
      </c>
      <c r="Y52" s="576">
        <f>H.E!N46</f>
        <v>0</v>
      </c>
      <c r="Z52" s="1107"/>
      <c r="AA52" s="576"/>
      <c r="AB52" s="1107"/>
      <c r="AC52" s="829">
        <f t="shared" si="7"/>
        <v>0</v>
      </c>
      <c r="AD52" s="1107"/>
      <c r="AE52" s="1107"/>
      <c r="AF52" s="576"/>
      <c r="AG52" s="1107"/>
      <c r="AH52" s="1107"/>
      <c r="AI52" s="554"/>
      <c r="AJ52" s="576"/>
      <c r="AK52" s="1092"/>
      <c r="AL52" s="1104"/>
      <c r="AM52" s="576">
        <f t="shared" si="14"/>
        <v>2000</v>
      </c>
      <c r="AN52" s="1083">
        <f t="shared" si="8"/>
        <v>2000</v>
      </c>
      <c r="AO52" s="1108"/>
      <c r="AP52" s="576"/>
      <c r="AQ52" s="1100">
        <v>0.1</v>
      </c>
      <c r="AR52" s="1104">
        <f t="shared" ref="AR52:AR53" si="89">+AN52*AQ52</f>
        <v>200</v>
      </c>
      <c r="AS52" s="1100">
        <v>0</v>
      </c>
      <c r="AT52" s="576">
        <f t="shared" si="79"/>
        <v>0</v>
      </c>
      <c r="AU52" s="1100">
        <v>1.37E-2</v>
      </c>
      <c r="AV52" s="576">
        <f t="shared" si="80"/>
        <v>27.400000000000002</v>
      </c>
      <c r="AW52" s="1100">
        <f t="shared" si="84"/>
        <v>0.11370000000000001</v>
      </c>
      <c r="AX52" s="576">
        <f t="shared" si="85"/>
        <v>227.4</v>
      </c>
      <c r="AY52" s="576">
        <f>TARDANZA!K46</f>
        <v>0</v>
      </c>
      <c r="AZ52" s="576">
        <f>TARDANZA!L46</f>
        <v>0</v>
      </c>
      <c r="BA52" s="1104">
        <v>880</v>
      </c>
      <c r="BB52" s="829"/>
      <c r="BC52" s="576"/>
      <c r="BD52" s="576"/>
      <c r="BE52" s="576"/>
      <c r="BF52" s="576"/>
      <c r="BG52" s="549"/>
      <c r="BH52" s="845"/>
      <c r="BI52" s="829">
        <f>+AX52+SUM(AY52:BH52)+AP52</f>
        <v>1107.4000000000001</v>
      </c>
      <c r="BJ52" s="595">
        <f>(+AM52-BI52)</f>
        <v>892.59999999999991</v>
      </c>
      <c r="BK52" s="1099">
        <v>0.09</v>
      </c>
      <c r="BL52" s="595">
        <f>AN52*BK52</f>
        <v>180</v>
      </c>
      <c r="BM52" s="923">
        <v>3</v>
      </c>
      <c r="BN52" s="1091"/>
      <c r="BO52" s="1206" t="s">
        <v>210</v>
      </c>
      <c r="BP52" s="588"/>
      <c r="BQ52" s="588"/>
      <c r="BS52" s="554"/>
      <c r="BT52" s="1175"/>
      <c r="BU52" s="546" t="s">
        <v>210</v>
      </c>
    </row>
    <row r="53" spans="1:154" s="550" customFormat="1" ht="13.5" customHeight="1">
      <c r="A53" s="546" t="s">
        <v>225</v>
      </c>
      <c r="B53" s="1091">
        <f t="shared" si="12"/>
        <v>42</v>
      </c>
      <c r="C53" s="1092" t="s">
        <v>777</v>
      </c>
      <c r="D53" s="1101">
        <v>71473884</v>
      </c>
      <c r="E53" s="1147">
        <v>35473</v>
      </c>
      <c r="F53" s="1149">
        <v>46195</v>
      </c>
      <c r="G53" s="1020"/>
      <c r="H53" s="1131" t="s">
        <v>250</v>
      </c>
      <c r="I53" s="549" t="s">
        <v>72</v>
      </c>
      <c r="J53" s="576">
        <v>1200</v>
      </c>
      <c r="K53" s="576">
        <v>113</v>
      </c>
      <c r="L53" s="1092">
        <v>30</v>
      </c>
      <c r="M53" s="1092"/>
      <c r="N53" s="1092"/>
      <c r="O53" s="1092">
        <f t="shared" si="0"/>
        <v>30</v>
      </c>
      <c r="P53" s="549">
        <v>8</v>
      </c>
      <c r="Q53" s="1092">
        <f t="shared" si="74"/>
        <v>240</v>
      </c>
      <c r="R53" s="1107">
        <f t="shared" si="1"/>
        <v>1200</v>
      </c>
      <c r="S53" s="923">
        <f t="shared" si="5"/>
        <v>113</v>
      </c>
      <c r="T53" s="829">
        <f t="shared" si="6"/>
        <v>0</v>
      </c>
      <c r="U53" s="576"/>
      <c r="V53" s="1107"/>
      <c r="W53" s="576">
        <f>H.E!L47</f>
        <v>45.026041666666671</v>
      </c>
      <c r="X53" s="576">
        <f>H.E!M47</f>
        <v>18.703125000000004</v>
      </c>
      <c r="Y53" s="576">
        <f>H.E!N47</f>
        <v>177.33333333333334</v>
      </c>
      <c r="Z53" s="1107"/>
      <c r="AA53" s="576"/>
      <c r="AB53" s="1107"/>
      <c r="AC53" s="829">
        <f t="shared" si="7"/>
        <v>0</v>
      </c>
      <c r="AD53" s="1107"/>
      <c r="AE53" s="1107"/>
      <c r="AF53" s="576"/>
      <c r="AG53" s="1107"/>
      <c r="AH53" s="1107"/>
      <c r="AI53" s="554"/>
      <c r="AJ53" s="576"/>
      <c r="AK53" s="1092"/>
      <c r="AL53" s="1104"/>
      <c r="AM53" s="576">
        <f t="shared" si="14"/>
        <v>1554.0625</v>
      </c>
      <c r="AN53" s="1083">
        <f t="shared" si="8"/>
        <v>1550.5064583333333</v>
      </c>
      <c r="AO53" s="1108"/>
      <c r="AP53" s="576"/>
      <c r="AQ53" s="1100">
        <v>0.1</v>
      </c>
      <c r="AR53" s="1104">
        <f t="shared" si="89"/>
        <v>155.05064583333333</v>
      </c>
      <c r="AS53" s="1100">
        <v>0</v>
      </c>
      <c r="AT53" s="576">
        <f t="shared" si="79"/>
        <v>0</v>
      </c>
      <c r="AU53" s="1100">
        <v>1.37E-2</v>
      </c>
      <c r="AV53" s="576">
        <f t="shared" si="80"/>
        <v>21.241938479166667</v>
      </c>
      <c r="AW53" s="1100">
        <f t="shared" si="84"/>
        <v>0.11370000000000001</v>
      </c>
      <c r="AX53" s="576">
        <f t="shared" si="85"/>
        <v>176.2925843125</v>
      </c>
      <c r="AY53" s="576">
        <f>TARDANZA!K47</f>
        <v>0</v>
      </c>
      <c r="AZ53" s="576">
        <f>TARDANZA!L47</f>
        <v>3.5560416666666668</v>
      </c>
      <c r="BA53" s="1104">
        <v>580</v>
      </c>
      <c r="BB53" s="829"/>
      <c r="BC53" s="576"/>
      <c r="BD53" s="576"/>
      <c r="BE53" s="576"/>
      <c r="BF53" s="576"/>
      <c r="BG53" s="549"/>
      <c r="BH53" s="845"/>
      <c r="BI53" s="829">
        <f t="shared" si="86"/>
        <v>759.84862597916674</v>
      </c>
      <c r="BJ53" s="595">
        <f t="shared" si="88"/>
        <v>794.21387402083326</v>
      </c>
      <c r="BK53" s="1099">
        <v>0.09</v>
      </c>
      <c r="BL53" s="595">
        <f>AN53*BK53</f>
        <v>139.54558125</v>
      </c>
      <c r="BM53" s="923">
        <v>1.8</v>
      </c>
      <c r="BN53" s="1091"/>
      <c r="BO53" s="1206" t="s">
        <v>203</v>
      </c>
      <c r="BP53" s="588"/>
      <c r="BQ53" s="588"/>
      <c r="BS53" s="554"/>
      <c r="BT53" s="1175"/>
      <c r="BU53" s="546" t="s">
        <v>203</v>
      </c>
    </row>
    <row r="54" spans="1:154" s="550" customFormat="1" ht="13.5" customHeight="1">
      <c r="A54" s="546" t="s">
        <v>200</v>
      </c>
      <c r="B54" s="1091">
        <f t="shared" si="12"/>
        <v>43</v>
      </c>
      <c r="C54" s="1092" t="s">
        <v>807</v>
      </c>
      <c r="D54" s="1101">
        <v>41782489</v>
      </c>
      <c r="E54" s="1147">
        <v>30375</v>
      </c>
      <c r="F54" s="1149">
        <v>46204</v>
      </c>
      <c r="G54" s="1020"/>
      <c r="H54" s="1131" t="s">
        <v>276</v>
      </c>
      <c r="I54" s="549" t="s">
        <v>71</v>
      </c>
      <c r="J54" s="576">
        <v>2000</v>
      </c>
      <c r="K54" s="576"/>
      <c r="L54" s="1092">
        <v>30</v>
      </c>
      <c r="M54" s="1092"/>
      <c r="N54" s="1092"/>
      <c r="O54" s="1092">
        <f t="shared" ref="O54" si="90">+L54-M54-N54</f>
        <v>30</v>
      </c>
      <c r="P54" s="549">
        <v>8</v>
      </c>
      <c r="Q54" s="1092">
        <f t="shared" ref="Q54" si="91">+O54*P54</f>
        <v>240</v>
      </c>
      <c r="R54" s="1107">
        <f>+J54-AC54-T54</f>
        <v>2000</v>
      </c>
      <c r="S54" s="923"/>
      <c r="T54" s="829">
        <f t="shared" si="6"/>
        <v>0</v>
      </c>
      <c r="U54" s="576">
        <f>COMISIONES!J11</f>
        <v>72.720749999999995</v>
      </c>
      <c r="V54" s="1107"/>
      <c r="W54" s="576">
        <f>H.E!L48</f>
        <v>0</v>
      </c>
      <c r="X54" s="576">
        <f>H.E!M48</f>
        <v>0</v>
      </c>
      <c r="Y54" s="576">
        <f>H.E!N48</f>
        <v>0</v>
      </c>
      <c r="Z54" s="1107"/>
      <c r="AA54" s="576"/>
      <c r="AB54" s="1107"/>
      <c r="AC54" s="829">
        <f t="shared" si="7"/>
        <v>0</v>
      </c>
      <c r="AD54" s="1107"/>
      <c r="AE54" s="1107"/>
      <c r="AF54" s="576"/>
      <c r="AG54" s="1107"/>
      <c r="AH54" s="1107"/>
      <c r="AI54" s="554"/>
      <c r="AJ54" s="576"/>
      <c r="AK54" s="1092"/>
      <c r="AL54" s="1104"/>
      <c r="AM54" s="576">
        <f t="shared" ref="AM54" si="92">SUM(R54:AK54)-AL54</f>
        <v>2072.72075</v>
      </c>
      <c r="AN54" s="1083">
        <f t="shared" ref="AN54" si="93">+AM54-Z54-AD54-AE54-AF54-AG54-AJ54-AK54-AI54-AY54-AZ54</f>
        <v>2070.4985277777778</v>
      </c>
      <c r="AO54" s="1108"/>
      <c r="AP54" s="576"/>
      <c r="AQ54" s="1100">
        <v>0.1</v>
      </c>
      <c r="AR54" s="1104">
        <f t="shared" ref="AR54" si="94">+AN54*AQ54</f>
        <v>207.0498527777778</v>
      </c>
      <c r="AS54" s="1100">
        <v>0</v>
      </c>
      <c r="AT54" s="576">
        <f t="shared" ref="AT54" si="95">+AN54*AS54</f>
        <v>0</v>
      </c>
      <c r="AU54" s="1100">
        <v>1.37E-2</v>
      </c>
      <c r="AV54" s="576">
        <f t="shared" ref="AV54" si="96">+AN54*AU54</f>
        <v>28.365829830555555</v>
      </c>
      <c r="AW54" s="1100">
        <f t="shared" ref="AW54" si="97">+AQ54+AS54+AU54</f>
        <v>0.11370000000000001</v>
      </c>
      <c r="AX54" s="576">
        <f t="shared" ref="AX54" si="98">+AR54+AT54+AV54</f>
        <v>235.41568260833336</v>
      </c>
      <c r="AY54" s="576">
        <f>TARDANZA!K48</f>
        <v>0</v>
      </c>
      <c r="AZ54" s="576">
        <f>TARDANZA!L48</f>
        <v>2.2222222222222223</v>
      </c>
      <c r="BA54" s="1104">
        <v>880</v>
      </c>
      <c r="BB54" s="829"/>
      <c r="BC54" s="576"/>
      <c r="BD54" s="576"/>
      <c r="BE54" s="576"/>
      <c r="BF54" s="576"/>
      <c r="BG54" s="549"/>
      <c r="BH54" s="845"/>
      <c r="BI54" s="829">
        <f t="shared" ref="BI54" si="99">+AX54+SUM(AY54:BH54)+AP54</f>
        <v>1117.6379048305555</v>
      </c>
      <c r="BJ54" s="595">
        <f t="shared" ref="BJ54" si="100">(+AM54-BI54)</f>
        <v>955.08284516944445</v>
      </c>
      <c r="BK54" s="1099">
        <v>0.09</v>
      </c>
      <c r="BL54" s="595">
        <f>AN54*BK54</f>
        <v>186.34486749999999</v>
      </c>
      <c r="BM54" s="923">
        <v>7.8</v>
      </c>
      <c r="BN54" s="1091"/>
      <c r="BO54" s="1206" t="s">
        <v>203</v>
      </c>
      <c r="BP54" s="588"/>
      <c r="BQ54" s="588"/>
      <c r="BS54" s="554"/>
      <c r="BT54" s="1175"/>
      <c r="BU54" s="546" t="s">
        <v>203</v>
      </c>
    </row>
    <row r="55" spans="1:154" s="549" customFormat="1" ht="12.75" thickBot="1">
      <c r="A55" s="546"/>
      <c r="B55" s="1146"/>
      <c r="C55" s="582"/>
      <c r="D55" s="1133"/>
      <c r="E55" s="1134"/>
      <c r="F55" s="1135"/>
      <c r="G55" s="1136"/>
      <c r="H55" s="1137"/>
      <c r="I55" s="582"/>
      <c r="J55" s="1138"/>
      <c r="K55" s="1138"/>
      <c r="L55" s="1139"/>
      <c r="M55" s="1139"/>
      <c r="N55" s="1139"/>
      <c r="O55" s="1140"/>
      <c r="P55" s="1141"/>
      <c r="Q55" s="1139"/>
      <c r="R55" s="1142"/>
      <c r="S55" s="1353"/>
      <c r="T55" s="1138"/>
      <c r="U55" s="1138"/>
      <c r="V55" s="576"/>
      <c r="W55" s="1107"/>
      <c r="X55" s="576"/>
      <c r="Y55" s="576"/>
      <c r="Z55" s="576"/>
      <c r="AA55" s="576"/>
      <c r="AB55" s="576"/>
      <c r="AC55" s="829">
        <f t="shared" si="7"/>
        <v>0</v>
      </c>
      <c r="AD55" s="576"/>
      <c r="AE55" s="576"/>
      <c r="AF55" s="1138"/>
      <c r="AG55" s="1138"/>
      <c r="AH55" s="1138"/>
      <c r="AI55" s="554"/>
      <c r="AJ55" s="1138"/>
      <c r="AK55" s="576"/>
      <c r="AL55" s="576"/>
      <c r="AM55" s="576"/>
      <c r="AN55" s="1083"/>
      <c r="AO55" s="1099"/>
      <c r="AP55" s="576"/>
      <c r="AQ55" s="1100"/>
      <c r="AR55" s="1104"/>
      <c r="AS55" s="1100"/>
      <c r="AT55" s="595"/>
      <c r="AU55" s="1100"/>
      <c r="AV55" s="576"/>
      <c r="AW55" s="1100"/>
      <c r="AX55" s="576"/>
      <c r="AY55" s="576"/>
      <c r="AZ55" s="576"/>
      <c r="BA55" s="1104"/>
      <c r="BB55" s="1138"/>
      <c r="BC55" s="576"/>
      <c r="BD55" s="576"/>
      <c r="BE55" s="576"/>
      <c r="BF55" s="576"/>
      <c r="BG55" s="576"/>
      <c r="BH55" s="829"/>
      <c r="BI55" s="829">
        <f t="shared" ref="BI55" si="101">+AX55+SUM(AY55:BH55)+AP55</f>
        <v>0</v>
      </c>
      <c r="BJ55" s="595"/>
      <c r="BK55" s="1099"/>
      <c r="BL55" s="576"/>
      <c r="BM55" s="923"/>
      <c r="BN55" s="1132"/>
      <c r="BO55" s="1207"/>
      <c r="BP55" s="1062"/>
      <c r="BQ55" s="1062"/>
      <c r="BR55" s="543"/>
      <c r="BS55" s="554"/>
      <c r="BT55" s="835">
        <v>0</v>
      </c>
      <c r="BU55" s="546"/>
      <c r="BV55" s="543"/>
      <c r="BW55" s="543"/>
      <c r="BX55" s="543"/>
      <c r="BY55" s="543"/>
      <c r="BZ55" s="543"/>
      <c r="CA55" s="543"/>
      <c r="CB55" s="543"/>
      <c r="CC55" s="543"/>
      <c r="CD55" s="543"/>
      <c r="CE55" s="543"/>
      <c r="CF55" s="543"/>
      <c r="CG55" s="543"/>
      <c r="CH55" s="543"/>
      <c r="CI55" s="543"/>
      <c r="CJ55" s="543"/>
      <c r="CK55" s="543"/>
      <c r="CL55" s="543"/>
      <c r="CM55" s="543"/>
      <c r="CN55" s="543"/>
      <c r="CO55" s="543"/>
      <c r="CP55" s="543"/>
      <c r="CQ55" s="543"/>
      <c r="CR55" s="543"/>
      <c r="CS55" s="543"/>
      <c r="CT55" s="543"/>
      <c r="CU55" s="543"/>
      <c r="CV55" s="543"/>
      <c r="CW55" s="543"/>
      <c r="CX55" s="543"/>
      <c r="CY55" s="543"/>
      <c r="CZ55" s="543"/>
      <c r="DA55" s="543"/>
      <c r="DB55" s="543"/>
      <c r="DC55" s="543"/>
      <c r="DD55" s="543"/>
      <c r="DE55" s="543"/>
      <c r="DF55" s="543"/>
      <c r="DG55" s="543"/>
      <c r="DH55" s="543"/>
      <c r="DI55" s="543"/>
      <c r="DJ55" s="543"/>
      <c r="DK55" s="543"/>
      <c r="DL55" s="543"/>
      <c r="DM55" s="543"/>
      <c r="DN55" s="543"/>
      <c r="DO55" s="543"/>
      <c r="DP55" s="543"/>
      <c r="DQ55" s="543"/>
      <c r="DR55" s="543"/>
      <c r="DS55" s="543"/>
      <c r="DT55" s="543"/>
      <c r="DU55" s="543"/>
      <c r="DV55" s="543"/>
      <c r="DW55" s="543"/>
      <c r="DX55" s="543"/>
      <c r="DY55" s="543"/>
      <c r="DZ55" s="543"/>
      <c r="EA55" s="543"/>
      <c r="EB55" s="543"/>
      <c r="EC55" s="543"/>
      <c r="ED55" s="543"/>
      <c r="EE55" s="543"/>
      <c r="EF55" s="543"/>
      <c r="EG55" s="543"/>
      <c r="EH55" s="543"/>
      <c r="EI55" s="543"/>
      <c r="EJ55" s="543"/>
      <c r="EK55" s="543"/>
      <c r="EL55" s="543"/>
      <c r="EM55" s="543"/>
      <c r="EN55" s="543"/>
      <c r="EO55" s="543"/>
      <c r="EP55" s="543"/>
      <c r="EQ55" s="543"/>
      <c r="ER55" s="543"/>
      <c r="ES55" s="543"/>
      <c r="ET55" s="543"/>
      <c r="EU55" s="543"/>
      <c r="EV55" s="543"/>
      <c r="EW55" s="543"/>
      <c r="EX55" s="543"/>
    </row>
    <row r="56" spans="1:154" s="549" customFormat="1" ht="12.75" thickBot="1">
      <c r="A56" s="546"/>
      <c r="B56" s="550"/>
      <c r="C56" s="550"/>
      <c r="D56" s="550"/>
      <c r="E56" s="550"/>
      <c r="F56" s="550"/>
      <c r="G56" s="550"/>
      <c r="H56" s="550"/>
      <c r="I56" s="550"/>
      <c r="J56" s="1081">
        <f>SUM(J12:J55)</f>
        <v>125150</v>
      </c>
      <c r="K56" s="1081">
        <f>SUM(K12:K55)</f>
        <v>1808</v>
      </c>
      <c r="L56" s="550"/>
      <c r="M56" s="550"/>
      <c r="N56" s="550"/>
      <c r="O56" s="550"/>
      <c r="P56" s="550"/>
      <c r="Q56" s="550"/>
      <c r="R56" s="1081">
        <f t="shared" ref="R56:Z56" si="102">SUM(R12:R55)</f>
        <v>113404.53333333333</v>
      </c>
      <c r="S56" s="1354">
        <f t="shared" si="102"/>
        <v>1808</v>
      </c>
      <c r="T56" s="1081">
        <f t="shared" si="102"/>
        <v>1986.6666666666667</v>
      </c>
      <c r="U56" s="1081">
        <f t="shared" si="102"/>
        <v>31418.043700000006</v>
      </c>
      <c r="V56" s="585">
        <f t="shared" si="102"/>
        <v>2161.4637441506593</v>
      </c>
      <c r="W56" s="585">
        <f t="shared" si="102"/>
        <v>532.98437499999989</v>
      </c>
      <c r="X56" s="585">
        <f t="shared" si="102"/>
        <v>226.11656249999999</v>
      </c>
      <c r="Y56" s="585">
        <f t="shared" si="102"/>
        <v>1869.1999999999998</v>
      </c>
      <c r="Z56" s="585">
        <f t="shared" si="102"/>
        <v>573.91304347826087</v>
      </c>
      <c r="AA56" s="585">
        <f>SUM(AA12:AA55)</f>
        <v>0</v>
      </c>
      <c r="AB56" s="585"/>
      <c r="AC56" s="585">
        <f t="shared" ref="AC56:AN56" si="103">SUM(AC12:AC55)</f>
        <v>8358.7999999999993</v>
      </c>
      <c r="AD56" s="585">
        <f t="shared" si="103"/>
        <v>0</v>
      </c>
      <c r="AE56" s="585">
        <f t="shared" si="103"/>
        <v>0</v>
      </c>
      <c r="AF56" s="585">
        <f t="shared" si="103"/>
        <v>135766.66440087336</v>
      </c>
      <c r="AG56" s="585">
        <f t="shared" si="103"/>
        <v>12218.999796078602</v>
      </c>
      <c r="AH56" s="585">
        <f t="shared" si="103"/>
        <v>1440</v>
      </c>
      <c r="AI56" s="585">
        <f t="shared" si="103"/>
        <v>0</v>
      </c>
      <c r="AJ56" s="585">
        <f t="shared" si="103"/>
        <v>0</v>
      </c>
      <c r="AK56" s="585">
        <f t="shared" si="103"/>
        <v>0</v>
      </c>
      <c r="AL56" s="585">
        <f t="shared" si="103"/>
        <v>0</v>
      </c>
      <c r="AM56" s="585">
        <f t="shared" si="103"/>
        <v>311765.38562208082</v>
      </c>
      <c r="AN56" s="585">
        <f t="shared" si="103"/>
        <v>162531.56352053955</v>
      </c>
      <c r="AO56" s="585"/>
      <c r="AP56" s="585">
        <f>SUM(AP12:AP55)</f>
        <v>3654.0754482540874</v>
      </c>
      <c r="AQ56" s="585"/>
      <c r="AR56" s="585">
        <f>SUM(AR12:AR55)</f>
        <v>13442.329084166196</v>
      </c>
      <c r="AS56" s="585"/>
      <c r="AT56" s="585">
        <f>SUM(AT12:AT55)</f>
        <v>513.87263590424902</v>
      </c>
      <c r="AU56" s="585"/>
      <c r="AV56" s="585">
        <f>SUM(AV12:AV55)</f>
        <v>1726.4361344557692</v>
      </c>
      <c r="AW56" s="585"/>
      <c r="AX56" s="585">
        <f t="shared" ref="AX56:BJ56" si="104">SUM(AX12:AX55)</f>
        <v>15682.637854526214</v>
      </c>
      <c r="AY56" s="1150">
        <f t="shared" si="104"/>
        <v>0</v>
      </c>
      <c r="AZ56" s="1150">
        <f t="shared" si="104"/>
        <v>674.24486111111116</v>
      </c>
      <c r="BA56" s="585">
        <f t="shared" si="104"/>
        <v>7725</v>
      </c>
      <c r="BB56" s="585">
        <f t="shared" si="104"/>
        <v>147985.66419695196</v>
      </c>
      <c r="BC56" s="585">
        <f t="shared" si="104"/>
        <v>3700</v>
      </c>
      <c r="BD56" s="585">
        <f t="shared" si="104"/>
        <v>1337.34</v>
      </c>
      <c r="BE56" s="1150">
        <f ca="1">SUM(BE12:BE55)</f>
        <v>1669.6712769492246</v>
      </c>
      <c r="BF56" s="585">
        <f t="shared" si="104"/>
        <v>0</v>
      </c>
      <c r="BG56" s="585">
        <f t="shared" si="104"/>
        <v>1976.66121</v>
      </c>
      <c r="BH56" s="1150">
        <f>SUM(BH12:BH55)</f>
        <v>12189.816085050603</v>
      </c>
      <c r="BI56" s="585">
        <f t="shared" ca="1" si="104"/>
        <v>196595.11093284321</v>
      </c>
      <c r="BJ56" s="585">
        <f t="shared" ca="1" si="104"/>
        <v>115170.27468923767</v>
      </c>
      <c r="BK56" s="585"/>
      <c r="BL56" s="585">
        <f>SUM(BL12:BL55)</f>
        <v>14627.840716848559</v>
      </c>
      <c r="BM56" s="743">
        <f>SUM(BM12:BM55)</f>
        <v>337.37820000000005</v>
      </c>
      <c r="BN56" s="832"/>
      <c r="BO56" s="586"/>
      <c r="BP56" s="1062"/>
      <c r="BQ56" s="1062"/>
      <c r="BR56" s="543"/>
      <c r="BS56" s="550"/>
      <c r="BT56" s="585">
        <f>SUM(BT12:BT55)</f>
        <v>0</v>
      </c>
      <c r="BU56" s="546"/>
      <c r="BV56" s="1130"/>
      <c r="BW56" s="1130"/>
      <c r="BX56" s="1084"/>
      <c r="BY56" s="1130"/>
      <c r="BZ56" s="1130"/>
      <c r="CA56" s="1130"/>
      <c r="CB56" s="543"/>
      <c r="CC56" s="543"/>
      <c r="CD56" s="543"/>
      <c r="CE56" s="543"/>
      <c r="CF56" s="543"/>
      <c r="CG56" s="543"/>
      <c r="CH56" s="543"/>
      <c r="CI56" s="543"/>
      <c r="CJ56" s="543"/>
      <c r="CK56" s="543"/>
      <c r="CL56" s="543"/>
      <c r="CM56" s="543"/>
      <c r="CN56" s="543"/>
      <c r="CO56" s="543"/>
      <c r="CP56" s="543"/>
      <c r="CQ56" s="543"/>
      <c r="CR56" s="543"/>
      <c r="CS56" s="543"/>
      <c r="CT56" s="543"/>
      <c r="CU56" s="543"/>
      <c r="CV56" s="543"/>
      <c r="CW56" s="543"/>
      <c r="CX56" s="543"/>
      <c r="CY56" s="543"/>
      <c r="CZ56" s="543"/>
      <c r="DA56" s="543"/>
      <c r="DB56" s="543"/>
      <c r="DC56" s="543"/>
      <c r="DD56" s="543"/>
      <c r="DE56" s="543"/>
      <c r="DF56" s="543"/>
      <c r="DG56" s="543"/>
      <c r="DH56" s="543"/>
      <c r="DI56" s="543"/>
      <c r="DJ56" s="543"/>
      <c r="DK56" s="543"/>
      <c r="DL56" s="543"/>
      <c r="DM56" s="543"/>
      <c r="DN56" s="543"/>
      <c r="DO56" s="543"/>
      <c r="DP56" s="543"/>
      <c r="DQ56" s="543"/>
      <c r="DR56" s="543"/>
      <c r="DS56" s="543"/>
      <c r="DT56" s="543"/>
      <c r="DU56" s="543"/>
      <c r="DV56" s="543"/>
      <c r="DW56" s="543"/>
      <c r="DX56" s="543"/>
      <c r="DY56" s="543"/>
      <c r="DZ56" s="543"/>
      <c r="EA56" s="543"/>
      <c r="EB56" s="543"/>
      <c r="EC56" s="543"/>
      <c r="ED56" s="543"/>
      <c r="EE56" s="543"/>
      <c r="EF56" s="543"/>
      <c r="EG56" s="543"/>
      <c r="EH56" s="543"/>
      <c r="EI56" s="543"/>
      <c r="EJ56" s="543"/>
      <c r="EK56" s="543"/>
      <c r="EL56" s="543"/>
      <c r="EM56" s="543"/>
      <c r="EN56" s="543"/>
      <c r="EO56" s="543"/>
      <c r="EP56" s="543"/>
      <c r="EQ56" s="543"/>
      <c r="ER56" s="543"/>
      <c r="ES56" s="543"/>
      <c r="ET56" s="543"/>
      <c r="EU56" s="543"/>
      <c r="EV56" s="543"/>
      <c r="EW56" s="543"/>
      <c r="EX56" s="543"/>
    </row>
    <row r="57" spans="1:154" s="549" customFormat="1">
      <c r="A57" s="546"/>
      <c r="B57" s="550"/>
      <c r="C57" s="550"/>
      <c r="D57" s="550"/>
      <c r="E57" s="550"/>
      <c r="F57" s="550"/>
      <c r="G57" s="550"/>
      <c r="H57" s="550"/>
      <c r="I57" s="550"/>
      <c r="J57" s="550"/>
      <c r="K57" s="550"/>
      <c r="L57" s="550"/>
      <c r="M57" s="550"/>
      <c r="N57" s="550"/>
      <c r="O57" s="550"/>
      <c r="P57" s="550"/>
      <c r="Q57" s="550"/>
      <c r="R57" s="551"/>
      <c r="S57" s="742"/>
      <c r="T57" s="551"/>
      <c r="U57" s="1086">
        <f>+COMISIONES!J12</f>
        <v>31418.043700000002</v>
      </c>
      <c r="V57" s="551">
        <f>VACACIONES!T12</f>
        <v>2161.4637441506593</v>
      </c>
      <c r="W57" s="551"/>
      <c r="X57" s="551"/>
      <c r="Y57" s="551"/>
      <c r="Z57" s="551"/>
      <c r="AA57" s="551"/>
      <c r="AB57" s="551"/>
      <c r="AC57" s="551"/>
      <c r="AD57" s="551"/>
      <c r="AE57" s="551"/>
      <c r="AF57" s="551"/>
      <c r="AG57" s="551"/>
      <c r="AH57" s="551"/>
      <c r="AI57" s="551"/>
      <c r="AJ57" s="551"/>
      <c r="AK57" s="551"/>
      <c r="AL57" s="551"/>
      <c r="AM57" s="551"/>
      <c r="AN57" s="551">
        <f>+AM56-AN56</f>
        <v>149233.82210154127</v>
      </c>
      <c r="AO57" s="551"/>
      <c r="AP57" s="551"/>
      <c r="AQ57" s="551"/>
      <c r="AR57" s="551"/>
      <c r="AS57" s="551"/>
      <c r="AT57" s="551"/>
      <c r="AU57" s="551"/>
      <c r="AV57" s="551"/>
      <c r="AW57" s="551"/>
      <c r="AX57" s="551"/>
      <c r="AY57" s="1086">
        <v>0</v>
      </c>
      <c r="AZ57" s="1086">
        <v>0</v>
      </c>
      <c r="BA57" s="551"/>
      <c r="BB57" s="553"/>
      <c r="BC57" s="553"/>
      <c r="BD57" s="553"/>
      <c r="BE57" s="1086">
        <f ca="1">-'HT. EPS'!Q53</f>
        <v>-1669.6712769492244</v>
      </c>
      <c r="BF57" s="553"/>
      <c r="BG57" s="551"/>
      <c r="BH57" s="1086">
        <f>-'RTA 5TA'!U115</f>
        <v>-12189.816085050601</v>
      </c>
      <c r="BI57" s="551"/>
      <c r="BJ57" s="551"/>
      <c r="BK57" s="587"/>
      <c r="BL57" s="551"/>
      <c r="BM57" s="742"/>
      <c r="BN57" s="742"/>
      <c r="BO57" s="588"/>
      <c r="BP57" s="1062"/>
      <c r="BQ57" s="1062"/>
      <c r="BR57" s="543"/>
      <c r="BS57" s="550"/>
      <c r="BT57" s="550"/>
      <c r="BU57" s="546"/>
      <c r="BV57" s="543"/>
      <c r="BW57" s="543"/>
      <c r="BX57" s="543"/>
      <c r="BY57" s="543"/>
      <c r="BZ57" s="543"/>
      <c r="CA57" s="543"/>
      <c r="CB57" s="543"/>
      <c r="CC57" s="543"/>
      <c r="CD57" s="543"/>
      <c r="CE57" s="543"/>
      <c r="CF57" s="543"/>
      <c r="CG57" s="543"/>
      <c r="CH57" s="543"/>
      <c r="CI57" s="543"/>
      <c r="CJ57" s="543"/>
      <c r="CK57" s="543"/>
      <c r="CL57" s="543"/>
      <c r="CM57" s="543"/>
      <c r="CN57" s="543"/>
      <c r="CO57" s="543"/>
      <c r="CP57" s="543"/>
      <c r="CQ57" s="543"/>
      <c r="CR57" s="543"/>
      <c r="CS57" s="543"/>
      <c r="CT57" s="543"/>
      <c r="CU57" s="543"/>
      <c r="CV57" s="543"/>
      <c r="CW57" s="543"/>
      <c r="CX57" s="543"/>
      <c r="CY57" s="543"/>
      <c r="CZ57" s="543"/>
      <c r="DA57" s="543"/>
      <c r="DB57" s="543"/>
      <c r="DC57" s="543"/>
      <c r="DD57" s="543"/>
      <c r="DE57" s="543"/>
      <c r="DF57" s="543"/>
      <c r="DG57" s="543"/>
      <c r="DH57" s="543"/>
      <c r="DI57" s="543"/>
      <c r="DJ57" s="543"/>
      <c r="DK57" s="543"/>
      <c r="DL57" s="543"/>
      <c r="DM57" s="543"/>
      <c r="DN57" s="543"/>
      <c r="DO57" s="543"/>
      <c r="DP57" s="543"/>
      <c r="DQ57" s="543"/>
      <c r="DR57" s="543"/>
      <c r="DS57" s="543"/>
      <c r="DT57" s="543"/>
      <c r="DU57" s="543"/>
      <c r="DV57" s="543"/>
      <c r="DW57" s="543"/>
      <c r="DX57" s="543"/>
      <c r="DY57" s="543"/>
      <c r="DZ57" s="543"/>
      <c r="EA57" s="543"/>
      <c r="EB57" s="543"/>
      <c r="EC57" s="543"/>
      <c r="ED57" s="543"/>
      <c r="EE57" s="543"/>
      <c r="EF57" s="543"/>
      <c r="EG57" s="543"/>
      <c r="EH57" s="543"/>
      <c r="EI57" s="543"/>
      <c r="EJ57" s="543"/>
      <c r="EK57" s="543"/>
      <c r="EL57" s="543"/>
      <c r="EM57" s="543"/>
      <c r="EN57" s="543"/>
      <c r="EO57" s="543"/>
      <c r="EP57" s="543"/>
      <c r="EQ57" s="543"/>
      <c r="ER57" s="543"/>
      <c r="ES57" s="543"/>
      <c r="ET57" s="543"/>
      <c r="EU57" s="543"/>
      <c r="EV57" s="543"/>
      <c r="EW57" s="543"/>
      <c r="EX57" s="543"/>
    </row>
    <row r="58" spans="1:154" s="549" customFormat="1" ht="12.75" thickBot="1">
      <c r="A58" s="546"/>
      <c r="B58" s="550"/>
      <c r="C58" s="550" t="s">
        <v>286</v>
      </c>
      <c r="D58" s="550"/>
      <c r="E58" s="550"/>
      <c r="F58" s="550"/>
      <c r="G58" s="550"/>
      <c r="H58" s="550"/>
      <c r="I58" s="550"/>
      <c r="J58" s="550"/>
      <c r="K58" s="550"/>
      <c r="L58" s="550"/>
      <c r="M58" s="550"/>
      <c r="N58" s="550"/>
      <c r="O58" s="550"/>
      <c r="P58" s="550"/>
      <c r="Q58" s="550"/>
      <c r="R58" s="551"/>
      <c r="S58" s="742"/>
      <c r="T58" s="551"/>
      <c r="U58" s="551"/>
      <c r="V58" s="551"/>
      <c r="W58" s="551"/>
      <c r="X58" s="551"/>
      <c r="Y58" s="551"/>
      <c r="Z58" s="551"/>
      <c r="AA58" s="551"/>
      <c r="AB58" s="551"/>
      <c r="AC58" s="551"/>
      <c r="AD58" s="551"/>
      <c r="AE58" s="551"/>
      <c r="AF58" s="551"/>
      <c r="AG58" s="551"/>
      <c r="AH58" s="551"/>
      <c r="AI58" s="551"/>
      <c r="AJ58" s="551"/>
      <c r="AK58" s="551"/>
      <c r="AL58" s="551"/>
      <c r="AM58" s="551"/>
      <c r="AN58" s="551"/>
      <c r="AO58" s="551"/>
      <c r="AP58" s="551"/>
      <c r="AQ58" s="551"/>
      <c r="AR58" s="551"/>
      <c r="AS58" s="551"/>
      <c r="AT58" s="551"/>
      <c r="AU58" s="551"/>
      <c r="AV58" s="551"/>
      <c r="AW58" s="551"/>
      <c r="AX58" s="551"/>
      <c r="AY58" s="551"/>
      <c r="AZ58" s="551"/>
      <c r="BA58" s="551"/>
      <c r="BB58" s="553"/>
      <c r="BC58" s="553"/>
      <c r="BD58" s="553"/>
      <c r="BE58" s="553"/>
      <c r="BF58" s="553"/>
      <c r="BG58" s="551"/>
      <c r="BH58" s="551">
        <f>+BH57+BH56</f>
        <v>0</v>
      </c>
      <c r="BI58" s="587"/>
      <c r="BJ58" s="551"/>
      <c r="BK58" s="587"/>
      <c r="BL58" s="551"/>
      <c r="BM58" s="742"/>
      <c r="BN58" s="742"/>
      <c r="BO58" s="588"/>
      <c r="BP58" s="1280" t="s">
        <v>808</v>
      </c>
      <c r="BQ58" s="1284" t="s">
        <v>809</v>
      </c>
      <c r="BR58" s="1283"/>
      <c r="BS58" s="1281">
        <v>590</v>
      </c>
      <c r="BT58" s="1281">
        <f>(2300/30*17)-BS58</f>
        <v>713.33333333333348</v>
      </c>
      <c r="BU58" s="782" t="s">
        <v>210</v>
      </c>
      <c r="BV58" s="1285" t="s">
        <v>810</v>
      </c>
      <c r="BW58" s="543"/>
      <c r="BX58" s="543"/>
      <c r="BY58" s="543"/>
      <c r="BZ58" s="543"/>
      <c r="CA58" s="543"/>
      <c r="CB58" s="543"/>
      <c r="CC58" s="543"/>
      <c r="CD58" s="543"/>
      <c r="CE58" s="543"/>
      <c r="CF58" s="543"/>
      <c r="CG58" s="543"/>
      <c r="CH58" s="543"/>
      <c r="CI58" s="543"/>
      <c r="CJ58" s="543"/>
      <c r="CK58" s="543"/>
      <c r="CL58" s="543"/>
      <c r="CM58" s="543"/>
      <c r="CN58" s="543"/>
      <c r="CO58" s="543"/>
      <c r="CP58" s="543"/>
      <c r="CQ58" s="543"/>
      <c r="CR58" s="543"/>
      <c r="CS58" s="543"/>
      <c r="CT58" s="543"/>
      <c r="CU58" s="543"/>
      <c r="CV58" s="543"/>
      <c r="CW58" s="543"/>
      <c r="CX58" s="543"/>
      <c r="CY58" s="543"/>
      <c r="CZ58" s="543"/>
      <c r="DA58" s="543"/>
      <c r="DB58" s="543"/>
      <c r="DC58" s="543"/>
      <c r="DD58" s="543"/>
      <c r="DE58" s="543"/>
      <c r="DF58" s="543"/>
      <c r="DG58" s="543"/>
      <c r="DH58" s="543"/>
      <c r="DI58" s="543"/>
      <c r="DJ58" s="543"/>
      <c r="DK58" s="543"/>
      <c r="DL58" s="543"/>
      <c r="DM58" s="543"/>
      <c r="DN58" s="543"/>
      <c r="DO58" s="543"/>
      <c r="DP58" s="543"/>
      <c r="DQ58" s="543"/>
      <c r="DR58" s="543"/>
      <c r="DS58" s="543"/>
      <c r="DT58" s="543"/>
      <c r="DU58" s="543"/>
      <c r="DV58" s="543"/>
      <c r="DW58" s="543"/>
      <c r="DX58" s="543"/>
      <c r="DY58" s="543"/>
      <c r="DZ58" s="543"/>
      <c r="EA58" s="543"/>
      <c r="EB58" s="543"/>
      <c r="EC58" s="543"/>
      <c r="ED58" s="543"/>
      <c r="EE58" s="543"/>
      <c r="EF58" s="543"/>
      <c r="EG58" s="543"/>
      <c r="EH58" s="543"/>
      <c r="EI58" s="543"/>
      <c r="EJ58" s="543"/>
      <c r="EK58" s="543"/>
      <c r="EL58" s="543"/>
      <c r="EM58" s="543"/>
      <c r="EN58" s="543"/>
      <c r="EO58" s="543"/>
      <c r="EP58" s="543"/>
      <c r="EQ58" s="543"/>
      <c r="ER58" s="543"/>
      <c r="ES58" s="543"/>
      <c r="ET58" s="543"/>
      <c r="EU58" s="543"/>
      <c r="EV58" s="543"/>
      <c r="EW58" s="543"/>
      <c r="EX58" s="543"/>
    </row>
    <row r="59" spans="1:154" s="549" customFormat="1">
      <c r="A59" s="546"/>
      <c r="B59" s="1302"/>
      <c r="C59" s="1303"/>
      <c r="D59" s="1304"/>
      <c r="E59" s="1305"/>
      <c r="F59" s="1305"/>
      <c r="G59" s="1305"/>
      <c r="H59" s="1306"/>
      <c r="I59" s="1307"/>
      <c r="J59" s="1308"/>
      <c r="K59" s="1308"/>
      <c r="L59" s="1307"/>
      <c r="M59" s="1307"/>
      <c r="N59" s="1307"/>
      <c r="O59" s="1307"/>
      <c r="P59" s="1307"/>
      <c r="Q59" s="1307"/>
      <c r="R59" s="1308"/>
      <c r="S59" s="1312"/>
      <c r="T59" s="1309"/>
      <c r="U59" s="1308"/>
      <c r="V59" s="1308"/>
      <c r="W59" s="1308"/>
      <c r="X59" s="1308"/>
      <c r="Y59" s="1308"/>
      <c r="Z59" s="1308"/>
      <c r="AA59" s="1308"/>
      <c r="AB59" s="1308"/>
      <c r="AC59" s="1308"/>
      <c r="AD59" s="1308"/>
      <c r="AE59" s="1308"/>
      <c r="AF59" s="1308"/>
      <c r="AG59" s="1308"/>
      <c r="AH59" s="1308"/>
      <c r="AI59" s="1308"/>
      <c r="AJ59" s="1307"/>
      <c r="AK59" s="1309"/>
      <c r="AL59" s="1308"/>
      <c r="AM59" s="1308"/>
      <c r="AN59" s="1309"/>
      <c r="AO59" s="1310"/>
      <c r="AP59" s="1308"/>
      <c r="AQ59" s="1311"/>
      <c r="AR59" s="1308"/>
      <c r="AS59" s="1311"/>
      <c r="AT59" s="1308"/>
      <c r="AU59" s="1311"/>
      <c r="AV59" s="1308"/>
      <c r="AW59" s="1311"/>
      <c r="AX59" s="1308"/>
      <c r="AY59" s="1308"/>
      <c r="AZ59" s="1308"/>
      <c r="BA59" s="1308"/>
      <c r="BB59" s="1309"/>
      <c r="BC59" s="1308"/>
      <c r="BD59" s="1308"/>
      <c r="BE59" s="1308"/>
      <c r="BF59" s="1308"/>
      <c r="BG59" s="1308"/>
      <c r="BH59" s="1309"/>
      <c r="BI59" s="1309"/>
      <c r="BJ59" s="1308"/>
      <c r="BK59" s="1310"/>
      <c r="BL59" s="1308"/>
      <c r="BM59" s="1312"/>
      <c r="BN59" s="1313"/>
      <c r="BO59" s="1314"/>
      <c r="BP59" s="550" t="s">
        <v>808</v>
      </c>
      <c r="BQ59" s="550" t="s">
        <v>814</v>
      </c>
      <c r="BR59" s="547"/>
      <c r="BS59" s="742">
        <v>0</v>
      </c>
      <c r="BT59" s="742">
        <f>1800/30*19</f>
        <v>1140</v>
      </c>
      <c r="BU59" s="550" t="s">
        <v>210</v>
      </c>
      <c r="BV59" s="1285" t="s">
        <v>816</v>
      </c>
      <c r="BW59" s="543"/>
      <c r="BX59" s="543"/>
      <c r="BY59" s="543"/>
      <c r="BZ59" s="543"/>
      <c r="CA59" s="543"/>
      <c r="CB59" s="543"/>
      <c r="CC59" s="543"/>
      <c r="CD59" s="543"/>
      <c r="CE59" s="543"/>
      <c r="CF59" s="543"/>
      <c r="CG59" s="543"/>
      <c r="CH59" s="543"/>
      <c r="CI59" s="543"/>
      <c r="CJ59" s="543"/>
      <c r="CK59" s="543"/>
      <c r="CL59" s="543"/>
      <c r="CM59" s="543"/>
      <c r="CN59" s="543"/>
      <c r="CO59" s="543"/>
      <c r="CP59" s="543"/>
      <c r="CQ59" s="543"/>
      <c r="CR59" s="543"/>
      <c r="CS59" s="543"/>
      <c r="CT59" s="543"/>
      <c r="CU59" s="543"/>
      <c r="CV59" s="543"/>
      <c r="CW59" s="543"/>
      <c r="CX59" s="543"/>
      <c r="CY59" s="543"/>
      <c r="CZ59" s="543"/>
      <c r="DA59" s="543"/>
      <c r="DB59" s="543"/>
      <c r="DC59" s="543"/>
      <c r="DD59" s="543"/>
      <c r="DE59" s="543"/>
      <c r="DF59" s="543"/>
      <c r="DG59" s="543"/>
      <c r="DH59" s="543"/>
      <c r="DI59" s="543"/>
      <c r="DJ59" s="543"/>
      <c r="DK59" s="543"/>
      <c r="DL59" s="543"/>
      <c r="DM59" s="543"/>
      <c r="DN59" s="543"/>
      <c r="DO59" s="543"/>
      <c r="DP59" s="543"/>
      <c r="DQ59" s="543"/>
      <c r="DR59" s="543"/>
      <c r="DS59" s="543"/>
      <c r="DT59" s="543"/>
      <c r="DU59" s="543"/>
      <c r="DV59" s="543"/>
      <c r="DW59" s="543"/>
      <c r="DX59" s="543"/>
      <c r="DY59" s="543"/>
      <c r="DZ59" s="543"/>
      <c r="EA59" s="543"/>
      <c r="EB59" s="543"/>
      <c r="EC59" s="543"/>
      <c r="ED59" s="543"/>
      <c r="EE59" s="543"/>
      <c r="EF59" s="543"/>
      <c r="EG59" s="543"/>
      <c r="EH59" s="543"/>
      <c r="EI59" s="543"/>
      <c r="EJ59" s="543"/>
      <c r="EK59" s="543"/>
      <c r="EL59" s="543"/>
      <c r="EM59" s="543"/>
      <c r="EN59" s="543"/>
      <c r="EO59" s="543"/>
      <c r="EP59" s="543"/>
      <c r="EQ59" s="543"/>
      <c r="ER59" s="543"/>
      <c r="ES59" s="543"/>
      <c r="ET59" s="543"/>
      <c r="EU59" s="543"/>
      <c r="EV59" s="543"/>
      <c r="EW59" s="543"/>
      <c r="EX59" s="543"/>
    </row>
    <row r="60" spans="1:154" s="550" customFormat="1" ht="14.25" customHeight="1">
      <c r="A60" s="782"/>
      <c r="B60" s="1315">
        <v>20</v>
      </c>
      <c r="C60" s="1224" t="s">
        <v>770</v>
      </c>
      <c r="D60" s="1334">
        <v>46421278</v>
      </c>
      <c r="E60" s="1338">
        <v>33084</v>
      </c>
      <c r="F60" s="1339">
        <v>46182</v>
      </c>
      <c r="G60" s="1335" t="s">
        <v>800</v>
      </c>
      <c r="H60" s="1336" t="s">
        <v>236</v>
      </c>
      <c r="I60" s="1224" t="s">
        <v>72</v>
      </c>
      <c r="J60" s="1203">
        <v>2000</v>
      </c>
      <c r="K60" s="1203">
        <v>113</v>
      </c>
      <c r="L60" s="1224"/>
      <c r="M60" s="1224"/>
      <c r="N60" s="1224"/>
      <c r="O60" s="1224"/>
      <c r="P60" s="1224"/>
      <c r="Q60" s="1224"/>
      <c r="R60" s="1203"/>
      <c r="S60" s="1226"/>
      <c r="T60" s="1202"/>
      <c r="U60" s="1203"/>
      <c r="V60" s="1203"/>
      <c r="W60" s="1203"/>
      <c r="X60" s="1203"/>
      <c r="Y60" s="1203"/>
      <c r="Z60" s="1203"/>
      <c r="AA60" s="1202">
        <v>181.95</v>
      </c>
      <c r="AB60" s="1202"/>
      <c r="AC60" s="1202"/>
      <c r="AD60" s="1203">
        <v>176.08</v>
      </c>
      <c r="AE60" s="1203"/>
      <c r="AF60" s="1203"/>
      <c r="AG60" s="1203"/>
      <c r="AH60" s="1203"/>
      <c r="AI60" s="1203"/>
      <c r="AJ60" s="1203"/>
      <c r="AK60" s="1227"/>
      <c r="AL60" s="1203"/>
      <c r="AM60" s="1202">
        <f>SUM(Z60:AL60)</f>
        <v>358.03</v>
      </c>
      <c r="AN60" s="1202">
        <f>AA60</f>
        <v>181.95</v>
      </c>
      <c r="AO60" s="1225"/>
      <c r="AP60" s="1203"/>
      <c r="AQ60" s="1340">
        <v>0.1</v>
      </c>
      <c r="AR60" s="1341">
        <f t="shared" ref="AR60" si="105">+AN60*AQ60</f>
        <v>18.195</v>
      </c>
      <c r="AS60" s="1340">
        <v>0</v>
      </c>
      <c r="AT60" s="1341">
        <f t="shared" ref="AT60" si="106">+AN60*AS60</f>
        <v>0</v>
      </c>
      <c r="AU60" s="1340">
        <v>1.37E-2</v>
      </c>
      <c r="AV60" s="1341">
        <f t="shared" ref="AV60" si="107">+AN60*AU60</f>
        <v>2.492715</v>
      </c>
      <c r="AW60" s="1340">
        <f t="shared" ref="AW60" si="108">+AQ60+AS60+AU60</f>
        <v>0.11370000000000001</v>
      </c>
      <c r="AX60" s="1341">
        <f t="shared" ref="AX60" si="109">+AR60+AT60+AV60</f>
        <v>20.687715000000001</v>
      </c>
      <c r="AY60" s="1341"/>
      <c r="AZ60" s="1341"/>
      <c r="BA60" s="1203"/>
      <c r="BB60" s="1202"/>
      <c r="BC60" s="1203"/>
      <c r="BD60" s="1203"/>
      <c r="BE60" s="1203"/>
      <c r="BF60" s="1203"/>
      <c r="BG60" s="1224"/>
      <c r="BH60" s="1202"/>
      <c r="BI60" s="1342">
        <f>+AX60+SUM(AY60:BH60)+AP60</f>
        <v>20.687715000000001</v>
      </c>
      <c r="BJ60" s="1203">
        <f>(+AM60-BI60)</f>
        <v>337.34228499999995</v>
      </c>
      <c r="BK60" s="1225">
        <v>0.09</v>
      </c>
      <c r="BL60" s="1203">
        <f>AN60*BK60</f>
        <v>16.375499999999999</v>
      </c>
      <c r="BM60" s="1226"/>
      <c r="BN60" s="1223"/>
      <c r="BO60" s="1316"/>
      <c r="BP60" s="551"/>
      <c r="BQ60" s="551"/>
      <c r="BS60" s="554"/>
      <c r="BT60" s="835"/>
    </row>
    <row r="61" spans="1:154" s="550" customFormat="1" ht="18" customHeight="1">
      <c r="A61" s="782"/>
      <c r="B61" s="1315">
        <v>16</v>
      </c>
      <c r="C61" s="1224" t="s">
        <v>247</v>
      </c>
      <c r="D61" s="1334">
        <v>42953954</v>
      </c>
      <c r="E61" s="1335">
        <v>31117</v>
      </c>
      <c r="F61" s="1335">
        <v>45398</v>
      </c>
      <c r="G61" s="1335"/>
      <c r="H61" s="1336" t="s">
        <v>522</v>
      </c>
      <c r="I61" s="1224" t="s">
        <v>71</v>
      </c>
      <c r="J61" s="1203">
        <v>2800</v>
      </c>
      <c r="K61" s="1203">
        <v>113</v>
      </c>
      <c r="L61" s="1224"/>
      <c r="M61" s="1224"/>
      <c r="N61" s="1224"/>
      <c r="O61" s="1224"/>
      <c r="P61" s="1224"/>
      <c r="Q61" s="1224"/>
      <c r="R61" s="1203"/>
      <c r="S61" s="1226"/>
      <c r="T61" s="1202"/>
      <c r="U61" s="1203"/>
      <c r="V61" s="1203"/>
      <c r="W61" s="1203"/>
      <c r="X61" s="1203"/>
      <c r="Y61" s="1203"/>
      <c r="Z61" s="1203"/>
      <c r="AA61" s="1202">
        <v>849.63</v>
      </c>
      <c r="AB61" s="1202"/>
      <c r="AC61" s="1202">
        <v>2233.3000000000002</v>
      </c>
      <c r="AD61" s="1203">
        <v>849.63</v>
      </c>
      <c r="AE61" s="1203"/>
      <c r="AF61" s="1203">
        <v>485.5</v>
      </c>
      <c r="AG61" s="1203">
        <v>43.7</v>
      </c>
      <c r="AH61" s="1203"/>
      <c r="AI61" s="1203">
        <v>23.09</v>
      </c>
      <c r="AJ61" s="1203"/>
      <c r="AK61" s="1224">
        <v>2800</v>
      </c>
      <c r="AL61" s="1203"/>
      <c r="AM61" s="1202">
        <f>SUM(AA61:AL61)</f>
        <v>7284.85</v>
      </c>
      <c r="AN61" s="1202">
        <f>AC61+AA61</f>
        <v>3082.9300000000003</v>
      </c>
      <c r="AO61" s="1343"/>
      <c r="AP61" s="1344"/>
      <c r="AQ61" s="1340">
        <v>0.1</v>
      </c>
      <c r="AR61" s="1341">
        <f t="shared" ref="AR61:AR62" si="110">+AN61*AQ61</f>
        <v>308.29300000000006</v>
      </c>
      <c r="AS61" s="1340">
        <v>0</v>
      </c>
      <c r="AT61" s="1341">
        <f t="shared" ref="AT61:AT62" si="111">+AN61*AS61</f>
        <v>0</v>
      </c>
      <c r="AU61" s="1340">
        <v>1.37E-2</v>
      </c>
      <c r="AV61" s="1341">
        <f t="shared" ref="AV61:AV62" si="112">+AN61*AU61</f>
        <v>42.236141000000003</v>
      </c>
      <c r="AW61" s="1340">
        <f t="shared" ref="AW61:AW62" si="113">+AQ61+AS61+AU61</f>
        <v>0.11370000000000001</v>
      </c>
      <c r="AX61" s="1341">
        <f>+AR61+AT61+AV61</f>
        <v>350.5291410000001</v>
      </c>
      <c r="AY61" s="1344"/>
      <c r="AZ61" s="1344"/>
      <c r="BA61" s="1344"/>
      <c r="BB61" s="1203"/>
      <c r="BC61" s="1344"/>
      <c r="BD61" s="1344"/>
      <c r="BE61" s="1344"/>
      <c r="BF61" s="1344"/>
      <c r="BG61" s="1202"/>
      <c r="BH61" s="1202"/>
      <c r="BI61" s="1342">
        <f>AX61</f>
        <v>350.5291410000001</v>
      </c>
      <c r="BJ61" s="1203">
        <v>6934.3</v>
      </c>
      <c r="BK61" s="1225">
        <v>0.09</v>
      </c>
      <c r="BL61" s="1203">
        <f>AN61*BK61</f>
        <v>277.46370000000002</v>
      </c>
      <c r="BM61" s="1223"/>
      <c r="BN61" s="1337"/>
      <c r="BO61" s="1316"/>
      <c r="BP61" s="588"/>
      <c r="BQ61" s="588"/>
      <c r="BS61" s="554"/>
      <c r="BT61" s="835"/>
    </row>
    <row r="62" spans="1:154" s="550" customFormat="1" ht="18" customHeight="1" thickBot="1">
      <c r="A62" s="782"/>
      <c r="B62" s="1317">
        <f t="shared" ref="B62" si="114">+B61+1</f>
        <v>17</v>
      </c>
      <c r="C62" s="1318" t="s">
        <v>766</v>
      </c>
      <c r="D62" s="1319">
        <v>71562324</v>
      </c>
      <c r="E62" s="1345">
        <v>35075</v>
      </c>
      <c r="F62" s="1346">
        <v>46160</v>
      </c>
      <c r="G62" s="1320"/>
      <c r="H62" s="1321" t="s">
        <v>264</v>
      </c>
      <c r="I62" s="1318" t="s">
        <v>70</v>
      </c>
      <c r="J62" s="1322">
        <v>1500</v>
      </c>
      <c r="K62" s="1322"/>
      <c r="L62" s="1318"/>
      <c r="M62" s="1318"/>
      <c r="N62" s="1318"/>
      <c r="O62" s="1318"/>
      <c r="P62" s="1318"/>
      <c r="Q62" s="1318"/>
      <c r="R62" s="1322"/>
      <c r="S62" s="1355"/>
      <c r="T62" s="1323"/>
      <c r="U62" s="1322"/>
      <c r="V62" s="1322"/>
      <c r="W62" s="1322"/>
      <c r="X62" s="1322"/>
      <c r="Y62" s="1322"/>
      <c r="Z62" s="1322"/>
      <c r="AA62" s="1323">
        <v>304.17</v>
      </c>
      <c r="AB62" s="1323"/>
      <c r="AC62" s="1323"/>
      <c r="AD62" s="1322">
        <v>312.62</v>
      </c>
      <c r="AE62" s="1322"/>
      <c r="AF62" s="1322">
        <v>250</v>
      </c>
      <c r="AG62" s="1322">
        <v>22.5</v>
      </c>
      <c r="AH62" s="1322"/>
      <c r="AI62" s="1322"/>
      <c r="AJ62" s="1322"/>
      <c r="AK62" s="1318"/>
      <c r="AL62" s="1322"/>
      <c r="AM62" s="1323">
        <f>SUM(AA62:AL62)</f>
        <v>889.29</v>
      </c>
      <c r="AN62" s="1323">
        <f>AC62+AA62</f>
        <v>304.17</v>
      </c>
      <c r="AO62" s="1324"/>
      <c r="AP62" s="1325"/>
      <c r="AQ62" s="1347">
        <v>0.1</v>
      </c>
      <c r="AR62" s="1348">
        <f t="shared" si="110"/>
        <v>30.417000000000002</v>
      </c>
      <c r="AS62" s="1347">
        <v>0</v>
      </c>
      <c r="AT62" s="1348">
        <f t="shared" si="111"/>
        <v>0</v>
      </c>
      <c r="AU62" s="1347">
        <v>1.37E-2</v>
      </c>
      <c r="AV62" s="1348">
        <f t="shared" si="112"/>
        <v>4.1671290000000001</v>
      </c>
      <c r="AW62" s="1347">
        <f t="shared" si="113"/>
        <v>0.11370000000000001</v>
      </c>
      <c r="AX62" s="1348">
        <f t="shared" ref="AX62" si="115">+AR62+AT62+AV62</f>
        <v>34.584129000000004</v>
      </c>
      <c r="AY62" s="1325"/>
      <c r="AZ62" s="1325"/>
      <c r="BA62" s="1325"/>
      <c r="BB62" s="1322"/>
      <c r="BC62" s="1325"/>
      <c r="BD62" s="1325"/>
      <c r="BE62" s="1325"/>
      <c r="BF62" s="1325"/>
      <c r="BG62" s="1323"/>
      <c r="BH62" s="1323"/>
      <c r="BI62" s="1349">
        <f>AX62</f>
        <v>34.584129000000004</v>
      </c>
      <c r="BJ62" s="1322">
        <v>854.7</v>
      </c>
      <c r="BK62" s="1326">
        <v>0.09</v>
      </c>
      <c r="BL62" s="1322">
        <f>AN62*BK62</f>
        <v>27.375299999999999</v>
      </c>
      <c r="BM62" s="1327"/>
      <c r="BN62" s="1328"/>
      <c r="BO62" s="1329"/>
      <c r="BP62" s="588"/>
      <c r="BQ62" s="588"/>
      <c r="BS62" s="554"/>
      <c r="BT62" s="835"/>
    </row>
    <row r="63" spans="1:154" s="550" customFormat="1" ht="18" customHeight="1" thickBot="1">
      <c r="A63" s="782"/>
      <c r="B63" s="543"/>
      <c r="C63" s="549"/>
      <c r="D63" s="1018"/>
      <c r="E63" s="1019"/>
      <c r="F63" s="1020"/>
      <c r="G63" s="1020"/>
      <c r="H63" s="1012"/>
      <c r="I63" s="549"/>
      <c r="J63" s="554"/>
      <c r="K63" s="554"/>
      <c r="L63" s="549"/>
      <c r="M63" s="549"/>
      <c r="N63" s="549"/>
      <c r="O63" s="549"/>
      <c r="P63" s="549"/>
      <c r="Q63" s="549"/>
      <c r="R63" s="1331">
        <f>SUBTOTAL(9,R59:R60)</f>
        <v>0</v>
      </c>
      <c r="S63" s="1356">
        <f t="shared" ref="S63:Y63" si="116">SUBTOTAL(9,S59:S60)</f>
        <v>0</v>
      </c>
      <c r="T63" s="1331">
        <f t="shared" si="116"/>
        <v>0</v>
      </c>
      <c r="U63" s="1331">
        <f t="shared" si="116"/>
        <v>0</v>
      </c>
      <c r="V63" s="1331">
        <f t="shared" si="116"/>
        <v>0</v>
      </c>
      <c r="W63" s="1331">
        <f t="shared" si="116"/>
        <v>0</v>
      </c>
      <c r="X63" s="1331">
        <f t="shared" si="116"/>
        <v>0</v>
      </c>
      <c r="Y63" s="1331">
        <f t="shared" si="116"/>
        <v>0</v>
      </c>
      <c r="Z63" s="1331">
        <f t="shared" ref="Z63:AE63" si="117">SUBTOTAL(9,Z59:Z60)</f>
        <v>0</v>
      </c>
      <c r="AA63" s="1331">
        <f>SUBTOTAL(9,AA60:AA61)</f>
        <v>1031.58</v>
      </c>
      <c r="AB63" s="1331"/>
      <c r="AC63" s="1331">
        <f t="shared" si="117"/>
        <v>0</v>
      </c>
      <c r="AD63" s="1331">
        <f>SUBTOTAL(9,AD60:AD61)</f>
        <v>1025.71</v>
      </c>
      <c r="AE63" s="1331">
        <f t="shared" si="117"/>
        <v>0</v>
      </c>
      <c r="AF63" s="1331">
        <f>SUBTOTAL(9,AF60:AF61)</f>
        <v>485.5</v>
      </c>
      <c r="AG63" s="1331">
        <f t="shared" ref="AG63:AN63" si="118">SUBTOTAL(9,AG60:AG61)</f>
        <v>43.7</v>
      </c>
      <c r="AH63" s="1331">
        <f t="shared" si="118"/>
        <v>0</v>
      </c>
      <c r="AI63" s="1331">
        <f t="shared" si="118"/>
        <v>23.09</v>
      </c>
      <c r="AJ63" s="1331">
        <f t="shared" si="118"/>
        <v>0</v>
      </c>
      <c r="AK63" s="1331">
        <f t="shared" si="118"/>
        <v>2800</v>
      </c>
      <c r="AL63" s="1331">
        <f t="shared" si="118"/>
        <v>0</v>
      </c>
      <c r="AM63" s="1331">
        <f t="shared" si="118"/>
        <v>7642.88</v>
      </c>
      <c r="AN63" s="1331">
        <f t="shared" si="118"/>
        <v>3264.88</v>
      </c>
      <c r="AO63" s="1332"/>
      <c r="AP63" s="1331">
        <f>SUBTOTAL(9,AP59:AP60)</f>
        <v>0</v>
      </c>
      <c r="AQ63" s="1331"/>
      <c r="AR63" s="1331">
        <f>SUBTOTAL(9,AR60:AR61)</f>
        <v>326.48800000000006</v>
      </c>
      <c r="AS63" s="1331"/>
      <c r="AT63" s="1331">
        <f>SUBTOTAL(9,AT59:AT60)</f>
        <v>0</v>
      </c>
      <c r="AU63" s="1331"/>
      <c r="AV63" s="1331">
        <f>SUBTOTAL(9,AV60:AV61)</f>
        <v>44.728856</v>
      </c>
      <c r="AW63" s="1331"/>
      <c r="AX63" s="1331">
        <f>SUBTOTAL(9,AX60:AX61)</f>
        <v>371.21685600000012</v>
      </c>
      <c r="AY63" s="1331">
        <f t="shared" ref="AY63:BE63" si="119">SUBTOTAL(9,AY59:AY60)</f>
        <v>0</v>
      </c>
      <c r="AZ63" s="1331">
        <f t="shared" si="119"/>
        <v>0</v>
      </c>
      <c r="BA63" s="1331"/>
      <c r="BB63" s="1331">
        <f t="shared" si="119"/>
        <v>0</v>
      </c>
      <c r="BC63" s="1331">
        <f t="shared" si="119"/>
        <v>0</v>
      </c>
      <c r="BD63" s="1331">
        <f t="shared" si="119"/>
        <v>0</v>
      </c>
      <c r="BE63" s="1331">
        <f t="shared" si="119"/>
        <v>0</v>
      </c>
      <c r="BF63" s="1333"/>
      <c r="BG63" s="1331">
        <f>SUBTOTAL(9,BG59:BG60)</f>
        <v>0</v>
      </c>
      <c r="BH63" s="1331">
        <f>SUBTOTAL(9,BH59:BH60)</f>
        <v>0</v>
      </c>
      <c r="BI63" s="1331">
        <f>SUBTOTAL(9,BI60:BI61)</f>
        <v>371.21685600000012</v>
      </c>
      <c r="BJ63" s="1331">
        <f>SUBTOTAL(9,BJ60:BJ61)</f>
        <v>7271.6422849999999</v>
      </c>
      <c r="BK63" s="1331"/>
      <c r="BL63" s="1331">
        <f>SUBTOTAL(9,BL60:BL61)</f>
        <v>293.83920000000001</v>
      </c>
      <c r="BM63" s="1331"/>
      <c r="BN63" s="1331"/>
      <c r="BO63" s="1331"/>
      <c r="BP63" s="588"/>
      <c r="BQ63" s="588"/>
      <c r="BS63" s="554"/>
      <c r="BT63" s="835"/>
      <c r="BU63" s="1200"/>
    </row>
    <row r="64" spans="1:154" s="549" customFormat="1" ht="18" customHeight="1" thickTop="1">
      <c r="A64" s="546"/>
      <c r="B64" s="543"/>
      <c r="D64" s="1018"/>
      <c r="E64" s="1019"/>
      <c r="F64" s="1020"/>
      <c r="G64" s="1020"/>
      <c r="H64" s="1012"/>
      <c r="J64" s="554"/>
      <c r="K64" s="554"/>
      <c r="R64" s="554"/>
      <c r="S64" s="1016"/>
      <c r="T64" s="1013"/>
      <c r="U64" s="554"/>
      <c r="V64" s="554"/>
      <c r="W64" s="554"/>
      <c r="X64" s="554"/>
      <c r="Y64" s="554"/>
      <c r="Z64" s="554"/>
      <c r="AA64" s="554"/>
      <c r="AB64" s="554"/>
      <c r="AC64" s="554"/>
      <c r="AD64" s="554"/>
      <c r="AE64" s="554"/>
      <c r="AF64" s="554"/>
      <c r="AG64" s="554"/>
      <c r="AH64" s="554"/>
      <c r="AI64" s="554"/>
      <c r="AL64" s="554"/>
      <c r="AM64" s="554"/>
      <c r="AN64" s="1014"/>
      <c r="AO64" s="1015"/>
      <c r="AP64" s="554"/>
      <c r="AQ64" s="555"/>
      <c r="AR64" s="554"/>
      <c r="AS64" s="555"/>
      <c r="AT64" s="554"/>
      <c r="AU64" s="555"/>
      <c r="AV64" s="554"/>
      <c r="AW64" s="555"/>
      <c r="AX64" s="554"/>
      <c r="AY64" s="554"/>
      <c r="AZ64" s="554"/>
      <c r="BA64" s="554"/>
      <c r="BB64" s="1013"/>
      <c r="BC64" s="554"/>
      <c r="BD64" s="554"/>
      <c r="BE64" s="554"/>
      <c r="BF64" s="554"/>
      <c r="BG64" s="554"/>
      <c r="BH64" s="1013"/>
      <c r="BI64" s="1013"/>
      <c r="BJ64" s="551"/>
      <c r="BK64" s="1015"/>
      <c r="BL64" s="554"/>
      <c r="BM64" s="1016"/>
      <c r="BN64" s="543"/>
      <c r="BP64" s="548"/>
      <c r="BQ64" s="548"/>
      <c r="BR64" s="554"/>
      <c r="BS64" s="554"/>
      <c r="BT64" s="835"/>
      <c r="BV64" s="1201"/>
    </row>
    <row r="65" spans="1:79" s="549" customFormat="1" ht="14.25" customHeight="1" thickBot="1">
      <c r="A65" s="546"/>
      <c r="B65" s="550"/>
      <c r="C65" s="550"/>
      <c r="D65" s="550"/>
      <c r="E65" s="550"/>
      <c r="F65" s="550"/>
      <c r="G65" s="550"/>
      <c r="H65" s="550"/>
      <c r="I65" s="550"/>
      <c r="J65" s="550"/>
      <c r="K65" s="550"/>
      <c r="L65" s="550"/>
      <c r="M65" s="550"/>
      <c r="N65" s="550"/>
      <c r="O65" s="550"/>
      <c r="P65" s="550"/>
      <c r="Q65" s="550"/>
      <c r="R65" s="1017">
        <f>+R63+R56</f>
        <v>113404.53333333333</v>
      </c>
      <c r="S65" s="1357">
        <f t="shared" ref="S65:V65" si="120">+S63+S56</f>
        <v>1808</v>
      </c>
      <c r="T65" s="1017">
        <f t="shared" si="120"/>
        <v>1986.6666666666667</v>
      </c>
      <c r="U65" s="1017">
        <f t="shared" si="120"/>
        <v>31418.043700000006</v>
      </c>
      <c r="V65" s="1017">
        <f t="shared" si="120"/>
        <v>2161.4637441506593</v>
      </c>
      <c r="W65" s="1017">
        <f t="shared" ref="W65:AL65" si="121">+W56+W59</f>
        <v>532.98437499999989</v>
      </c>
      <c r="X65" s="1017">
        <f t="shared" si="121"/>
        <v>226.11656249999999</v>
      </c>
      <c r="Y65" s="1017">
        <f t="shared" si="121"/>
        <v>1869.1999999999998</v>
      </c>
      <c r="Z65" s="1017">
        <f t="shared" ref="Z65:AC65" si="122">+Z63+Z56</f>
        <v>573.91304347826087</v>
      </c>
      <c r="AA65" s="1017">
        <f t="shared" si="122"/>
        <v>1031.58</v>
      </c>
      <c r="AB65" s="1017"/>
      <c r="AC65" s="1017">
        <f t="shared" si="122"/>
        <v>8358.7999999999993</v>
      </c>
      <c r="AD65" s="1017">
        <f t="shared" si="121"/>
        <v>0</v>
      </c>
      <c r="AE65" s="1017"/>
      <c r="AF65" s="1017">
        <f t="shared" si="121"/>
        <v>135766.66440087336</v>
      </c>
      <c r="AG65" s="1017">
        <f t="shared" si="121"/>
        <v>12218.999796078602</v>
      </c>
      <c r="AH65" s="1017">
        <f>+AH63+AH56</f>
        <v>1440</v>
      </c>
      <c r="AI65" s="1017">
        <f t="shared" si="121"/>
        <v>0</v>
      </c>
      <c r="AJ65" s="1017">
        <f t="shared" si="121"/>
        <v>0</v>
      </c>
      <c r="AK65" s="1017">
        <f t="shared" si="121"/>
        <v>0</v>
      </c>
      <c r="AL65" s="1017">
        <f t="shared" si="121"/>
        <v>0</v>
      </c>
      <c r="AM65" s="1017">
        <f t="shared" ref="AM65:BE65" si="123">+AM63+AM56</f>
        <v>319408.26562208083</v>
      </c>
      <c r="AN65" s="1017">
        <f>+AN63+AN56</f>
        <v>165796.44352053956</v>
      </c>
      <c r="AO65" s="1017">
        <f t="shared" si="123"/>
        <v>0</v>
      </c>
      <c r="AP65" s="1017">
        <f t="shared" si="123"/>
        <v>3654.0754482540874</v>
      </c>
      <c r="AQ65" s="1017">
        <f t="shared" si="123"/>
        <v>0</v>
      </c>
      <c r="AR65" s="1017">
        <f>+AR63+AR56</f>
        <v>13768.817084166196</v>
      </c>
      <c r="AS65" s="1017">
        <f t="shared" si="123"/>
        <v>0</v>
      </c>
      <c r="AT65" s="1017">
        <f t="shared" si="123"/>
        <v>513.87263590424902</v>
      </c>
      <c r="AU65" s="1017">
        <f t="shared" si="123"/>
        <v>0</v>
      </c>
      <c r="AV65" s="1017">
        <f t="shared" si="123"/>
        <v>1771.1649904557692</v>
      </c>
      <c r="AW65" s="1017">
        <f t="shared" si="123"/>
        <v>0</v>
      </c>
      <c r="AX65" s="1017">
        <f>+AX63+AX56</f>
        <v>16053.854710526215</v>
      </c>
      <c r="AY65" s="1017">
        <f t="shared" si="123"/>
        <v>0</v>
      </c>
      <c r="AZ65" s="1017">
        <f t="shared" si="123"/>
        <v>674.24486111111116</v>
      </c>
      <c r="BA65" s="1017"/>
      <c r="BB65" s="1017">
        <f t="shared" si="123"/>
        <v>147985.66419695196</v>
      </c>
      <c r="BC65" s="1017">
        <f t="shared" si="123"/>
        <v>3700</v>
      </c>
      <c r="BD65" s="1017">
        <f t="shared" si="123"/>
        <v>1337.34</v>
      </c>
      <c r="BE65" s="1017">
        <f t="shared" ca="1" si="123"/>
        <v>1669.6712769492246</v>
      </c>
      <c r="BF65" s="1017">
        <f t="shared" ref="BF65" si="124">+BF56+BF59</f>
        <v>0</v>
      </c>
      <c r="BG65" s="1017">
        <f t="shared" ref="BG65:BN65" si="125">+BG63+BG56</f>
        <v>1976.66121</v>
      </c>
      <c r="BH65" s="1017">
        <f>+BH63+BH56</f>
        <v>12189.816085050603</v>
      </c>
      <c r="BI65" s="1017">
        <f t="shared" ca="1" si="125"/>
        <v>196966.32778884322</v>
      </c>
      <c r="BJ65" s="1017">
        <f ca="1">+BJ63+BJ56</f>
        <v>122441.91697423767</v>
      </c>
      <c r="BK65" s="1017">
        <f t="shared" si="125"/>
        <v>0</v>
      </c>
      <c r="BL65" s="1017">
        <f>+BL63+BL56</f>
        <v>14921.67991684856</v>
      </c>
      <c r="BM65" s="1017">
        <f t="shared" si="125"/>
        <v>337.37820000000005</v>
      </c>
      <c r="BN65" s="1017">
        <f t="shared" si="125"/>
        <v>0</v>
      </c>
      <c r="BO65" s="1017"/>
      <c r="BP65" s="548"/>
      <c r="BQ65" s="548"/>
      <c r="BS65" s="550"/>
      <c r="BT65" s="550"/>
      <c r="BU65" s="554"/>
      <c r="BX65" s="554"/>
    </row>
    <row r="66" spans="1:79" s="549" customFormat="1" ht="14.25" customHeight="1" thickTop="1">
      <c r="A66" s="546"/>
      <c r="B66" s="550"/>
      <c r="C66" s="550" t="s">
        <v>287</v>
      </c>
      <c r="D66" s="550"/>
      <c r="E66" s="550"/>
      <c r="F66" s="550"/>
      <c r="G66" s="550"/>
      <c r="H66" s="550"/>
      <c r="I66" s="550"/>
      <c r="J66" s="551"/>
      <c r="K66" s="550"/>
      <c r="L66" s="550"/>
      <c r="M66" s="550"/>
      <c r="N66" s="550"/>
      <c r="O66" s="550"/>
      <c r="P66" s="550"/>
      <c r="Q66" s="550"/>
      <c r="R66" s="551"/>
      <c r="S66" s="742"/>
      <c r="T66" s="551"/>
      <c r="U66" s="551"/>
      <c r="V66" s="551"/>
      <c r="W66" s="551"/>
      <c r="X66" s="551"/>
      <c r="Y66" s="551"/>
      <c r="Z66" s="551"/>
      <c r="AA66" s="551"/>
      <c r="AB66" s="551"/>
      <c r="AC66" s="551"/>
      <c r="AD66" s="551"/>
      <c r="AE66" s="551"/>
      <c r="AF66" s="551"/>
      <c r="AG66" s="551"/>
      <c r="AH66" s="551"/>
      <c r="AI66" s="551"/>
      <c r="AJ66" s="551"/>
      <c r="AK66" s="551"/>
      <c r="AL66" s="551"/>
      <c r="AM66" s="551"/>
      <c r="AN66" s="551"/>
      <c r="AO66" s="551"/>
      <c r="AP66" s="551"/>
      <c r="AQ66" s="551"/>
      <c r="AR66" s="551"/>
      <c r="AS66" s="551"/>
      <c r="AT66" s="551"/>
      <c r="AU66" s="551"/>
      <c r="AV66" s="551"/>
      <c r="AW66" s="551"/>
      <c r="AX66" s="551"/>
      <c r="AY66" s="551"/>
      <c r="AZ66" s="551"/>
      <c r="BA66" s="551"/>
      <c r="BB66" s="553"/>
      <c r="BC66" s="553"/>
      <c r="BD66" s="553"/>
      <c r="BE66" s="553">
        <f ca="1">+'HT. EPS'!Q53</f>
        <v>1669.6712769492244</v>
      </c>
      <c r="BF66" s="553"/>
      <c r="BG66" s="551"/>
      <c r="BH66" s="551">
        <f>+'RTA 5TA'!U115</f>
        <v>12189.816085050601</v>
      </c>
      <c r="BI66" s="587"/>
      <c r="BJ66" s="551"/>
      <c r="BK66" s="587"/>
      <c r="BL66" s="551"/>
      <c r="BM66" s="742"/>
      <c r="BN66" s="742"/>
      <c r="BO66" s="588"/>
      <c r="BP66" s="548"/>
      <c r="BQ66" s="548"/>
      <c r="BS66" s="550"/>
      <c r="BT66" s="550"/>
      <c r="BU66" s="554"/>
      <c r="BV66" s="554"/>
    </row>
    <row r="67" spans="1:79" s="549" customFormat="1" ht="14.25" customHeight="1">
      <c r="A67" s="546"/>
      <c r="B67" s="550"/>
      <c r="D67" s="550"/>
      <c r="E67" s="550"/>
      <c r="F67" s="550"/>
      <c r="G67" s="550"/>
      <c r="H67" s="550"/>
      <c r="I67" s="550"/>
      <c r="J67" s="550"/>
      <c r="K67" s="550"/>
      <c r="L67" s="550"/>
      <c r="M67" s="550"/>
      <c r="N67" s="550"/>
      <c r="O67" s="550"/>
      <c r="P67" s="550"/>
      <c r="Q67" s="550"/>
      <c r="R67" s="551"/>
      <c r="S67" s="742"/>
      <c r="T67" s="551"/>
      <c r="U67" s="551"/>
      <c r="V67" s="551"/>
      <c r="W67" s="551"/>
      <c r="X67" s="551"/>
      <c r="Y67" s="551"/>
      <c r="Z67" s="551"/>
      <c r="AA67" s="551"/>
      <c r="AB67" s="551"/>
      <c r="AC67" s="551"/>
      <c r="AD67" s="551"/>
      <c r="AE67" s="551"/>
      <c r="AF67" s="551"/>
      <c r="AG67" s="551"/>
      <c r="AH67" s="551"/>
      <c r="AI67" s="551"/>
      <c r="AJ67" s="551"/>
      <c r="AK67" s="551"/>
      <c r="AL67" s="551"/>
      <c r="AM67" s="551"/>
      <c r="AN67" s="551"/>
      <c r="AO67" s="551"/>
      <c r="AP67" s="551"/>
      <c r="AQ67" s="551"/>
      <c r="AR67" s="551"/>
      <c r="AS67" s="551"/>
      <c r="AT67" s="551"/>
      <c r="AU67" s="551"/>
      <c r="AV67" s="551"/>
      <c r="AW67" s="551"/>
      <c r="AX67" s="551"/>
      <c r="AY67" s="551"/>
      <c r="AZ67" s="551"/>
      <c r="BA67" s="551"/>
      <c r="BB67" s="553"/>
      <c r="BC67" s="553"/>
      <c r="BD67" s="553"/>
      <c r="BE67" s="553"/>
      <c r="BF67" s="553"/>
      <c r="BG67" s="551"/>
      <c r="BH67" s="551"/>
      <c r="BI67" s="587"/>
      <c r="BJ67" s="551"/>
      <c r="BK67" s="587"/>
      <c r="BL67" s="551"/>
      <c r="BM67" s="742"/>
      <c r="BN67" s="742"/>
      <c r="BO67" s="588"/>
      <c r="BP67" s="548"/>
      <c r="BQ67" s="548"/>
      <c r="BS67" s="550"/>
      <c r="BT67" s="550"/>
      <c r="BU67" s="836"/>
      <c r="BV67" s="554"/>
    </row>
    <row r="68" spans="1:79" ht="14.25" customHeight="1">
      <c r="B68" s="550"/>
      <c r="C68" s="549"/>
      <c r="D68" s="547"/>
      <c r="E68" s="547"/>
      <c r="F68" s="549"/>
      <c r="G68" s="547"/>
      <c r="H68" s="547"/>
      <c r="I68" s="549"/>
      <c r="J68" s="549"/>
      <c r="K68" s="549"/>
      <c r="N68" s="549"/>
      <c r="O68" s="547" t="s">
        <v>288</v>
      </c>
      <c r="P68" s="825" t="s">
        <v>204</v>
      </c>
      <c r="R68" s="740">
        <f t="shared" ref="R68:Z68" si="126">+SUMIF($A$12:$A$50,"ADM",R$12:R$55)</f>
        <v>9200</v>
      </c>
      <c r="S68" s="1358">
        <f t="shared" si="126"/>
        <v>226</v>
      </c>
      <c r="T68" s="740">
        <f t="shared" si="126"/>
        <v>0</v>
      </c>
      <c r="U68" s="740">
        <f t="shared" si="126"/>
        <v>0</v>
      </c>
      <c r="V68" s="740">
        <f t="shared" si="126"/>
        <v>0</v>
      </c>
      <c r="W68" s="740">
        <f t="shared" si="126"/>
        <v>0</v>
      </c>
      <c r="X68" s="740">
        <f t="shared" si="126"/>
        <v>0</v>
      </c>
      <c r="Y68" s="740">
        <f t="shared" si="126"/>
        <v>0</v>
      </c>
      <c r="Z68" s="740">
        <f t="shared" si="126"/>
        <v>100</v>
      </c>
      <c r="AA68" s="740">
        <f>+SUMIF($A$12:$A$50,"ADM",AA$12:AA$55)</f>
        <v>0</v>
      </c>
      <c r="AB68" s="740"/>
      <c r="AC68" s="740">
        <f t="shared" ref="AC68:AN68" si="127">+SUMIF($A$12:$A$50,"ADM",AC$12:AC$55)</f>
        <v>0</v>
      </c>
      <c r="AD68" s="740">
        <f t="shared" si="127"/>
        <v>0</v>
      </c>
      <c r="AE68" s="740">
        <f t="shared" si="127"/>
        <v>0</v>
      </c>
      <c r="AF68" s="740">
        <f t="shared" si="127"/>
        <v>9356</v>
      </c>
      <c r="AG68" s="740">
        <f t="shared" si="127"/>
        <v>842.04</v>
      </c>
      <c r="AH68" s="740">
        <f t="shared" si="127"/>
        <v>0</v>
      </c>
      <c r="AI68" s="740">
        <f t="shared" si="127"/>
        <v>0</v>
      </c>
      <c r="AJ68" s="740">
        <f t="shared" si="127"/>
        <v>0</v>
      </c>
      <c r="AK68" s="740">
        <f t="shared" si="127"/>
        <v>0</v>
      </c>
      <c r="AL68" s="740">
        <f t="shared" si="127"/>
        <v>0</v>
      </c>
      <c r="AM68" s="740">
        <f t="shared" si="127"/>
        <v>19724.04</v>
      </c>
      <c r="AN68" s="740">
        <f t="shared" si="127"/>
        <v>9426</v>
      </c>
      <c r="AO68" s="554"/>
      <c r="AP68" s="574" t="s">
        <v>289</v>
      </c>
      <c r="AQ68" s="574" t="s">
        <v>290</v>
      </c>
      <c r="AR68" s="574" t="s">
        <v>11</v>
      </c>
      <c r="AS68" s="574" t="s">
        <v>177</v>
      </c>
      <c r="AT68" s="574" t="s">
        <v>132</v>
      </c>
      <c r="AU68" s="574" t="s">
        <v>72</v>
      </c>
      <c r="AV68" s="574" t="s">
        <v>291</v>
      </c>
      <c r="AW68" s="574" t="s">
        <v>292</v>
      </c>
      <c r="AX68" s="554"/>
      <c r="AY68" s="554"/>
      <c r="AZ68" s="554"/>
      <c r="BA68" s="554"/>
      <c r="BB68" s="554"/>
      <c r="BC68" s="554"/>
      <c r="BD68" s="554"/>
      <c r="BE68" s="554"/>
      <c r="BF68" s="554"/>
      <c r="BG68" s="1400" t="s">
        <v>293</v>
      </c>
      <c r="BH68" s="1401"/>
      <c r="BI68" s="1401"/>
      <c r="BJ68" s="1402"/>
      <c r="BK68" s="545"/>
      <c r="BL68" s="740">
        <f>+SUMIF($A$12:$A$50,"ADM",BL$12:BL$55)</f>
        <v>848.33999999999992</v>
      </c>
      <c r="BM68" s="740">
        <f>+SUMIF($A$12:$A$50,"ADM",BM$12:BM$55)</f>
        <v>33.361399999999996</v>
      </c>
      <c r="BN68" s="740"/>
      <c r="BO68" s="548"/>
      <c r="BS68" s="1199" t="s">
        <v>294</v>
      </c>
      <c r="BT68" s="1200"/>
      <c r="BV68" s="740"/>
    </row>
    <row r="69" spans="1:79" ht="14.25" customHeight="1">
      <c r="C69" s="549"/>
      <c r="F69" s="549"/>
      <c r="I69" s="549"/>
      <c r="J69" s="549"/>
      <c r="K69" s="549"/>
      <c r="N69" s="549"/>
      <c r="O69" s="830" t="s">
        <v>295</v>
      </c>
      <c r="P69" s="825" t="s">
        <v>233</v>
      </c>
      <c r="R69" s="740">
        <f t="shared" ref="R69:Z69" si="128">+SUMIF($A$12:$A$50,"CONTA",R$12:R$55)</f>
        <v>5746.666666666667</v>
      </c>
      <c r="S69" s="1358">
        <f t="shared" si="128"/>
        <v>113</v>
      </c>
      <c r="T69" s="740">
        <f t="shared" si="128"/>
        <v>0</v>
      </c>
      <c r="U69" s="740">
        <f t="shared" si="128"/>
        <v>0</v>
      </c>
      <c r="V69" s="740">
        <f t="shared" si="128"/>
        <v>0</v>
      </c>
      <c r="W69" s="740">
        <f t="shared" si="128"/>
        <v>0</v>
      </c>
      <c r="X69" s="740">
        <f t="shared" si="128"/>
        <v>0</v>
      </c>
      <c r="Y69" s="740">
        <f t="shared" si="128"/>
        <v>0</v>
      </c>
      <c r="Z69" s="740">
        <f t="shared" si="128"/>
        <v>100</v>
      </c>
      <c r="AA69" s="740">
        <f>+SUMIF($A$12:$A$50,"CONTA",AA$12:AA$55)</f>
        <v>0</v>
      </c>
      <c r="AB69" s="740"/>
      <c r="AC69" s="740">
        <f t="shared" ref="AC69:AN69" si="129">+SUMIF($A$12:$A$50,"CONTA",AC$12:AC$55)</f>
        <v>653.33333333333326</v>
      </c>
      <c r="AD69" s="740">
        <f t="shared" si="129"/>
        <v>0</v>
      </c>
      <c r="AE69" s="740">
        <f t="shared" si="129"/>
        <v>0</v>
      </c>
      <c r="AF69" s="740">
        <f t="shared" si="129"/>
        <v>5800</v>
      </c>
      <c r="AG69" s="740">
        <f t="shared" si="129"/>
        <v>522</v>
      </c>
      <c r="AH69" s="740">
        <f t="shared" si="129"/>
        <v>0</v>
      </c>
      <c r="AI69" s="740">
        <f t="shared" si="129"/>
        <v>0</v>
      </c>
      <c r="AJ69" s="740">
        <f t="shared" si="129"/>
        <v>0</v>
      </c>
      <c r="AK69" s="740">
        <f t="shared" si="129"/>
        <v>0</v>
      </c>
      <c r="AL69" s="740">
        <f t="shared" si="129"/>
        <v>0</v>
      </c>
      <c r="AM69" s="740">
        <f t="shared" si="129"/>
        <v>12935</v>
      </c>
      <c r="AN69" s="740">
        <f t="shared" si="129"/>
        <v>6402.7916666666661</v>
      </c>
      <c r="AO69" s="549"/>
      <c r="AP69" s="591" t="s">
        <v>290</v>
      </c>
      <c r="AQ69" s="577">
        <f>+AP65</f>
        <v>3654.0754482540874</v>
      </c>
      <c r="AR69" s="577"/>
      <c r="AS69" s="577"/>
      <c r="AT69" s="577"/>
      <c r="AU69" s="577"/>
      <c r="AV69" s="577"/>
      <c r="AW69" s="592">
        <f>SUM(AQ69:AV69)</f>
        <v>3654.0754482540874</v>
      </c>
      <c r="AX69" s="549"/>
      <c r="AY69" s="549"/>
      <c r="AZ69" s="549"/>
      <c r="BA69" s="549"/>
      <c r="BB69" s="549"/>
      <c r="BC69" s="549"/>
      <c r="BD69" s="549"/>
      <c r="BE69" s="549"/>
      <c r="BF69" s="549"/>
      <c r="BG69" s="593" t="s">
        <v>203</v>
      </c>
      <c r="BH69" s="551">
        <f ca="1">+SUMIF($BO$12:$BO$55,"BBVA",$BJ$12:$BJ$55)</f>
        <v>64292.923168776018</v>
      </c>
      <c r="BI69" s="593"/>
      <c r="BJ69" s="549"/>
      <c r="BK69" s="545"/>
      <c r="BL69" s="740">
        <f>+SUMIF($A$12:$A$50,"CONTA",BL$12:BL$55)</f>
        <v>576.25124999999991</v>
      </c>
      <c r="BM69" s="740">
        <f>+SUMIF($A$12:$A$50,"CONTA",BM$12:BM$55)</f>
        <v>24.450000000000003</v>
      </c>
      <c r="BN69" s="740"/>
      <c r="BO69" s="548"/>
      <c r="BS69" s="549" t="s">
        <v>203</v>
      </c>
      <c r="BT69" s="551">
        <f>+SUMIF($BO$12:$BO$55,"BBVA",$BT$12:$BT$55)</f>
        <v>0</v>
      </c>
    </row>
    <row r="70" spans="1:79" ht="14.25" customHeight="1">
      <c r="C70" s="546"/>
      <c r="F70" s="549"/>
      <c r="I70" s="549"/>
      <c r="J70" s="549"/>
      <c r="K70" s="549"/>
      <c r="N70" s="549"/>
      <c r="O70" s="830" t="s">
        <v>296</v>
      </c>
      <c r="P70" s="825" t="s">
        <v>213</v>
      </c>
      <c r="R70" s="740">
        <f t="shared" ref="R70:Z70" si="130">+SUMIF($A$12:$A$50,"LOGISTICA",R$12:R$55)</f>
        <v>5080</v>
      </c>
      <c r="S70" s="1358">
        <f t="shared" si="130"/>
        <v>0</v>
      </c>
      <c r="T70" s="740">
        <f t="shared" si="130"/>
        <v>0</v>
      </c>
      <c r="U70" s="740">
        <f t="shared" si="130"/>
        <v>0</v>
      </c>
      <c r="V70" s="740">
        <f t="shared" si="130"/>
        <v>0</v>
      </c>
      <c r="W70" s="740">
        <f t="shared" si="130"/>
        <v>0</v>
      </c>
      <c r="X70" s="740">
        <f t="shared" si="130"/>
        <v>0</v>
      </c>
      <c r="Y70" s="740">
        <f t="shared" si="130"/>
        <v>240</v>
      </c>
      <c r="Z70" s="740">
        <f t="shared" si="130"/>
        <v>73.91304347826086</v>
      </c>
      <c r="AA70" s="740">
        <f>+SUMIF($A$12:$A$50,"LOGISTICA",AA$12:AA$55)</f>
        <v>0</v>
      </c>
      <c r="AB70" s="740"/>
      <c r="AC70" s="740">
        <f t="shared" ref="AC70:AN70" si="131">+SUMIF($A$12:$A$50,"LOGISTICA",AC$12:AC$55)</f>
        <v>720</v>
      </c>
      <c r="AD70" s="740">
        <f t="shared" si="131"/>
        <v>0</v>
      </c>
      <c r="AE70" s="740">
        <f t="shared" si="131"/>
        <v>0</v>
      </c>
      <c r="AF70" s="740">
        <f t="shared" si="131"/>
        <v>6440</v>
      </c>
      <c r="AG70" s="740">
        <f t="shared" si="131"/>
        <v>579.59999999999991</v>
      </c>
      <c r="AH70" s="740">
        <f t="shared" si="131"/>
        <v>640</v>
      </c>
      <c r="AI70" s="740">
        <f t="shared" si="131"/>
        <v>0</v>
      </c>
      <c r="AJ70" s="740">
        <f t="shared" si="131"/>
        <v>0</v>
      </c>
      <c r="AK70" s="740">
        <f t="shared" si="131"/>
        <v>0</v>
      </c>
      <c r="AL70" s="740">
        <f t="shared" si="131"/>
        <v>0</v>
      </c>
      <c r="AM70" s="740">
        <f t="shared" si="131"/>
        <v>13773.51304347826</v>
      </c>
      <c r="AN70" s="740">
        <f t="shared" si="131"/>
        <v>6599.7916666666661</v>
      </c>
      <c r="AO70" s="549"/>
      <c r="AP70" s="594" t="s">
        <v>11</v>
      </c>
      <c r="AQ70" s="576"/>
      <c r="AR70" s="576">
        <f>+BL56</f>
        <v>14627.840716848559</v>
      </c>
      <c r="AS70" s="576"/>
      <c r="AT70" s="576"/>
      <c r="AU70" s="576"/>
      <c r="AV70" s="576"/>
      <c r="AW70" s="595">
        <f t="shared" ref="AW70" si="132">SUM(AQ70:AV70)</f>
        <v>14627.840716848559</v>
      </c>
      <c r="AX70" s="554"/>
      <c r="AY70" s="549"/>
      <c r="AZ70" s="549"/>
      <c r="BA70" s="549"/>
      <c r="BB70" s="549"/>
      <c r="BC70" s="549"/>
      <c r="BD70" s="549"/>
      <c r="BE70" s="549"/>
      <c r="BF70" s="549"/>
      <c r="BG70" s="593" t="s">
        <v>210</v>
      </c>
      <c r="BH70" s="551">
        <f ca="1">+SUMIF($BO$12:$BO$55,"BCP",$BJ$12:$BJ$55)</f>
        <v>45374.868954557583</v>
      </c>
      <c r="BI70" s="593"/>
      <c r="BJ70" s="549"/>
      <c r="BK70" s="545"/>
      <c r="BL70" s="740">
        <f>+SUMIF($A$12:$A$50,"LOGISTICA",BL$12:BL$55)</f>
        <v>593.98124999999993</v>
      </c>
      <c r="BM70" s="740">
        <f>+SUMIF($A$12:$A$50,"LOGISTICA",BM$12:BM$55)</f>
        <v>15.963999999999999</v>
      </c>
      <c r="BN70" s="740"/>
      <c r="BO70" s="548"/>
      <c r="BS70" s="549" t="s">
        <v>210</v>
      </c>
      <c r="BT70" s="551">
        <f>+SUMIF($BO$12:$BO$55,"BCP",$BT$12:$BT$55)</f>
        <v>0</v>
      </c>
      <c r="BU70" s="836" t="s">
        <v>210</v>
      </c>
    </row>
    <row r="71" spans="1:79">
      <c r="C71" s="546"/>
      <c r="F71" s="549"/>
      <c r="I71" s="549"/>
      <c r="J71" s="549"/>
      <c r="K71" s="549"/>
      <c r="N71" s="549"/>
      <c r="O71" s="830"/>
      <c r="P71" s="825"/>
      <c r="R71" s="740"/>
      <c r="S71" s="1358"/>
      <c r="T71" s="740"/>
      <c r="U71" s="740"/>
      <c r="V71" s="740"/>
      <c r="W71" s="740"/>
      <c r="X71" s="740"/>
      <c r="Y71" s="740"/>
      <c r="Z71" s="740"/>
      <c r="AA71" s="740"/>
      <c r="AB71" s="740"/>
      <c r="AC71" s="740"/>
      <c r="AD71" s="740"/>
      <c r="AE71" s="740"/>
      <c r="AF71" s="740"/>
      <c r="AG71" s="740"/>
      <c r="AH71" s="740"/>
      <c r="AI71" s="740"/>
      <c r="AJ71" s="740"/>
      <c r="AK71" s="740"/>
      <c r="AL71" s="740"/>
      <c r="AM71" s="740"/>
      <c r="AN71" s="740"/>
      <c r="AO71" s="549"/>
      <c r="AP71" s="594"/>
      <c r="AQ71" s="576"/>
      <c r="AR71" s="576"/>
      <c r="AS71" s="576"/>
      <c r="AT71" s="576"/>
      <c r="AU71" s="576"/>
      <c r="AV71" s="576"/>
      <c r="AW71" s="595"/>
      <c r="AX71" s="554"/>
      <c r="AY71" s="549"/>
      <c r="AZ71" s="549"/>
      <c r="BA71" s="549"/>
      <c r="BB71" s="549"/>
      <c r="BC71" s="549"/>
      <c r="BD71" s="549"/>
      <c r="BE71" s="549"/>
      <c r="BF71" s="549"/>
      <c r="BG71" s="593" t="s">
        <v>753</v>
      </c>
      <c r="BH71" s="551">
        <f ca="1">+SUMIF($BO$12:$BO$55,"INTERB",$BJ$12:$BJ$55)</f>
        <v>5502.4825659040944</v>
      </c>
      <c r="BI71" s="593"/>
      <c r="BJ71" s="549"/>
      <c r="BK71" s="545"/>
      <c r="BL71" s="740"/>
      <c r="BM71" s="740"/>
      <c r="BN71" s="740"/>
      <c r="BO71" s="548"/>
      <c r="BS71" s="549" t="s">
        <v>759</v>
      </c>
      <c r="BT71" s="1086">
        <f>+BT22</f>
        <v>0</v>
      </c>
      <c r="BU71" s="836" t="s">
        <v>210</v>
      </c>
    </row>
    <row r="72" spans="1:79" ht="12.75" thickBot="1">
      <c r="O72" s="830" t="s">
        <v>297</v>
      </c>
      <c r="P72" s="825" t="s">
        <v>200</v>
      </c>
      <c r="R72" s="740">
        <f t="shared" ref="R72:Z72" si="133">+SUMIF($A$12:$A$50,"VTAS",R$12:R$55)</f>
        <v>35519.733333333337</v>
      </c>
      <c r="S72" s="1358">
        <f t="shared" si="133"/>
        <v>452</v>
      </c>
      <c r="T72" s="740">
        <f t="shared" si="133"/>
        <v>1920</v>
      </c>
      <c r="U72" s="740">
        <f t="shared" si="133"/>
        <v>31345.322950000005</v>
      </c>
      <c r="V72" s="740">
        <f t="shared" si="133"/>
        <v>2161.4637441506593</v>
      </c>
      <c r="W72" s="740">
        <f t="shared" si="133"/>
        <v>0</v>
      </c>
      <c r="X72" s="740">
        <f t="shared" si="133"/>
        <v>0</v>
      </c>
      <c r="Y72" s="740">
        <f t="shared" si="133"/>
        <v>0</v>
      </c>
      <c r="Z72" s="740">
        <f t="shared" si="133"/>
        <v>0</v>
      </c>
      <c r="AA72" s="740">
        <f>+SUMIF($A$12:$A$50,"VTAS",AA$12:AA$55)</f>
        <v>0</v>
      </c>
      <c r="AB72" s="740"/>
      <c r="AC72" s="740">
        <f t="shared" ref="AC72:AN72" si="134">+SUMIF($A$12:$A$50,"VTAS",AC$12:AC$55)</f>
        <v>3360.2666666666664</v>
      </c>
      <c r="AD72" s="740">
        <f t="shared" si="134"/>
        <v>0</v>
      </c>
      <c r="AE72" s="740">
        <f t="shared" si="134"/>
        <v>0</v>
      </c>
      <c r="AF72" s="740">
        <f t="shared" si="134"/>
        <v>65417.629730734458</v>
      </c>
      <c r="AG72" s="740">
        <f t="shared" si="134"/>
        <v>5887.5866757661024</v>
      </c>
      <c r="AH72" s="740">
        <f t="shared" si="134"/>
        <v>800</v>
      </c>
      <c r="AI72" s="740">
        <f t="shared" si="134"/>
        <v>0</v>
      </c>
      <c r="AJ72" s="740">
        <f t="shared" si="134"/>
        <v>0</v>
      </c>
      <c r="AK72" s="740">
        <f t="shared" si="134"/>
        <v>0</v>
      </c>
      <c r="AL72" s="740">
        <f t="shared" si="134"/>
        <v>0</v>
      </c>
      <c r="AM72" s="740">
        <f t="shared" si="134"/>
        <v>146864.00310065123</v>
      </c>
      <c r="AN72" s="740">
        <f t="shared" si="134"/>
        <v>75462.692180261773</v>
      </c>
      <c r="AP72" s="596" t="s">
        <v>72</v>
      </c>
      <c r="AQ72" s="576"/>
      <c r="AR72" s="576"/>
      <c r="AS72" s="576">
        <f>+SUMIF($I$12:$I$55,"PRIMA",AR$12:AR$55)+AR60</f>
        <v>3510.9705778055563</v>
      </c>
      <c r="AT72" s="576">
        <f>+SUMIF($I$12:$I$55,"PRIMA",AT$12:AT$55)</f>
        <v>153.4716688888889</v>
      </c>
      <c r="AU72" s="576">
        <f>+SUMIF($I$12:$I$55,"PRIMA",AV$12:AV$55)+AV60</f>
        <v>481.0029691593611</v>
      </c>
      <c r="AV72" s="576"/>
      <c r="AW72" s="595">
        <f>SUM(AQ72:AV72)</f>
        <v>4145.4452158538061</v>
      </c>
      <c r="AX72" s="740"/>
      <c r="BG72" s="597"/>
      <c r="BH72" s="824">
        <f ca="1">SUM(BH69:BH71)</f>
        <v>115170.2746892377</v>
      </c>
      <c r="BI72" s="597"/>
      <c r="BJ72" s="740"/>
      <c r="BK72" s="744"/>
      <c r="BL72" s="740">
        <f>+SUMIF($A$12:$A$50,"VTAS",BL$12:BL$55)</f>
        <v>6791.6422962235602</v>
      </c>
      <c r="BM72" s="740">
        <f>+SUMIF($A$12:$A$50,"VTAS",BM$12:BM$55)</f>
        <v>118.28000000000002</v>
      </c>
      <c r="BN72" s="740"/>
      <c r="BT72" s="824">
        <f>SUM(BT69:BT71)</f>
        <v>0</v>
      </c>
      <c r="BU72" s="836" t="s">
        <v>203</v>
      </c>
    </row>
    <row r="73" spans="1:79" ht="12.75" thickTop="1">
      <c r="O73" s="830" t="s">
        <v>298</v>
      </c>
      <c r="P73" s="825" t="s">
        <v>207</v>
      </c>
      <c r="R73" s="740">
        <f t="shared" ref="R73:Z73" si="135">+SUMIF($A$12:$A$50,"SOPORTE",R$12:R$55)</f>
        <v>20000</v>
      </c>
      <c r="S73" s="1358">
        <f t="shared" si="135"/>
        <v>339</v>
      </c>
      <c r="T73" s="740">
        <f t="shared" si="135"/>
        <v>0</v>
      </c>
      <c r="U73" s="740">
        <f t="shared" si="135"/>
        <v>0</v>
      </c>
      <c r="V73" s="740">
        <f t="shared" si="135"/>
        <v>0</v>
      </c>
      <c r="W73" s="740">
        <f t="shared" si="135"/>
        <v>0</v>
      </c>
      <c r="X73" s="740">
        <f t="shared" si="135"/>
        <v>0</v>
      </c>
      <c r="Y73" s="740">
        <f t="shared" si="135"/>
        <v>0</v>
      </c>
      <c r="Z73" s="740">
        <f t="shared" si="135"/>
        <v>200</v>
      </c>
      <c r="AA73" s="740">
        <f>+SUMIF($A$12:$A$50,"SOPORTE",AA$12:AA$55)</f>
        <v>0</v>
      </c>
      <c r="AB73" s="740"/>
      <c r="AC73" s="740">
        <f t="shared" ref="AC73:AN73" si="136">+SUMIF($A$12:$A$50,"SOPORTE",AC$12:AC$55)</f>
        <v>1000</v>
      </c>
      <c r="AD73" s="740">
        <f t="shared" si="136"/>
        <v>0</v>
      </c>
      <c r="AE73" s="740">
        <f t="shared" si="136"/>
        <v>0</v>
      </c>
      <c r="AF73" s="740">
        <f t="shared" si="136"/>
        <v>17651.176475694447</v>
      </c>
      <c r="AG73" s="740">
        <f t="shared" si="136"/>
        <v>1588.6058828124999</v>
      </c>
      <c r="AH73" s="740">
        <f t="shared" si="136"/>
        <v>0</v>
      </c>
      <c r="AI73" s="740">
        <f t="shared" si="136"/>
        <v>0</v>
      </c>
      <c r="AJ73" s="740">
        <f t="shared" si="136"/>
        <v>0</v>
      </c>
      <c r="AK73" s="740">
        <f t="shared" si="136"/>
        <v>0</v>
      </c>
      <c r="AL73" s="740">
        <f t="shared" si="136"/>
        <v>0</v>
      </c>
      <c r="AM73" s="740">
        <f t="shared" si="136"/>
        <v>40778.782358506942</v>
      </c>
      <c r="AN73" s="740">
        <f t="shared" si="136"/>
        <v>21182.727013888893</v>
      </c>
      <c r="AP73" s="596" t="s">
        <v>71</v>
      </c>
      <c r="AQ73" s="576"/>
      <c r="AR73" s="576"/>
      <c r="AS73" s="576">
        <f>+SUMIF($I$12:$I$55,"INTEGRA",AR$12:AR$55)+AR59</f>
        <v>8051.0968188606421</v>
      </c>
      <c r="AT73" s="576">
        <f>+SUMIF($I$12:$I$55,"INTEGRA",AT$12:AT$55)+AT63</f>
        <v>360.40096701536015</v>
      </c>
      <c r="AU73" s="576">
        <f>+SUMIF($I$12:$I$55,"INTEGRA",AV$12:AV$55)+AV59</f>
        <v>987.83731410890778</v>
      </c>
      <c r="AV73" s="576"/>
      <c r="AW73" s="595">
        <f>SUM(AQ73:AV73)</f>
        <v>9399.3350999849099</v>
      </c>
      <c r="AX73" s="831"/>
      <c r="AY73" s="599"/>
      <c r="BG73" s="597"/>
      <c r="BH73" s="825"/>
      <c r="BI73" s="597"/>
      <c r="BJ73" s="589"/>
      <c r="BK73" s="744"/>
      <c r="BL73" s="740">
        <f>+SUMIF($A$12:$A$50,"SOPORTE",BL$12:BL$55)</f>
        <v>1906.44543125</v>
      </c>
      <c r="BM73" s="740">
        <f>+SUMIF($A$12:$A$50,"SOPORTE",BM$12:BM$55)</f>
        <v>39.780700000000003</v>
      </c>
      <c r="BN73" s="740"/>
      <c r="BT73" s="825"/>
      <c r="BU73" s="836" t="s">
        <v>203</v>
      </c>
    </row>
    <row r="74" spans="1:79">
      <c r="G74" s="599"/>
      <c r="H74" s="599"/>
      <c r="O74" s="830" t="s">
        <v>299</v>
      </c>
      <c r="P74" s="825" t="s">
        <v>300</v>
      </c>
      <c r="R74" s="740">
        <f t="shared" ref="R74:Z74" si="137">+SUMIF($A$12:$A$50,"PROYECTO",R$12:R$55)</f>
        <v>8316.6666666666661</v>
      </c>
      <c r="S74" s="1358">
        <f t="shared" si="137"/>
        <v>0</v>
      </c>
      <c r="T74" s="740">
        <f t="shared" si="137"/>
        <v>0</v>
      </c>
      <c r="U74" s="740">
        <f t="shared" si="137"/>
        <v>0</v>
      </c>
      <c r="V74" s="740">
        <f t="shared" si="137"/>
        <v>0</v>
      </c>
      <c r="W74" s="740">
        <f t="shared" si="137"/>
        <v>0</v>
      </c>
      <c r="X74" s="740">
        <f t="shared" si="137"/>
        <v>0</v>
      </c>
      <c r="Y74" s="740">
        <f t="shared" si="137"/>
        <v>0</v>
      </c>
      <c r="Z74" s="740">
        <f t="shared" si="137"/>
        <v>0</v>
      </c>
      <c r="AA74" s="740">
        <f>+SUMIF($A$12:$A$50,"PROYECTO",AA$12:AA$55)</f>
        <v>0</v>
      </c>
      <c r="AB74" s="740"/>
      <c r="AC74" s="740">
        <f t="shared" ref="AC74:AN74" si="138">+SUMIF($A$12:$A$50,"PROYECTO",AC$12:AC$55)</f>
        <v>533.33333333333337</v>
      </c>
      <c r="AD74" s="740">
        <f t="shared" si="138"/>
        <v>0</v>
      </c>
      <c r="AE74" s="740">
        <f t="shared" si="138"/>
        <v>0</v>
      </c>
      <c r="AF74" s="740">
        <f t="shared" si="138"/>
        <v>6686.858194444445</v>
      </c>
      <c r="AG74" s="740">
        <f t="shared" si="138"/>
        <v>601.81723749999992</v>
      </c>
      <c r="AH74" s="740">
        <f t="shared" si="138"/>
        <v>0</v>
      </c>
      <c r="AI74" s="740">
        <f t="shared" si="138"/>
        <v>0</v>
      </c>
      <c r="AJ74" s="740">
        <f t="shared" si="138"/>
        <v>0</v>
      </c>
      <c r="AK74" s="740">
        <f t="shared" si="138"/>
        <v>0</v>
      </c>
      <c r="AL74" s="740">
        <f t="shared" si="138"/>
        <v>0</v>
      </c>
      <c r="AM74" s="740">
        <f t="shared" si="138"/>
        <v>16138.675431944444</v>
      </c>
      <c r="AN74" s="740">
        <f t="shared" si="138"/>
        <v>8786.1319444444453</v>
      </c>
      <c r="AP74" s="596" t="s">
        <v>73</v>
      </c>
      <c r="AQ74" s="576"/>
      <c r="AR74" s="576"/>
      <c r="AS74" s="576">
        <f>+SUMIF($I$12:$I$55,"PROFUTURO",AR$12:AR$55)+AR61</f>
        <v>1554.0770277777781</v>
      </c>
      <c r="AT74" s="576">
        <f>+SUMIF($I$12:$I$55,"PROFUTURO",AT$12:AT$55)</f>
        <v>0</v>
      </c>
      <c r="AU74" s="576">
        <f>+SUMIF($I$12:$I$55,"PROFUTURO",AV$12:AV$55)+AV61</f>
        <v>212.90855280555556</v>
      </c>
      <c r="AV74" s="576"/>
      <c r="AW74" s="595">
        <f>SUM(AQ74:AV74)</f>
        <v>1766.9855805833336</v>
      </c>
      <c r="BG74" s="597"/>
      <c r="BH74" s="827"/>
      <c r="BI74" s="597"/>
      <c r="BJ74" s="589"/>
      <c r="BK74" s="744"/>
      <c r="BL74" s="740">
        <f>+SUMIF($A$12:$A$50,"PROYECTO",BL$12:BL$55)</f>
        <v>790.75187500000004</v>
      </c>
      <c r="BM74" s="740">
        <f>+SUMIF($A$12:$A$50,"PROYECTO",BM$12:BM$55)</f>
        <v>12.76</v>
      </c>
      <c r="BN74" s="740"/>
      <c r="BT74" s="826"/>
      <c r="BU74" s="836" t="s">
        <v>203</v>
      </c>
    </row>
    <row r="75" spans="1:79">
      <c r="C75" s="599"/>
      <c r="D75" s="599"/>
      <c r="E75" s="599"/>
      <c r="G75" s="599"/>
      <c r="H75" s="599"/>
      <c r="O75" s="830" t="s">
        <v>301</v>
      </c>
      <c r="P75" s="825" t="s">
        <v>302</v>
      </c>
      <c r="R75" s="740">
        <f t="shared" ref="R75:Z75" si="139">+SUMIF($A$12:$A$50,"MARKET",R$12:R$55)</f>
        <v>10873.333333333334</v>
      </c>
      <c r="S75" s="1358">
        <f t="shared" si="139"/>
        <v>113</v>
      </c>
      <c r="T75" s="740">
        <f t="shared" si="139"/>
        <v>0</v>
      </c>
      <c r="U75" s="740">
        <f t="shared" si="139"/>
        <v>0</v>
      </c>
      <c r="V75" s="740">
        <f t="shared" si="139"/>
        <v>0</v>
      </c>
      <c r="W75" s="740">
        <f t="shared" si="139"/>
        <v>0</v>
      </c>
      <c r="X75" s="740">
        <f t="shared" si="139"/>
        <v>0</v>
      </c>
      <c r="Y75" s="740">
        <f t="shared" si="139"/>
        <v>0</v>
      </c>
      <c r="Z75" s="740">
        <f t="shared" si="139"/>
        <v>0</v>
      </c>
      <c r="AA75" s="740">
        <f>+SUMIF($A$12:$A$50,"MARKET",AA$12:AA$55)</f>
        <v>0</v>
      </c>
      <c r="AB75" s="740"/>
      <c r="AC75" s="740">
        <f t="shared" ref="AC75:AN75" si="140">+SUMIF($A$12:$A$50,"MARKET",AC$12:AC$55)</f>
        <v>1026.6666666666665</v>
      </c>
      <c r="AD75" s="740">
        <f t="shared" si="140"/>
        <v>0</v>
      </c>
      <c r="AE75" s="740">
        <f t="shared" si="140"/>
        <v>0</v>
      </c>
      <c r="AF75" s="740">
        <f t="shared" si="140"/>
        <v>12013</v>
      </c>
      <c r="AG75" s="740">
        <f t="shared" si="140"/>
        <v>1081.17</v>
      </c>
      <c r="AH75" s="740">
        <f t="shared" si="140"/>
        <v>0</v>
      </c>
      <c r="AI75" s="740">
        <f t="shared" si="140"/>
        <v>0</v>
      </c>
      <c r="AJ75" s="740">
        <f t="shared" si="140"/>
        <v>0</v>
      </c>
      <c r="AK75" s="740">
        <f t="shared" si="140"/>
        <v>0</v>
      </c>
      <c r="AL75" s="740">
        <f t="shared" si="140"/>
        <v>0</v>
      </c>
      <c r="AM75" s="740">
        <f t="shared" si="140"/>
        <v>25107.17</v>
      </c>
      <c r="AN75" s="740">
        <f t="shared" si="140"/>
        <v>11989.958333333334</v>
      </c>
      <c r="AP75" s="596" t="s">
        <v>70</v>
      </c>
      <c r="AQ75" s="576"/>
      <c r="AR75" s="576"/>
      <c r="AS75" s="576">
        <f>+SUMIF($I$12:$I$55,"HABITAT",AR$12:AR$55)</f>
        <v>652.67265972222231</v>
      </c>
      <c r="AT75" s="576">
        <f>+SUMIF($I$12:$I$55,"HABITAT",AT$12:AT$55)</f>
        <v>0</v>
      </c>
      <c r="AU75" s="576">
        <f>+SUMIF($I$12:$I$55,"HABITAT",AV$12:AV$55)</f>
        <v>89.416154381944438</v>
      </c>
      <c r="AV75" s="576"/>
      <c r="AW75" s="595">
        <f>SUM(AQ75:AV75)</f>
        <v>742.08881410416677</v>
      </c>
      <c r="BH75" s="827"/>
      <c r="BI75" s="597"/>
      <c r="BJ75" s="589"/>
      <c r="BK75" s="744"/>
      <c r="BL75" s="740">
        <f>+SUMIF($A$12:$A$50,"MARKET",BL$12:BL$55)</f>
        <v>1079.0962500000001</v>
      </c>
      <c r="BM75" s="740">
        <f>+SUMIF($A$12:$A$50,"MARKET",BM$12:BM$55)</f>
        <v>38.5107</v>
      </c>
      <c r="BN75" s="740"/>
      <c r="BS75" s="836" t="s">
        <v>751</v>
      </c>
      <c r="BT75" s="1197">
        <v>2300</v>
      </c>
      <c r="BU75" s="836" t="s">
        <v>203</v>
      </c>
    </row>
    <row r="76" spans="1:79">
      <c r="C76" s="599"/>
      <c r="D76" s="599"/>
      <c r="E76" s="599"/>
      <c r="O76" s="830" t="s">
        <v>303</v>
      </c>
      <c r="P76" s="825" t="s">
        <v>225</v>
      </c>
      <c r="R76" s="740">
        <f t="shared" ref="R76:Z76" si="141">+SUMIF($A$12:$A$50,"ALMACEN",R$12:R$55)</f>
        <v>12134.800000000001</v>
      </c>
      <c r="S76" s="1358">
        <f t="shared" si="141"/>
        <v>452</v>
      </c>
      <c r="T76" s="740">
        <f t="shared" si="141"/>
        <v>0</v>
      </c>
      <c r="U76" s="740">
        <f t="shared" si="141"/>
        <v>0</v>
      </c>
      <c r="V76" s="740">
        <f t="shared" si="141"/>
        <v>0</v>
      </c>
      <c r="W76" s="740">
        <f t="shared" si="141"/>
        <v>487.95833333333326</v>
      </c>
      <c r="X76" s="740">
        <f t="shared" si="141"/>
        <v>207.41343749999999</v>
      </c>
      <c r="Y76" s="740">
        <f t="shared" si="141"/>
        <v>1451.8666666666666</v>
      </c>
      <c r="Z76" s="740">
        <f t="shared" si="141"/>
        <v>100</v>
      </c>
      <c r="AA76" s="740">
        <f>+SUMIF($A$12:$A$50,"ALMACEN",AA$12:AA$55)</f>
        <v>0</v>
      </c>
      <c r="AB76" s="740"/>
      <c r="AC76" s="740">
        <f t="shared" ref="AC76:AN76" si="142">+SUMIF($A$12:$A$50,"ALMACEN",AC$12:AC$55)</f>
        <v>1065.1999999999998</v>
      </c>
      <c r="AD76" s="740">
        <f t="shared" si="142"/>
        <v>0</v>
      </c>
      <c r="AE76" s="740">
        <f t="shared" si="142"/>
        <v>0</v>
      </c>
      <c r="AF76" s="740">
        <f t="shared" si="142"/>
        <v>12402</v>
      </c>
      <c r="AG76" s="740">
        <f t="shared" si="142"/>
        <v>1116.18</v>
      </c>
      <c r="AH76" s="740">
        <f t="shared" si="142"/>
        <v>0</v>
      </c>
      <c r="AI76" s="740">
        <f t="shared" si="142"/>
        <v>0</v>
      </c>
      <c r="AJ76" s="740">
        <f t="shared" si="142"/>
        <v>0</v>
      </c>
      <c r="AK76" s="740">
        <f t="shared" si="142"/>
        <v>0</v>
      </c>
      <c r="AL76" s="740">
        <f t="shared" si="142"/>
        <v>0</v>
      </c>
      <c r="AM76" s="740">
        <f t="shared" si="142"/>
        <v>29417.418437499997</v>
      </c>
      <c r="AN76" s="740">
        <f t="shared" si="142"/>
        <v>15668.729618055555</v>
      </c>
      <c r="AP76" s="596" t="s">
        <v>291</v>
      </c>
      <c r="AQ76" s="576"/>
      <c r="AR76" s="576"/>
      <c r="AS76" s="576"/>
      <c r="AT76" s="576"/>
      <c r="AU76" s="576"/>
      <c r="AV76" s="576">
        <f>+BH65</f>
        <v>12189.816085050603</v>
      </c>
      <c r="AW76" s="595">
        <f>SUM(AQ76:AV76)</f>
        <v>12189.816085050603</v>
      </c>
      <c r="BG76" s="597" t="s">
        <v>920</v>
      </c>
      <c r="BH76" s="827">
        <v>12000</v>
      </c>
      <c r="BI76" s="597" t="s">
        <v>203</v>
      </c>
      <c r="BJ76" s="589"/>
      <c r="BK76" s="744"/>
      <c r="BL76" s="740">
        <f>+SUMIF($A$12:$A$50,"ALMACEN",BL$12:BL$55)</f>
        <v>1410.1856656250002</v>
      </c>
      <c r="BM76" s="740">
        <f>+SUMIF($A$12:$A$50,"ALMACEN",BM$12:BM$55)</f>
        <v>39.571400000000004</v>
      </c>
      <c r="BN76" s="740"/>
      <c r="BS76" s="836" t="s">
        <v>752</v>
      </c>
      <c r="BT76" s="1197">
        <v>1000</v>
      </c>
    </row>
    <row r="77" spans="1:79">
      <c r="AP77" s="600" t="s">
        <v>750</v>
      </c>
      <c r="AQ77" s="601"/>
      <c r="AR77" s="601">
        <f>+BL63</f>
        <v>293.83920000000001</v>
      </c>
      <c r="AS77" s="601"/>
      <c r="AT77" s="601"/>
      <c r="AU77" s="601"/>
      <c r="AV77" s="601"/>
      <c r="AW77" s="602">
        <v>0</v>
      </c>
      <c r="BG77" s="597" t="s">
        <v>919</v>
      </c>
      <c r="BH77" s="755">
        <v>700</v>
      </c>
      <c r="BI77" s="597" t="s">
        <v>768</v>
      </c>
      <c r="BJ77" s="589"/>
      <c r="BK77" s="744"/>
      <c r="BS77" s="836" t="s">
        <v>771</v>
      </c>
      <c r="BT77" s="1198">
        <f>4984+3452.5+5945.73</f>
        <v>14382.23</v>
      </c>
    </row>
    <row r="78" spans="1:79" ht="12.75" thickBot="1">
      <c r="R78" s="843">
        <f t="shared" ref="R78:AH78" si="143">SUM(R68:R76)</f>
        <v>106871.20000000001</v>
      </c>
      <c r="S78" s="1359">
        <f t="shared" si="143"/>
        <v>1695</v>
      </c>
      <c r="T78" s="843"/>
      <c r="U78" s="843">
        <f t="shared" si="143"/>
        <v>31345.322950000005</v>
      </c>
      <c r="V78" s="843">
        <f t="shared" si="143"/>
        <v>2161.4637441506593</v>
      </c>
      <c r="W78" s="843">
        <f t="shared" si="143"/>
        <v>487.95833333333326</v>
      </c>
      <c r="X78" s="843">
        <f t="shared" si="143"/>
        <v>207.41343749999999</v>
      </c>
      <c r="Y78" s="843">
        <f t="shared" si="143"/>
        <v>1691.8666666666666</v>
      </c>
      <c r="Z78" s="843">
        <f t="shared" si="143"/>
        <v>573.91304347826087</v>
      </c>
      <c r="AA78" s="843">
        <f t="shared" si="143"/>
        <v>0</v>
      </c>
      <c r="AB78" s="843"/>
      <c r="AC78" s="843">
        <f t="shared" si="143"/>
        <v>8358.7999999999993</v>
      </c>
      <c r="AD78" s="843">
        <f t="shared" si="143"/>
        <v>0</v>
      </c>
      <c r="AE78" s="843">
        <f t="shared" si="143"/>
        <v>0</v>
      </c>
      <c r="AF78" s="843">
        <f t="shared" si="143"/>
        <v>135766.66440087336</v>
      </c>
      <c r="AG78" s="843">
        <f t="shared" si="143"/>
        <v>12218.999796078602</v>
      </c>
      <c r="AH78" s="843">
        <f t="shared" si="143"/>
        <v>1440</v>
      </c>
      <c r="AI78" s="843"/>
      <c r="AJ78" s="843">
        <f>SUM(AJ68:AJ76)</f>
        <v>0</v>
      </c>
      <c r="AK78" s="843">
        <f>SUM(AK68:AK76)</f>
        <v>0</v>
      </c>
      <c r="AL78" s="843">
        <f>SUM(AL68:AL76)</f>
        <v>0</v>
      </c>
      <c r="AM78" s="843">
        <f>SUM(AM68:AM76)</f>
        <v>304738.60237208084</v>
      </c>
      <c r="AN78" s="843">
        <f>SUM(AN68:AN76)</f>
        <v>155518.82242331732</v>
      </c>
      <c r="AP78" s="554"/>
      <c r="AQ78" s="603">
        <f t="shared" ref="AQ78:AW78" si="144">SUM(AQ69:AQ77)</f>
        <v>3654.0754482540874</v>
      </c>
      <c r="AR78" s="603">
        <f t="shared" si="144"/>
        <v>14921.67991684856</v>
      </c>
      <c r="AS78" s="603">
        <f>SUM(AS69:AS77)</f>
        <v>13768.817084166198</v>
      </c>
      <c r="AT78" s="603">
        <f>SUM(AT69:AT77)</f>
        <v>513.87263590424902</v>
      </c>
      <c r="AU78" s="603">
        <f>SUM(AU69:AU77)</f>
        <v>1771.1649904557687</v>
      </c>
      <c r="AV78" s="603">
        <f t="shared" si="144"/>
        <v>12189.816085050603</v>
      </c>
      <c r="AW78" s="603">
        <f t="shared" si="144"/>
        <v>46525.586960679466</v>
      </c>
      <c r="BG78" s="589" t="s">
        <v>921</v>
      </c>
      <c r="BH78" s="755">
        <v>11000</v>
      </c>
      <c r="BI78" s="589" t="s">
        <v>210</v>
      </c>
      <c r="BJ78" s="589"/>
      <c r="BK78" s="744"/>
      <c r="BL78" s="843">
        <f>SUM(BL68:BL76)</f>
        <v>13996.69401809856</v>
      </c>
      <c r="BM78" s="843">
        <f t="shared" ref="BM78" si="145">SUM(BM68:BM76)</f>
        <v>322.6782</v>
      </c>
      <c r="BS78" s="836" t="s">
        <v>393</v>
      </c>
      <c r="BT78" s="1198">
        <v>6750</v>
      </c>
      <c r="BU78" s="835"/>
    </row>
    <row r="79" spans="1:79" ht="12.75" thickTop="1">
      <c r="BG79" s="1396" t="s">
        <v>922</v>
      </c>
      <c r="BH79" s="827">
        <f>+BT59+BT58</f>
        <v>1853.3333333333335</v>
      </c>
      <c r="BI79" s="1397" t="s">
        <v>210</v>
      </c>
      <c r="BJ79" s="589"/>
      <c r="BK79" s="744"/>
      <c r="BS79" s="836" t="s">
        <v>393</v>
      </c>
      <c r="BT79" s="1198">
        <v>8732</v>
      </c>
      <c r="BU79" s="835"/>
      <c r="BV79" s="755"/>
    </row>
    <row r="80" spans="1:79">
      <c r="AN80" s="1008">
        <f>+AN56-AN18-AN19-AN28-AN37-AN41+AN63</f>
        <v>137688.17084166195</v>
      </c>
      <c r="AO80" s="740"/>
      <c r="AP80" s="740" t="s">
        <v>305</v>
      </c>
      <c r="AQ80" s="740"/>
      <c r="AR80" s="926">
        <f>+SUMIF($BN$12:$BN$55,"EPS",BL$12:BL$55)</f>
        <v>4718.1011777235599</v>
      </c>
      <c r="AS80" s="740">
        <f>+AR81*AU80</f>
        <v>947.50344639057494</v>
      </c>
      <c r="AT80" s="755">
        <v>3904</v>
      </c>
      <c r="AU80" s="1143">
        <f>+AT80/AT82</f>
        <v>0.80329218106995881</v>
      </c>
      <c r="AV80" s="740"/>
      <c r="AW80" s="831"/>
      <c r="BG80" s="597"/>
      <c r="BH80" s="827"/>
      <c r="BI80" s="597"/>
      <c r="BJ80" s="589"/>
      <c r="BK80" s="744"/>
      <c r="BS80" s="836" t="s">
        <v>772</v>
      </c>
      <c r="BT80" s="1198">
        <v>22777</v>
      </c>
      <c r="BU80" s="835">
        <v>1000</v>
      </c>
      <c r="BV80" s="755">
        <f>+BV82-BV81</f>
        <v>24400</v>
      </c>
      <c r="BW80" s="871">
        <f>+BT84-BV80</f>
        <v>-21100</v>
      </c>
      <c r="BX80" s="871"/>
      <c r="CA80" s="755"/>
    </row>
    <row r="81" spans="41:79" ht="12.75" thickBot="1">
      <c r="AO81" s="740"/>
      <c r="AP81" s="589" t="s">
        <v>306</v>
      </c>
      <c r="AR81" s="1007">
        <f>+AR80*25/100</f>
        <v>1179.52529443089</v>
      </c>
      <c r="AS81" s="1144">
        <f>+AR81*AU81</f>
        <v>232.02184804031501</v>
      </c>
      <c r="AT81" s="1144">
        <v>956</v>
      </c>
      <c r="AU81" s="1143">
        <f>+AT81/AT82</f>
        <v>0.19670781893004116</v>
      </c>
      <c r="AV81" s="740">
        <f>-AI59</f>
        <v>0</v>
      </c>
      <c r="BG81" s="597"/>
      <c r="BH81" s="827">
        <f ca="1">SUM(BH72:BH80)</f>
        <v>140723.60802257105</v>
      </c>
      <c r="BI81" s="1006"/>
      <c r="BJ81" s="755"/>
      <c r="BK81" s="744"/>
      <c r="BT81" s="1176"/>
      <c r="BU81" s="838"/>
      <c r="BV81" s="755">
        <v>77000</v>
      </c>
      <c r="BW81" s="755"/>
      <c r="BX81" s="755"/>
      <c r="BY81" s="1004"/>
      <c r="CA81" s="755"/>
    </row>
    <row r="82" spans="41:79" ht="13.5" thickTop="1" thickBot="1">
      <c r="AO82" s="740"/>
      <c r="AS82" s="1145">
        <f>SUBTOTAL(9,AS80:AS81)</f>
        <v>1179.52529443089</v>
      </c>
      <c r="AT82" s="1145">
        <f>SUBTOTAL(9,AT80:AT81)</f>
        <v>4860</v>
      </c>
      <c r="BG82" s="597"/>
      <c r="BH82" s="825"/>
      <c r="BI82" s="597"/>
      <c r="BJ82" s="589"/>
      <c r="BK82" s="744"/>
      <c r="BT82" s="1177"/>
      <c r="BV82" s="828">
        <f>30000*3.38</f>
        <v>101400</v>
      </c>
      <c r="BW82" s="834"/>
      <c r="BY82" s="1005"/>
    </row>
    <row r="83" spans="41:79" ht="12.75" thickTop="1">
      <c r="AO83" s="740"/>
      <c r="AP83" s="589" t="s">
        <v>307</v>
      </c>
      <c r="AR83" s="1008">
        <f>+AX70-AR81</f>
        <v>-1179.52529443089</v>
      </c>
      <c r="AV83" s="831">
        <f>+AV78+AV81</f>
        <v>12189.816085050603</v>
      </c>
      <c r="BG83" s="597"/>
      <c r="BH83" s="827"/>
      <c r="BI83" s="780"/>
      <c r="BJ83" s="755"/>
      <c r="BK83" s="744"/>
      <c r="BT83" s="827"/>
      <c r="BU83" s="922"/>
      <c r="BV83" s="744"/>
      <c r="BY83" s="1005"/>
      <c r="CA83" s="871"/>
    </row>
    <row r="84" spans="41:79">
      <c r="AO84" s="740"/>
      <c r="BG84" s="597" t="s">
        <v>210</v>
      </c>
      <c r="BH84" s="827">
        <f ca="1">+BH70+BH71+BH78+BH79</f>
        <v>63730.684853795014</v>
      </c>
      <c r="BI84" s="780"/>
      <c r="BJ84" s="755">
        <f>+BJ86-BJ85</f>
        <v>65241.599999999991</v>
      </c>
      <c r="BK84" s="1024"/>
      <c r="BS84" s="836" t="s">
        <v>210</v>
      </c>
      <c r="BT84" s="827">
        <f>+BT76+BT75+BT70+BT71</f>
        <v>3300</v>
      </c>
      <c r="BV84" s="924">
        <f>25000*3.432</f>
        <v>85800</v>
      </c>
    </row>
    <row r="85" spans="41:79">
      <c r="AO85" s="740"/>
      <c r="BG85" s="597" t="s">
        <v>203</v>
      </c>
      <c r="BH85" s="827">
        <f ca="1">+BH69+BH76+BH77</f>
        <v>76992.923168776018</v>
      </c>
      <c r="BI85" s="780">
        <v>22000</v>
      </c>
      <c r="BJ85" s="755">
        <v>57000</v>
      </c>
      <c r="BK85" s="1024"/>
      <c r="BS85" s="836" t="s">
        <v>203</v>
      </c>
      <c r="BT85" s="827">
        <f>+BT79+BT78+BT77+BT69+BT80</f>
        <v>52641.229999999996</v>
      </c>
    </row>
    <row r="86" spans="41:79" ht="12.75" thickBot="1">
      <c r="AO86" s="740"/>
      <c r="BG86" s="741"/>
      <c r="BH86" s="828">
        <f ca="1">SUM(BH84:BH85)</f>
        <v>140723.60802257102</v>
      </c>
      <c r="BI86" s="781"/>
      <c r="BJ86" s="828">
        <f>36000*3.3956</f>
        <v>122241.59999999999</v>
      </c>
      <c r="BK86" s="745"/>
      <c r="BS86" s="837"/>
      <c r="BT86" s="828">
        <f>SUM(BT84:BT85)</f>
        <v>55941.229999999996</v>
      </c>
    </row>
    <row r="87" spans="41:79" ht="12.75" thickTop="1">
      <c r="AO87" s="740"/>
      <c r="BG87" s="597"/>
      <c r="BH87" s="825"/>
      <c r="BI87" s="597"/>
      <c r="BJ87" s="589"/>
      <c r="BK87" s="744"/>
      <c r="BS87" s="825"/>
      <c r="BT87" s="925"/>
    </row>
    <row r="88" spans="41:79">
      <c r="BG88" s="597"/>
      <c r="BH88" s="827"/>
      <c r="BI88" s="597"/>
      <c r="BJ88" s="589"/>
      <c r="BK88" s="744"/>
      <c r="BS88" s="835"/>
      <c r="BT88" s="835">
        <f>+BT86/3.37</f>
        <v>16599.771513353113</v>
      </c>
    </row>
    <row r="89" spans="41:79">
      <c r="BK89" s="597"/>
      <c r="BS89" s="835"/>
      <c r="BT89" s="925"/>
    </row>
    <row r="90" spans="41:79">
      <c r="BN90" s="545"/>
      <c r="BS90" s="835"/>
      <c r="BT90" s="925"/>
    </row>
    <row r="91" spans="41:79">
      <c r="BN91" s="545"/>
      <c r="BS91" s="835"/>
      <c r="BT91" s="926"/>
    </row>
    <row r="92" spans="41:79">
      <c r="BN92" s="545"/>
      <c r="BT92" s="926"/>
    </row>
    <row r="93" spans="41:79">
      <c r="BH93" s="922"/>
      <c r="BT93" s="926"/>
    </row>
    <row r="94" spans="41:79">
      <c r="BH94" s="922"/>
    </row>
    <row r="95" spans="41:79">
      <c r="BH95" s="922"/>
    </row>
    <row r="96" spans="41:79">
      <c r="BH96" s="870"/>
    </row>
    <row r="97" spans="60:63">
      <c r="BH97" s="755"/>
    </row>
    <row r="98" spans="60:63">
      <c r="BH98" s="871"/>
    </row>
    <row r="99" spans="60:63">
      <c r="BH99" s="871"/>
    </row>
    <row r="102" spans="60:63">
      <c r="BH102" s="871"/>
      <c r="BJ102" s="921"/>
    </row>
    <row r="103" spans="60:63">
      <c r="BH103" s="740"/>
      <c r="BJ103" s="921"/>
    </row>
    <row r="104" spans="60:63">
      <c r="BH104" s="871"/>
      <c r="BJ104" s="921"/>
    </row>
    <row r="110" spans="60:63">
      <c r="BI110" s="597"/>
      <c r="BK110" s="597"/>
    </row>
    <row r="111" spans="60:63">
      <c r="BI111" s="597"/>
      <c r="BK111" s="597"/>
    </row>
    <row r="112" spans="60:63">
      <c r="BI112" s="597"/>
      <c r="BK112" s="597"/>
    </row>
    <row r="113" spans="61:63">
      <c r="BI113" s="597"/>
      <c r="BK113" s="597"/>
    </row>
    <row r="114" spans="61:63">
      <c r="BI114" s="597"/>
      <c r="BK114" s="597"/>
    </row>
    <row r="1048574" spans="73:73">
      <c r="BU1048574" s="836" t="s">
        <v>203</v>
      </c>
    </row>
  </sheetData>
  <autoFilter ref="A11:EX58" xr:uid="{00000000-0001-0000-0300-000000000000}"/>
  <mergeCells count="13">
    <mergeCell ref="BG68:BJ68"/>
    <mergeCell ref="BS10:BU10"/>
    <mergeCell ref="R8:AL8"/>
    <mergeCell ref="BK8:BL8"/>
    <mergeCell ref="AO8:BH8"/>
    <mergeCell ref="Y9:Y11"/>
    <mergeCell ref="AO9:AP9"/>
    <mergeCell ref="BK9:BL9"/>
    <mergeCell ref="AQ10:AR10"/>
    <mergeCell ref="AS10:AT10"/>
    <mergeCell ref="AU10:AV10"/>
    <mergeCell ref="AW10:AX10"/>
    <mergeCell ref="AQ9:AX9"/>
  </mergeCells>
  <phoneticPr fontId="40" type="noConversion"/>
  <conditionalFormatting sqref="C15:C51">
    <cfRule type="duplicateValues" dxfId="6" priority="7"/>
  </conditionalFormatting>
  <conditionalFormatting sqref="C60">
    <cfRule type="duplicateValues" dxfId="5" priority="2"/>
  </conditionalFormatting>
  <conditionalFormatting sqref="C62">
    <cfRule type="duplicateValues" dxfId="4" priority="1"/>
  </conditionalFormatting>
  <pageMargins left="0.23622047244094491" right="0.23622047244094491" top="0.31496062992125984" bottom="0.23622047244094491" header="0.31496062992125984" footer="0.31496062992125984"/>
  <pageSetup paperSize="9" scale="73" fitToHeight="0" orientation="landscape" r:id="rId1"/>
  <ignoredErrors>
    <ignoredError sqref="O26 BF65" formula="1"/>
    <ignoredError sqref="BV58" numberStoredAsText="1"/>
    <ignoredError sqref="V26 V22" formulaRange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673A-3AD3-4F7A-95A6-4D40523FE7FF}">
  <dimension ref="A1:Q47"/>
  <sheetViews>
    <sheetView topLeftCell="B3" workbookViewId="0">
      <pane ySplit="1" topLeftCell="A11" activePane="bottomLeft" state="frozen"/>
      <selection activeCell="A3" sqref="A3"/>
      <selection pane="bottomLeft" activeCell="C18" sqref="C18"/>
    </sheetView>
  </sheetViews>
  <sheetFormatPr baseColWidth="10" defaultColWidth="11.42578125" defaultRowHeight="12"/>
  <cols>
    <col min="1" max="1" width="11.42578125" style="589"/>
    <col min="2" max="2" width="3.7109375" style="589" customWidth="1"/>
    <col min="3" max="3" width="37" style="589" customWidth="1"/>
    <col min="4" max="4" width="11.42578125" style="589"/>
    <col min="5" max="6" width="9.7109375" style="589" customWidth="1"/>
    <col min="7" max="7" width="10.42578125" style="589" customWidth="1"/>
    <col min="8" max="10" width="12.140625" style="997" customWidth="1"/>
    <col min="11" max="16384" width="11.42578125" style="589"/>
  </cols>
  <sheetData>
    <row r="1" spans="1:15">
      <c r="A1" s="848"/>
      <c r="B1" s="848"/>
      <c r="C1" s="848"/>
      <c r="D1" s="848"/>
      <c r="E1" s="848"/>
      <c r="F1" s="848"/>
      <c r="G1" s="848"/>
      <c r="H1" s="995"/>
      <c r="I1" s="995"/>
      <c r="J1" s="995"/>
      <c r="K1" s="848"/>
      <c r="L1" s="848"/>
      <c r="M1" s="848"/>
      <c r="N1" s="848"/>
      <c r="O1" s="848"/>
    </row>
    <row r="2" spans="1:15" ht="12.75" thickBot="1">
      <c r="A2" s="848"/>
      <c r="B2" s="848"/>
      <c r="C2" s="848"/>
      <c r="D2" s="848"/>
      <c r="E2" s="848"/>
      <c r="F2" s="848"/>
      <c r="G2" s="848"/>
      <c r="H2" s="995"/>
      <c r="I2" s="995"/>
      <c r="J2" s="995"/>
      <c r="K2" s="848"/>
      <c r="L2" s="848"/>
      <c r="M2" s="848"/>
      <c r="N2" s="848"/>
      <c r="O2" s="848"/>
    </row>
    <row r="3" spans="1:15">
      <c r="A3" s="848"/>
      <c r="B3" s="848"/>
      <c r="C3" s="848"/>
      <c r="D3" s="857" t="s">
        <v>125</v>
      </c>
      <c r="E3" s="857"/>
      <c r="F3" s="857"/>
      <c r="G3" s="857" t="s">
        <v>125</v>
      </c>
      <c r="H3" s="992"/>
      <c r="I3" s="992"/>
      <c r="J3" s="992"/>
      <c r="K3" s="859"/>
      <c r="L3" s="860"/>
      <c r="M3" s="860"/>
      <c r="N3" s="860"/>
      <c r="O3" s="848"/>
    </row>
    <row r="4" spans="1:15" ht="36">
      <c r="A4" s="848"/>
      <c r="B4" s="848"/>
      <c r="C4" s="848"/>
      <c r="D4" s="862" t="s">
        <v>498</v>
      </c>
      <c r="E4" s="1208" t="s">
        <v>779</v>
      </c>
      <c r="F4" s="862"/>
      <c r="G4" s="862" t="s">
        <v>498</v>
      </c>
      <c r="H4" s="1243">
        <v>0.25</v>
      </c>
      <c r="I4" s="1243">
        <v>0.35</v>
      </c>
      <c r="J4" s="993" t="s">
        <v>799</v>
      </c>
      <c r="K4" s="862" t="s">
        <v>501</v>
      </c>
      <c r="L4" s="863" t="s">
        <v>792</v>
      </c>
      <c r="M4" s="863" t="s">
        <v>793</v>
      </c>
      <c r="N4" s="863" t="s">
        <v>794</v>
      </c>
      <c r="O4" s="848"/>
    </row>
    <row r="5" spans="1:15">
      <c r="A5" s="848"/>
      <c r="B5" s="854" t="s">
        <v>431</v>
      </c>
      <c r="C5" s="854" t="s">
        <v>318</v>
      </c>
      <c r="D5" s="1209"/>
      <c r="E5" s="1209"/>
      <c r="F5" s="1209"/>
      <c r="G5" s="1209"/>
      <c r="H5" s="1210" t="s">
        <v>133</v>
      </c>
      <c r="I5" s="1210" t="s">
        <v>133</v>
      </c>
      <c r="J5" s="1210" t="s">
        <v>448</v>
      </c>
      <c r="K5" s="1211" t="s">
        <v>133</v>
      </c>
      <c r="L5" s="1212"/>
      <c r="M5" s="1212"/>
      <c r="N5" s="1212"/>
      <c r="O5" s="848"/>
    </row>
    <row r="6" spans="1:15">
      <c r="A6" s="848"/>
      <c r="B6" s="1204">
        <v>1</v>
      </c>
      <c r="C6" s="1061" t="s">
        <v>201</v>
      </c>
      <c r="D6" s="1205">
        <v>13000</v>
      </c>
      <c r="E6" s="1205">
        <v>113</v>
      </c>
      <c r="F6" s="991"/>
      <c r="G6" s="991">
        <f>+D6+E6</f>
        <v>13113</v>
      </c>
      <c r="H6" s="994"/>
      <c r="I6" s="994"/>
      <c r="J6" s="994"/>
      <c r="K6" s="855">
        <f t="shared" ref="K6:K7" si="0">SUM(H6:I6)</f>
        <v>0</v>
      </c>
      <c r="L6" s="1244">
        <f>((G6/30)/8)*H6*1.25</f>
        <v>0</v>
      </c>
      <c r="M6" s="1244">
        <f>((G6/30)/8)*I6*1.35</f>
        <v>0</v>
      </c>
      <c r="N6" s="1244">
        <f t="shared" ref="N6:N7" si="1">((G6/30))*J6*2</f>
        <v>0</v>
      </c>
      <c r="O6" s="847"/>
    </row>
    <row r="7" spans="1:15">
      <c r="A7" s="848"/>
      <c r="B7" s="1204">
        <f>+B6+1</f>
        <v>2</v>
      </c>
      <c r="C7" s="1061" t="s">
        <v>205</v>
      </c>
      <c r="D7" s="1205">
        <v>6500</v>
      </c>
      <c r="E7" s="1205">
        <v>113</v>
      </c>
      <c r="F7" s="991"/>
      <c r="G7" s="991">
        <f t="shared" ref="G7:G47" si="2">+D7+E7</f>
        <v>6613</v>
      </c>
      <c r="H7" s="1071"/>
      <c r="I7" s="1071"/>
      <c r="J7" s="1071"/>
      <c r="K7" s="855">
        <f t="shared" si="0"/>
        <v>0</v>
      </c>
      <c r="L7" s="1244">
        <f t="shared" ref="L7:L47" si="3">((G7/30)/8)*H7*1.25</f>
        <v>0</v>
      </c>
      <c r="M7" s="1244">
        <f t="shared" ref="M7:M47" si="4">((G7/30)/8)*I7*1.35</f>
        <v>0</v>
      </c>
      <c r="N7" s="1244">
        <f t="shared" si="1"/>
        <v>0</v>
      </c>
      <c r="O7" s="847"/>
    </row>
    <row r="8" spans="1:15">
      <c r="A8" s="848"/>
      <c r="B8" s="1204">
        <f t="shared" ref="B8:B47" si="5">+B7+1</f>
        <v>3</v>
      </c>
      <c r="C8" s="1011" t="s">
        <v>208</v>
      </c>
      <c r="D8" s="1205">
        <v>4000</v>
      </c>
      <c r="E8" s="1205">
        <v>113</v>
      </c>
      <c r="F8" s="1003"/>
      <c r="G8" s="991">
        <f t="shared" si="2"/>
        <v>4113</v>
      </c>
      <c r="H8" s="1071"/>
      <c r="I8" s="1071"/>
      <c r="J8" s="1071"/>
      <c r="K8" s="855">
        <f>SUM(H8:I8)</f>
        <v>0</v>
      </c>
      <c r="L8" s="1244">
        <f t="shared" si="3"/>
        <v>0</v>
      </c>
      <c r="M8" s="1244">
        <f t="shared" si="4"/>
        <v>0</v>
      </c>
      <c r="N8" s="1244">
        <f>((G8/30))*J8*2</f>
        <v>0</v>
      </c>
      <c r="O8" s="847"/>
    </row>
    <row r="9" spans="1:15">
      <c r="A9" s="848"/>
      <c r="B9" s="1204">
        <f t="shared" si="5"/>
        <v>4</v>
      </c>
      <c r="C9" s="1061" t="s">
        <v>211</v>
      </c>
      <c r="D9" s="1205">
        <v>4000</v>
      </c>
      <c r="E9" s="1205">
        <v>113</v>
      </c>
      <c r="F9" s="1003"/>
      <c r="G9" s="991">
        <f t="shared" si="2"/>
        <v>4113</v>
      </c>
      <c r="H9" s="1071"/>
      <c r="I9" s="1071"/>
      <c r="J9" s="1071"/>
      <c r="K9" s="855">
        <f t="shared" ref="K9:K47" si="6">SUM(H9:I9)</f>
        <v>0</v>
      </c>
      <c r="L9" s="1244">
        <f t="shared" si="3"/>
        <v>0</v>
      </c>
      <c r="M9" s="1244">
        <f t="shared" si="4"/>
        <v>0</v>
      </c>
      <c r="N9" s="1244">
        <f t="shared" ref="N9:N47" si="7">((G9/30))*J9*2</f>
        <v>0</v>
      </c>
      <c r="O9" s="847"/>
    </row>
    <row r="10" spans="1:15">
      <c r="A10" s="848"/>
      <c r="B10" s="1204">
        <f t="shared" si="5"/>
        <v>5</v>
      </c>
      <c r="C10" s="1011" t="s">
        <v>214</v>
      </c>
      <c r="D10" s="1205">
        <v>3600</v>
      </c>
      <c r="E10" s="1205"/>
      <c r="F10" s="991"/>
      <c r="G10" s="991">
        <f t="shared" si="2"/>
        <v>3600</v>
      </c>
      <c r="H10" s="1071"/>
      <c r="I10" s="1071"/>
      <c r="J10" s="1071">
        <v>1</v>
      </c>
      <c r="K10" s="855">
        <f t="shared" si="6"/>
        <v>0</v>
      </c>
      <c r="L10" s="1244">
        <f t="shared" si="3"/>
        <v>0</v>
      </c>
      <c r="M10" s="1244">
        <f t="shared" si="4"/>
        <v>0</v>
      </c>
      <c r="N10" s="1244">
        <f t="shared" si="7"/>
        <v>240</v>
      </c>
      <c r="O10" s="847"/>
    </row>
    <row r="11" spans="1:15">
      <c r="A11" s="848"/>
      <c r="B11" s="1204">
        <f t="shared" si="5"/>
        <v>6</v>
      </c>
      <c r="C11" s="1222" t="s">
        <v>217</v>
      </c>
      <c r="D11" s="1205">
        <v>6500</v>
      </c>
      <c r="E11" s="1205">
        <v>113</v>
      </c>
      <c r="F11" s="991"/>
      <c r="G11" s="991">
        <f t="shared" si="2"/>
        <v>6613</v>
      </c>
      <c r="H11" s="1071"/>
      <c r="I11" s="1071"/>
      <c r="J11" s="1071"/>
      <c r="K11" s="855">
        <f t="shared" si="6"/>
        <v>0</v>
      </c>
      <c r="L11" s="1244">
        <f t="shared" si="3"/>
        <v>0</v>
      </c>
      <c r="M11" s="1244">
        <f t="shared" si="4"/>
        <v>0</v>
      </c>
      <c r="N11" s="1244">
        <f t="shared" si="7"/>
        <v>0</v>
      </c>
      <c r="O11" s="847"/>
    </row>
    <row r="12" spans="1:15">
      <c r="A12" s="848"/>
      <c r="B12" s="1204">
        <f t="shared" si="5"/>
        <v>7</v>
      </c>
      <c r="C12" s="1061" t="s">
        <v>219</v>
      </c>
      <c r="D12" s="1205">
        <v>4500</v>
      </c>
      <c r="E12" s="1205">
        <v>113</v>
      </c>
      <c r="F12" s="991"/>
      <c r="G12" s="991">
        <f t="shared" si="2"/>
        <v>4613</v>
      </c>
      <c r="H12" s="1071"/>
      <c r="I12" s="1071"/>
      <c r="J12" s="1071"/>
      <c r="K12" s="855">
        <f t="shared" si="6"/>
        <v>0</v>
      </c>
      <c r="L12" s="1244">
        <f t="shared" si="3"/>
        <v>0</v>
      </c>
      <c r="M12" s="1244">
        <f t="shared" si="4"/>
        <v>0</v>
      </c>
      <c r="N12" s="1244">
        <f t="shared" si="7"/>
        <v>0</v>
      </c>
      <c r="O12" s="847"/>
    </row>
    <row r="13" spans="1:15">
      <c r="A13" s="848"/>
      <c r="B13" s="1204">
        <f t="shared" si="5"/>
        <v>8</v>
      </c>
      <c r="C13" s="1215" t="s">
        <v>221</v>
      </c>
      <c r="D13" s="1205">
        <v>2800</v>
      </c>
      <c r="E13" s="1205"/>
      <c r="F13" s="991"/>
      <c r="G13" s="991">
        <f t="shared" si="2"/>
        <v>2800</v>
      </c>
      <c r="H13" s="1071"/>
      <c r="I13" s="1071"/>
      <c r="J13" s="1071"/>
      <c r="K13" s="855">
        <f t="shared" si="6"/>
        <v>0</v>
      </c>
      <c r="L13" s="1244">
        <f t="shared" si="3"/>
        <v>0</v>
      </c>
      <c r="M13" s="1244">
        <f t="shared" si="4"/>
        <v>0</v>
      </c>
      <c r="N13" s="1244">
        <f t="shared" si="7"/>
        <v>0</v>
      </c>
      <c r="O13" s="847"/>
    </row>
    <row r="14" spans="1:15">
      <c r="A14" s="848"/>
      <c r="B14" s="1216">
        <f t="shared" si="5"/>
        <v>9</v>
      </c>
      <c r="C14" s="1217" t="s">
        <v>223</v>
      </c>
      <c r="D14" s="1205">
        <v>2600</v>
      </c>
      <c r="E14" s="1218"/>
      <c r="F14" s="991"/>
      <c r="G14" s="991">
        <f t="shared" si="2"/>
        <v>2600</v>
      </c>
      <c r="H14" s="1071"/>
      <c r="I14" s="1071"/>
      <c r="J14" s="1071"/>
      <c r="K14" s="855">
        <f t="shared" si="6"/>
        <v>0</v>
      </c>
      <c r="L14" s="1244">
        <f t="shared" si="3"/>
        <v>0</v>
      </c>
      <c r="M14" s="1244">
        <f t="shared" si="4"/>
        <v>0</v>
      </c>
      <c r="N14" s="1244">
        <f t="shared" si="7"/>
        <v>0</v>
      </c>
      <c r="O14" s="847"/>
    </row>
    <row r="15" spans="1:15">
      <c r="A15" s="848"/>
      <c r="B15" s="1204">
        <f t="shared" si="5"/>
        <v>10</v>
      </c>
      <c r="C15" s="1215" t="s">
        <v>226</v>
      </c>
      <c r="D15" s="1205">
        <v>2200</v>
      </c>
      <c r="E15" s="1205">
        <v>113</v>
      </c>
      <c r="F15" s="991"/>
      <c r="G15" s="991">
        <f t="shared" si="2"/>
        <v>2313</v>
      </c>
      <c r="H15" s="1071">
        <v>6.5</v>
      </c>
      <c r="I15" s="1071">
        <v>1.5</v>
      </c>
      <c r="J15" s="1071">
        <v>2</v>
      </c>
      <c r="K15" s="855">
        <f t="shared" si="6"/>
        <v>8</v>
      </c>
      <c r="L15" s="1244">
        <f t="shared" si="3"/>
        <v>78.3046875</v>
      </c>
      <c r="M15" s="1244">
        <f t="shared" si="4"/>
        <v>19.5159375</v>
      </c>
      <c r="N15" s="1244">
        <f t="shared" si="7"/>
        <v>308.39999999999998</v>
      </c>
      <c r="O15" s="847"/>
    </row>
    <row r="16" spans="1:15">
      <c r="A16" s="848"/>
      <c r="B16" s="1204">
        <f t="shared" si="5"/>
        <v>11</v>
      </c>
      <c r="C16" s="1061" t="s">
        <v>228</v>
      </c>
      <c r="D16" s="1205">
        <v>3800</v>
      </c>
      <c r="E16" s="1205">
        <v>113</v>
      </c>
      <c r="F16" s="991"/>
      <c r="G16" s="991">
        <f t="shared" si="2"/>
        <v>3913</v>
      </c>
      <c r="H16" s="1071"/>
      <c r="I16" s="1071"/>
      <c r="J16" s="1071"/>
      <c r="K16" s="855">
        <f t="shared" si="6"/>
        <v>0</v>
      </c>
      <c r="L16" s="1244">
        <f t="shared" si="3"/>
        <v>0</v>
      </c>
      <c r="M16" s="1244">
        <f t="shared" si="4"/>
        <v>0</v>
      </c>
      <c r="N16" s="1244">
        <f t="shared" si="7"/>
        <v>0</v>
      </c>
      <c r="O16" s="847"/>
    </row>
    <row r="17" spans="1:17">
      <c r="A17" s="848"/>
      <c r="B17" s="1204">
        <f t="shared" si="5"/>
        <v>12</v>
      </c>
      <c r="C17" s="1011" t="s">
        <v>230</v>
      </c>
      <c r="D17" s="1205">
        <v>1500</v>
      </c>
      <c r="E17" s="1205">
        <v>113</v>
      </c>
      <c r="F17" s="991"/>
      <c r="G17" s="991">
        <f t="shared" si="2"/>
        <v>1613</v>
      </c>
      <c r="H17" s="1071"/>
      <c r="I17" s="1071"/>
      <c r="J17" s="1071"/>
      <c r="K17" s="855">
        <f t="shared" si="6"/>
        <v>0</v>
      </c>
      <c r="L17" s="1244">
        <f t="shared" si="3"/>
        <v>0</v>
      </c>
      <c r="M17" s="1244">
        <f t="shared" si="4"/>
        <v>0</v>
      </c>
      <c r="N17" s="1244">
        <f t="shared" si="7"/>
        <v>0</v>
      </c>
      <c r="O17" s="847"/>
    </row>
    <row r="18" spans="1:17">
      <c r="A18" s="848"/>
      <c r="B18" s="1204">
        <f t="shared" si="5"/>
        <v>13</v>
      </c>
      <c r="C18" s="1011" t="s">
        <v>241</v>
      </c>
      <c r="D18" s="1205">
        <v>3000</v>
      </c>
      <c r="E18" s="1205"/>
      <c r="F18" s="991"/>
      <c r="G18" s="991">
        <f t="shared" si="2"/>
        <v>3000</v>
      </c>
      <c r="H18" s="1071"/>
      <c r="I18" s="1071"/>
      <c r="J18" s="1071"/>
      <c r="K18" s="855">
        <f t="shared" si="6"/>
        <v>0</v>
      </c>
      <c r="L18" s="1244">
        <f t="shared" si="3"/>
        <v>0</v>
      </c>
      <c r="M18" s="1244">
        <f t="shared" si="4"/>
        <v>0</v>
      </c>
      <c r="N18" s="1244">
        <f t="shared" si="7"/>
        <v>0</v>
      </c>
      <c r="O18" s="847"/>
    </row>
    <row r="19" spans="1:17">
      <c r="A19" s="848"/>
      <c r="B19" s="1204">
        <f t="shared" si="5"/>
        <v>14</v>
      </c>
      <c r="C19" s="1011" t="s">
        <v>243</v>
      </c>
      <c r="D19" s="1205">
        <v>3200</v>
      </c>
      <c r="E19" s="1205"/>
      <c r="F19" s="991"/>
      <c r="G19" s="991">
        <f t="shared" si="2"/>
        <v>3200</v>
      </c>
      <c r="H19" s="1071"/>
      <c r="I19" s="1071"/>
      <c r="J19" s="1071"/>
      <c r="K19" s="855">
        <f t="shared" si="6"/>
        <v>0</v>
      </c>
      <c r="L19" s="1244">
        <f t="shared" si="3"/>
        <v>0</v>
      </c>
      <c r="M19" s="1244">
        <f t="shared" si="4"/>
        <v>0</v>
      </c>
      <c r="N19" s="1244">
        <f t="shared" si="7"/>
        <v>0</v>
      </c>
      <c r="O19" s="847"/>
    </row>
    <row r="20" spans="1:17">
      <c r="A20" s="848"/>
      <c r="B20" s="1204">
        <f t="shared" si="5"/>
        <v>15</v>
      </c>
      <c r="C20" s="1011" t="s">
        <v>245</v>
      </c>
      <c r="D20" s="1205">
        <v>2800</v>
      </c>
      <c r="E20" s="1205">
        <v>113</v>
      </c>
      <c r="F20" s="991"/>
      <c r="G20" s="991">
        <f t="shared" si="2"/>
        <v>2913</v>
      </c>
      <c r="H20" s="1071"/>
      <c r="I20" s="1071"/>
      <c r="J20" s="1071"/>
      <c r="K20" s="855">
        <f t="shared" si="6"/>
        <v>0</v>
      </c>
      <c r="L20" s="1244">
        <f t="shared" si="3"/>
        <v>0</v>
      </c>
      <c r="M20" s="1244">
        <f t="shared" si="4"/>
        <v>0</v>
      </c>
      <c r="N20" s="1244">
        <f t="shared" si="7"/>
        <v>0</v>
      </c>
      <c r="O20" s="847"/>
    </row>
    <row r="21" spans="1:17">
      <c r="A21" s="848"/>
      <c r="B21" s="1204">
        <f t="shared" si="5"/>
        <v>16</v>
      </c>
      <c r="C21" s="1011" t="s">
        <v>247</v>
      </c>
      <c r="D21" s="1205">
        <v>2800</v>
      </c>
      <c r="E21" s="1205">
        <v>113</v>
      </c>
      <c r="F21" s="991"/>
      <c r="G21" s="991">
        <f t="shared" si="2"/>
        <v>2913</v>
      </c>
      <c r="H21" s="1350">
        <v>6.5</v>
      </c>
      <c r="I21" s="1350">
        <v>2.5</v>
      </c>
      <c r="J21" s="1071">
        <v>1</v>
      </c>
      <c r="K21" s="855">
        <f t="shared" si="6"/>
        <v>9</v>
      </c>
      <c r="L21" s="1244">
        <f t="shared" si="3"/>
        <v>98.6171875</v>
      </c>
      <c r="M21" s="1244">
        <f t="shared" si="4"/>
        <v>40.964062500000004</v>
      </c>
      <c r="N21" s="1244">
        <f t="shared" si="7"/>
        <v>194.2</v>
      </c>
      <c r="O21" s="847"/>
    </row>
    <row r="22" spans="1:17">
      <c r="A22" s="848"/>
      <c r="B22" s="1204">
        <f t="shared" si="5"/>
        <v>17</v>
      </c>
      <c r="C22" s="1222" t="s">
        <v>249</v>
      </c>
      <c r="D22" s="1205">
        <v>1130</v>
      </c>
      <c r="E22" s="1205"/>
      <c r="F22" s="991"/>
      <c r="G22" s="991">
        <f t="shared" si="2"/>
        <v>1130</v>
      </c>
      <c r="H22" s="1071"/>
      <c r="I22" s="1071"/>
      <c r="J22" s="1071"/>
      <c r="K22" s="855">
        <f t="shared" si="6"/>
        <v>0</v>
      </c>
      <c r="L22" s="1244">
        <f t="shared" si="3"/>
        <v>0</v>
      </c>
      <c r="M22" s="1244">
        <f t="shared" si="4"/>
        <v>0</v>
      </c>
      <c r="N22" s="1244">
        <f t="shared" si="7"/>
        <v>0</v>
      </c>
      <c r="O22" s="847"/>
    </row>
    <row r="23" spans="1:17">
      <c r="A23" s="848"/>
      <c r="B23" s="1204">
        <f t="shared" si="5"/>
        <v>18</v>
      </c>
      <c r="C23" s="1011" t="s">
        <v>251</v>
      </c>
      <c r="D23" s="1205">
        <v>2800</v>
      </c>
      <c r="E23" s="1205"/>
      <c r="F23" s="991"/>
      <c r="G23" s="991">
        <f t="shared" si="2"/>
        <v>2800</v>
      </c>
      <c r="H23" s="1071"/>
      <c r="I23" s="1071"/>
      <c r="J23" s="1071"/>
      <c r="K23" s="855">
        <f t="shared" si="6"/>
        <v>0</v>
      </c>
      <c r="L23" s="1244">
        <f>((G23/30)/8)*H23*1.25</f>
        <v>0</v>
      </c>
      <c r="M23" s="1244">
        <f t="shared" si="4"/>
        <v>0</v>
      </c>
      <c r="N23" s="1244">
        <f t="shared" si="7"/>
        <v>0</v>
      </c>
      <c r="O23" s="847"/>
    </row>
    <row r="24" spans="1:17">
      <c r="A24" s="848"/>
      <c r="B24" s="1204">
        <f t="shared" si="5"/>
        <v>19</v>
      </c>
      <c r="C24" s="1011" t="s">
        <v>253</v>
      </c>
      <c r="D24" s="1205">
        <v>2800</v>
      </c>
      <c r="E24" s="1205"/>
      <c r="F24" s="991"/>
      <c r="G24" s="991">
        <f t="shared" si="2"/>
        <v>2800</v>
      </c>
      <c r="H24" s="1071"/>
      <c r="I24" s="1071"/>
      <c r="J24" s="1071"/>
      <c r="K24" s="855">
        <f t="shared" si="6"/>
        <v>0</v>
      </c>
      <c r="L24" s="1244">
        <f t="shared" si="3"/>
        <v>0</v>
      </c>
      <c r="M24" s="1244">
        <f t="shared" si="4"/>
        <v>0</v>
      </c>
      <c r="N24" s="1244">
        <f t="shared" si="7"/>
        <v>0</v>
      </c>
      <c r="O24" s="847"/>
    </row>
    <row r="25" spans="1:17">
      <c r="A25" s="848"/>
      <c r="B25" s="1204">
        <f t="shared" si="5"/>
        <v>20</v>
      </c>
      <c r="C25" s="1011" t="s">
        <v>256</v>
      </c>
      <c r="D25" s="1205">
        <v>2500</v>
      </c>
      <c r="E25" s="1205"/>
      <c r="F25" s="991"/>
      <c r="G25" s="991">
        <f t="shared" si="2"/>
        <v>2500</v>
      </c>
      <c r="H25" s="1071"/>
      <c r="I25" s="1071"/>
      <c r="J25" s="1071"/>
      <c r="K25" s="855">
        <f t="shared" si="6"/>
        <v>0</v>
      </c>
      <c r="L25" s="1244">
        <f t="shared" si="3"/>
        <v>0</v>
      </c>
      <c r="M25" s="1244">
        <f t="shared" si="4"/>
        <v>0</v>
      </c>
      <c r="N25" s="1244">
        <f t="shared" si="7"/>
        <v>0</v>
      </c>
      <c r="O25" s="847"/>
    </row>
    <row r="26" spans="1:17">
      <c r="A26" s="848"/>
      <c r="B26" s="1204">
        <f t="shared" si="5"/>
        <v>21</v>
      </c>
      <c r="C26" s="1011" t="s">
        <v>259</v>
      </c>
      <c r="D26" s="1205">
        <v>2500</v>
      </c>
      <c r="E26" s="1205"/>
      <c r="F26" s="991"/>
      <c r="G26" s="991">
        <f t="shared" si="2"/>
        <v>2500</v>
      </c>
      <c r="H26" s="1071"/>
      <c r="I26" s="1071"/>
      <c r="J26" s="1071"/>
      <c r="K26" s="855">
        <f t="shared" si="6"/>
        <v>0</v>
      </c>
      <c r="L26" s="1244">
        <f t="shared" si="3"/>
        <v>0</v>
      </c>
      <c r="M26" s="1244">
        <f t="shared" si="4"/>
        <v>0</v>
      </c>
      <c r="N26" s="1244">
        <f t="shared" si="7"/>
        <v>0</v>
      </c>
      <c r="O26" s="847"/>
    </row>
    <row r="27" spans="1:17">
      <c r="A27" s="848"/>
      <c r="B27" s="1204">
        <f t="shared" si="5"/>
        <v>22</v>
      </c>
      <c r="C27" s="1219" t="s">
        <v>261</v>
      </c>
      <c r="D27" s="1205">
        <v>2500</v>
      </c>
      <c r="E27" s="1218"/>
      <c r="F27" s="991"/>
      <c r="G27" s="991">
        <f t="shared" si="2"/>
        <v>2500</v>
      </c>
      <c r="H27" s="1350">
        <v>8</v>
      </c>
      <c r="I27" s="1350">
        <v>4</v>
      </c>
      <c r="J27" s="1071">
        <v>2</v>
      </c>
      <c r="K27" s="855">
        <f t="shared" si="6"/>
        <v>12</v>
      </c>
      <c r="L27" s="1244">
        <f t="shared" si="3"/>
        <v>104.16666666666666</v>
      </c>
      <c r="M27" s="1244">
        <f t="shared" si="4"/>
        <v>56.25</v>
      </c>
      <c r="N27" s="1244">
        <f t="shared" si="7"/>
        <v>333.33333333333331</v>
      </c>
      <c r="O27" s="847"/>
    </row>
    <row r="28" spans="1:17">
      <c r="A28" s="848"/>
      <c r="B28" s="1204">
        <f t="shared" si="5"/>
        <v>23</v>
      </c>
      <c r="C28" s="1011" t="s">
        <v>265</v>
      </c>
      <c r="D28" s="1205">
        <v>2500</v>
      </c>
      <c r="E28" s="1205"/>
      <c r="F28" s="991"/>
      <c r="G28" s="991">
        <f t="shared" si="2"/>
        <v>2500</v>
      </c>
      <c r="H28" s="1350"/>
      <c r="I28" s="1350"/>
      <c r="J28" s="1071"/>
      <c r="K28" s="855">
        <f t="shared" si="6"/>
        <v>0</v>
      </c>
      <c r="L28" s="1244">
        <f t="shared" si="3"/>
        <v>0</v>
      </c>
      <c r="M28" s="1244">
        <f t="shared" si="4"/>
        <v>0</v>
      </c>
      <c r="N28" s="1244">
        <f t="shared" si="7"/>
        <v>0</v>
      </c>
      <c r="O28" s="847"/>
    </row>
    <row r="29" spans="1:17">
      <c r="A29" s="848"/>
      <c r="B29" s="1204">
        <f t="shared" si="5"/>
        <v>24</v>
      </c>
      <c r="C29" s="1011" t="s">
        <v>267</v>
      </c>
      <c r="D29" s="1205">
        <v>2500</v>
      </c>
      <c r="E29" s="1205"/>
      <c r="F29" s="991"/>
      <c r="G29" s="991">
        <f t="shared" si="2"/>
        <v>2500</v>
      </c>
      <c r="H29" s="1350"/>
      <c r="I29" s="1350"/>
      <c r="J29" s="1071"/>
      <c r="K29" s="855">
        <f t="shared" si="6"/>
        <v>0</v>
      </c>
      <c r="L29" s="1244">
        <f t="shared" si="3"/>
        <v>0</v>
      </c>
      <c r="M29" s="1244">
        <f t="shared" si="4"/>
        <v>0</v>
      </c>
      <c r="N29" s="1244">
        <f t="shared" si="7"/>
        <v>0</v>
      </c>
      <c r="O29" s="847"/>
    </row>
    <row r="30" spans="1:17">
      <c r="B30" s="1204">
        <f t="shared" si="5"/>
        <v>25</v>
      </c>
      <c r="C30" s="1011" t="s">
        <v>269</v>
      </c>
      <c r="D30" s="1205">
        <v>2500</v>
      </c>
      <c r="E30" s="1205"/>
      <c r="F30" s="991"/>
      <c r="G30" s="991">
        <f t="shared" si="2"/>
        <v>2500</v>
      </c>
      <c r="H30" s="1350"/>
      <c r="I30" s="1350"/>
      <c r="J30" s="1071"/>
      <c r="K30" s="855">
        <f t="shared" si="6"/>
        <v>0</v>
      </c>
      <c r="L30" s="1244">
        <f t="shared" si="3"/>
        <v>0</v>
      </c>
      <c r="M30" s="1244">
        <f t="shared" si="4"/>
        <v>0</v>
      </c>
      <c r="N30" s="1244">
        <f t="shared" si="7"/>
        <v>0</v>
      </c>
      <c r="O30" s="847"/>
    </row>
    <row r="31" spans="1:17">
      <c r="B31" s="1204">
        <f t="shared" si="5"/>
        <v>26</v>
      </c>
      <c r="C31" s="1011" t="s">
        <v>270</v>
      </c>
      <c r="D31" s="1205">
        <v>2800</v>
      </c>
      <c r="E31" s="1205"/>
      <c r="F31" s="991"/>
      <c r="G31" s="991">
        <f t="shared" si="2"/>
        <v>2800</v>
      </c>
      <c r="H31" s="1350"/>
      <c r="I31" s="1350"/>
      <c r="J31" s="1071"/>
      <c r="K31" s="855">
        <f t="shared" si="6"/>
        <v>0</v>
      </c>
      <c r="L31" s="1244">
        <f t="shared" si="3"/>
        <v>0</v>
      </c>
      <c r="M31" s="1244">
        <f t="shared" si="4"/>
        <v>0</v>
      </c>
      <c r="N31" s="1244">
        <f t="shared" si="7"/>
        <v>0</v>
      </c>
      <c r="O31" s="847"/>
    </row>
    <row r="32" spans="1:17">
      <c r="B32" s="1204">
        <f t="shared" si="5"/>
        <v>27</v>
      </c>
      <c r="C32" s="1011" t="s">
        <v>272</v>
      </c>
      <c r="D32" s="1205">
        <v>2000</v>
      </c>
      <c r="E32" s="1205"/>
      <c r="F32" s="991"/>
      <c r="G32" s="991">
        <f t="shared" si="2"/>
        <v>2000</v>
      </c>
      <c r="H32" s="1350"/>
      <c r="I32" s="1350"/>
      <c r="J32" s="1071"/>
      <c r="K32" s="855">
        <f t="shared" si="6"/>
        <v>0</v>
      </c>
      <c r="L32" s="1244">
        <f t="shared" si="3"/>
        <v>0</v>
      </c>
      <c r="M32" s="1244">
        <f t="shared" si="4"/>
        <v>0</v>
      </c>
      <c r="N32" s="1244">
        <f t="shared" si="7"/>
        <v>0</v>
      </c>
      <c r="O32" s="847"/>
      <c r="Q32" s="1184"/>
    </row>
    <row r="33" spans="2:15">
      <c r="B33" s="1204">
        <f t="shared" si="5"/>
        <v>28</v>
      </c>
      <c r="C33" s="1011" t="s">
        <v>273</v>
      </c>
      <c r="D33" s="1205">
        <v>2200</v>
      </c>
      <c r="E33" s="1205"/>
      <c r="F33" s="991"/>
      <c r="G33" s="991">
        <f t="shared" si="2"/>
        <v>2200</v>
      </c>
      <c r="H33" s="1350"/>
      <c r="I33" s="1350"/>
      <c r="J33" s="1071"/>
      <c r="K33" s="855">
        <f t="shared" si="6"/>
        <v>0</v>
      </c>
      <c r="L33" s="1244">
        <f t="shared" si="3"/>
        <v>0</v>
      </c>
      <c r="M33" s="1244">
        <f t="shared" si="4"/>
        <v>0</v>
      </c>
      <c r="N33" s="1244">
        <f t="shared" si="7"/>
        <v>0</v>
      </c>
      <c r="O33" s="847"/>
    </row>
    <row r="34" spans="2:15">
      <c r="B34" s="1204">
        <f t="shared" si="5"/>
        <v>29</v>
      </c>
      <c r="C34" s="1011" t="s">
        <v>275</v>
      </c>
      <c r="D34" s="1205">
        <v>2300</v>
      </c>
      <c r="E34" s="1205"/>
      <c r="F34" s="852"/>
      <c r="G34" s="991">
        <f t="shared" si="2"/>
        <v>2300</v>
      </c>
      <c r="H34" s="1351"/>
      <c r="I34" s="1351"/>
      <c r="J34" s="1073"/>
      <c r="K34" s="855">
        <f t="shared" si="6"/>
        <v>0</v>
      </c>
      <c r="L34" s="1244">
        <f t="shared" si="3"/>
        <v>0</v>
      </c>
      <c r="M34" s="1244">
        <f t="shared" si="4"/>
        <v>0</v>
      </c>
      <c r="N34" s="1244">
        <f t="shared" si="7"/>
        <v>0</v>
      </c>
      <c r="O34" s="848"/>
    </row>
    <row r="35" spans="2:15">
      <c r="B35" s="1204">
        <f t="shared" si="5"/>
        <v>30</v>
      </c>
      <c r="C35" s="1011" t="s">
        <v>277</v>
      </c>
      <c r="D35" s="1205">
        <v>2500</v>
      </c>
      <c r="E35" s="1205">
        <v>113</v>
      </c>
      <c r="F35" s="852"/>
      <c r="G35" s="991">
        <f t="shared" si="2"/>
        <v>2613</v>
      </c>
      <c r="H35" s="1352">
        <v>8</v>
      </c>
      <c r="I35" s="1352">
        <v>3</v>
      </c>
      <c r="J35" s="1074">
        <v>1</v>
      </c>
      <c r="K35" s="855">
        <f t="shared" si="6"/>
        <v>11</v>
      </c>
      <c r="L35" s="1244">
        <f t="shared" si="3"/>
        <v>108.875</v>
      </c>
      <c r="M35" s="1244">
        <f t="shared" si="4"/>
        <v>44.094374999999992</v>
      </c>
      <c r="N35" s="1244">
        <f t="shared" si="7"/>
        <v>174.2</v>
      </c>
    </row>
    <row r="36" spans="2:15">
      <c r="B36" s="1204">
        <f t="shared" si="5"/>
        <v>31</v>
      </c>
      <c r="C36" s="1011" t="s">
        <v>280</v>
      </c>
      <c r="D36" s="1205">
        <v>1800</v>
      </c>
      <c r="E36" s="1205"/>
      <c r="F36" s="852"/>
      <c r="G36" s="991">
        <f t="shared" si="2"/>
        <v>1800</v>
      </c>
      <c r="H36" s="1352"/>
      <c r="I36" s="1352"/>
      <c r="J36" s="1074"/>
      <c r="K36" s="855">
        <f t="shared" si="6"/>
        <v>0</v>
      </c>
      <c r="L36" s="1244">
        <f t="shared" si="3"/>
        <v>0</v>
      </c>
      <c r="M36" s="1244">
        <f t="shared" si="4"/>
        <v>0</v>
      </c>
      <c r="N36" s="1244">
        <f t="shared" si="7"/>
        <v>0</v>
      </c>
    </row>
    <row r="37" spans="2:15">
      <c r="B37" s="1204">
        <f t="shared" si="5"/>
        <v>32</v>
      </c>
      <c r="C37" s="1011" t="s">
        <v>282</v>
      </c>
      <c r="D37" s="1205">
        <v>1700</v>
      </c>
      <c r="E37" s="1205">
        <v>113</v>
      </c>
      <c r="F37" s="852"/>
      <c r="G37" s="991">
        <f t="shared" si="2"/>
        <v>1813</v>
      </c>
      <c r="H37" s="1352">
        <v>5</v>
      </c>
      <c r="I37" s="1352">
        <v>2.5</v>
      </c>
      <c r="J37" s="1074">
        <v>2</v>
      </c>
      <c r="K37" s="855">
        <f t="shared" si="6"/>
        <v>7.5</v>
      </c>
      <c r="L37" s="1244">
        <f t="shared" si="3"/>
        <v>47.213541666666657</v>
      </c>
      <c r="M37" s="1244">
        <f t="shared" si="4"/>
        <v>25.495312499999997</v>
      </c>
      <c r="N37" s="1244">
        <f t="shared" si="7"/>
        <v>241.73333333333332</v>
      </c>
    </row>
    <row r="38" spans="2:15">
      <c r="B38" s="1204">
        <f t="shared" si="5"/>
        <v>33</v>
      </c>
      <c r="C38" s="1011" t="s">
        <v>283</v>
      </c>
      <c r="D38" s="1205">
        <v>1500</v>
      </c>
      <c r="E38" s="1205">
        <v>113</v>
      </c>
      <c r="F38" s="852"/>
      <c r="G38" s="991">
        <f t="shared" si="2"/>
        <v>1613</v>
      </c>
      <c r="H38" s="1352"/>
      <c r="I38" s="1352"/>
      <c r="J38" s="1074"/>
      <c r="K38" s="855">
        <f t="shared" si="6"/>
        <v>0</v>
      </c>
      <c r="L38" s="1244">
        <f t="shared" si="3"/>
        <v>0</v>
      </c>
      <c r="M38" s="1244">
        <f t="shared" si="4"/>
        <v>0</v>
      </c>
      <c r="N38" s="1244">
        <f t="shared" si="7"/>
        <v>0</v>
      </c>
    </row>
    <row r="39" spans="2:15">
      <c r="B39" s="1204">
        <f t="shared" si="5"/>
        <v>34</v>
      </c>
      <c r="C39" s="1011" t="s">
        <v>285</v>
      </c>
      <c r="D39" s="1205">
        <v>2000</v>
      </c>
      <c r="E39" s="1205"/>
      <c r="F39" s="852"/>
      <c r="G39" s="991">
        <f t="shared" si="2"/>
        <v>2000</v>
      </c>
      <c r="H39" s="1352"/>
      <c r="I39" s="1352"/>
      <c r="J39" s="1074"/>
      <c r="K39" s="855">
        <f t="shared" si="6"/>
        <v>0</v>
      </c>
      <c r="L39" s="1244">
        <f t="shared" si="3"/>
        <v>0</v>
      </c>
      <c r="M39" s="1244">
        <f t="shared" si="4"/>
        <v>0</v>
      </c>
      <c r="N39" s="1244">
        <f t="shared" si="7"/>
        <v>0</v>
      </c>
    </row>
    <row r="40" spans="2:15">
      <c r="B40" s="1204">
        <f t="shared" si="5"/>
        <v>35</v>
      </c>
      <c r="C40" s="1011" t="s">
        <v>766</v>
      </c>
      <c r="D40" s="1205">
        <v>1500</v>
      </c>
      <c r="E40" s="1205"/>
      <c r="F40" s="852"/>
      <c r="G40" s="991">
        <f t="shared" si="2"/>
        <v>1500</v>
      </c>
      <c r="H40" s="1352">
        <v>6.5</v>
      </c>
      <c r="I40" s="1352">
        <v>2.5</v>
      </c>
      <c r="J40" s="1074">
        <v>2</v>
      </c>
      <c r="K40" s="855">
        <f t="shared" si="6"/>
        <v>9</v>
      </c>
      <c r="L40" s="1244">
        <f t="shared" si="3"/>
        <v>50.78125</v>
      </c>
      <c r="M40" s="1244">
        <f t="shared" si="4"/>
        <v>21.09375</v>
      </c>
      <c r="N40" s="1244">
        <f>((G40/30))*J40*2</f>
        <v>200</v>
      </c>
      <c r="O40" s="848"/>
    </row>
    <row r="41" spans="2:15">
      <c r="B41" s="1204">
        <f t="shared" si="5"/>
        <v>36</v>
      </c>
      <c r="C41" s="1011" t="s">
        <v>765</v>
      </c>
      <c r="D41" s="1205">
        <v>2850</v>
      </c>
      <c r="E41" s="1205"/>
      <c r="F41" s="852"/>
      <c r="G41" s="991">
        <f t="shared" si="2"/>
        <v>2850</v>
      </c>
      <c r="H41" s="1352"/>
      <c r="I41" s="1352"/>
      <c r="J41" s="1074"/>
      <c r="K41" s="855">
        <f t="shared" si="6"/>
        <v>0</v>
      </c>
      <c r="L41" s="1244">
        <f t="shared" si="3"/>
        <v>0</v>
      </c>
      <c r="M41" s="1244">
        <f t="shared" si="4"/>
        <v>0</v>
      </c>
      <c r="N41" s="1244">
        <f t="shared" si="7"/>
        <v>0</v>
      </c>
      <c r="O41" s="848"/>
    </row>
    <row r="42" spans="2:15">
      <c r="B42" s="1204">
        <f t="shared" si="5"/>
        <v>37</v>
      </c>
      <c r="C42" s="1011" t="s">
        <v>769</v>
      </c>
      <c r="D42" s="1205">
        <v>1700</v>
      </c>
      <c r="E42" s="1205"/>
      <c r="F42" s="852"/>
      <c r="G42" s="991">
        <f t="shared" si="2"/>
        <v>1700</v>
      </c>
      <c r="H42" s="1352"/>
      <c r="I42" s="1352"/>
      <c r="J42" s="1074"/>
      <c r="K42" s="855">
        <f t="shared" si="6"/>
        <v>0</v>
      </c>
      <c r="L42" s="1244">
        <f t="shared" si="3"/>
        <v>0</v>
      </c>
      <c r="M42" s="1244">
        <f t="shared" si="4"/>
        <v>0</v>
      </c>
      <c r="N42" s="1244">
        <f t="shared" si="7"/>
        <v>0</v>
      </c>
      <c r="O42" s="848"/>
    </row>
    <row r="43" spans="2:15">
      <c r="B43" s="1204">
        <f t="shared" si="5"/>
        <v>38</v>
      </c>
      <c r="C43" s="1011" t="s">
        <v>770</v>
      </c>
      <c r="D43" s="1205">
        <v>2000</v>
      </c>
      <c r="E43" s="1205">
        <v>113</v>
      </c>
      <c r="F43" s="852"/>
      <c r="G43" s="991">
        <f t="shared" si="2"/>
        <v>2113</v>
      </c>
      <c r="H43" s="1352"/>
      <c r="I43" s="1352"/>
      <c r="J43" s="1074"/>
      <c r="K43" s="855">
        <f t="shared" si="6"/>
        <v>0</v>
      </c>
      <c r="L43" s="1244">
        <f t="shared" si="3"/>
        <v>0</v>
      </c>
      <c r="M43" s="1244">
        <f t="shared" si="4"/>
        <v>0</v>
      </c>
      <c r="N43" s="1244">
        <f t="shared" si="7"/>
        <v>0</v>
      </c>
      <c r="O43" s="848"/>
    </row>
    <row r="44" spans="2:15">
      <c r="B44" s="1204">
        <f t="shared" si="5"/>
        <v>39</v>
      </c>
      <c r="C44" s="1011" t="s">
        <v>774</v>
      </c>
      <c r="D44" s="1205">
        <v>2800</v>
      </c>
      <c r="E44" s="1205"/>
      <c r="F44" s="852"/>
      <c r="G44" s="991">
        <f t="shared" si="2"/>
        <v>2800</v>
      </c>
      <c r="H44" s="1352"/>
      <c r="I44" s="1352"/>
      <c r="J44" s="1074"/>
      <c r="K44" s="855">
        <f t="shared" si="6"/>
        <v>0</v>
      </c>
      <c r="L44" s="1244">
        <f t="shared" si="3"/>
        <v>0</v>
      </c>
      <c r="M44" s="1244">
        <f t="shared" si="4"/>
        <v>0</v>
      </c>
      <c r="N44" s="1244">
        <f t="shared" si="7"/>
        <v>0</v>
      </c>
      <c r="O44" s="848"/>
    </row>
    <row r="45" spans="2:15">
      <c r="B45" s="1204">
        <f t="shared" si="5"/>
        <v>40</v>
      </c>
      <c r="C45" s="1011" t="s">
        <v>775</v>
      </c>
      <c r="D45" s="1205">
        <v>1400</v>
      </c>
      <c r="E45" s="1205"/>
      <c r="F45" s="852"/>
      <c r="G45" s="991">
        <f t="shared" si="2"/>
        <v>1400</v>
      </c>
      <c r="H45" s="1352"/>
      <c r="I45" s="1352"/>
      <c r="J45" s="1074"/>
      <c r="K45" s="855">
        <f t="shared" si="6"/>
        <v>0</v>
      </c>
      <c r="L45" s="1244">
        <f t="shared" si="3"/>
        <v>0</v>
      </c>
      <c r="M45" s="1244">
        <f t="shared" si="4"/>
        <v>0</v>
      </c>
      <c r="N45" s="1244">
        <f t="shared" si="7"/>
        <v>0</v>
      </c>
      <c r="O45" s="848"/>
    </row>
    <row r="46" spans="2:15">
      <c r="B46" s="1204">
        <f t="shared" si="5"/>
        <v>41</v>
      </c>
      <c r="C46" s="1011" t="s">
        <v>776</v>
      </c>
      <c r="D46" s="1205">
        <v>2000</v>
      </c>
      <c r="E46" s="1205"/>
      <c r="F46" s="852"/>
      <c r="G46" s="991">
        <f t="shared" si="2"/>
        <v>2000</v>
      </c>
      <c r="H46" s="1352"/>
      <c r="I46" s="1352"/>
      <c r="J46" s="1074"/>
      <c r="K46" s="855">
        <f t="shared" si="6"/>
        <v>0</v>
      </c>
      <c r="L46" s="1244">
        <f t="shared" si="3"/>
        <v>0</v>
      </c>
      <c r="M46" s="1244">
        <f t="shared" si="4"/>
        <v>0</v>
      </c>
      <c r="N46" s="1244">
        <f t="shared" si="7"/>
        <v>0</v>
      </c>
      <c r="O46" s="848"/>
    </row>
    <row r="47" spans="2:15">
      <c r="B47" s="1204">
        <f t="shared" si="5"/>
        <v>42</v>
      </c>
      <c r="C47" s="1011" t="s">
        <v>777</v>
      </c>
      <c r="D47" s="1205">
        <v>1200</v>
      </c>
      <c r="E47" s="1205">
        <v>130</v>
      </c>
      <c r="F47" s="852"/>
      <c r="G47" s="991">
        <f t="shared" si="2"/>
        <v>1330</v>
      </c>
      <c r="H47" s="1352">
        <v>6.5</v>
      </c>
      <c r="I47" s="1352">
        <v>2.5</v>
      </c>
      <c r="J47" s="1074">
        <v>2</v>
      </c>
      <c r="K47" s="855">
        <f t="shared" si="6"/>
        <v>9</v>
      </c>
      <c r="L47" s="1244">
        <f t="shared" si="3"/>
        <v>45.026041666666671</v>
      </c>
      <c r="M47" s="1244">
        <f t="shared" si="4"/>
        <v>18.703125000000004</v>
      </c>
      <c r="N47" s="1244">
        <f t="shared" si="7"/>
        <v>177.33333333333334</v>
      </c>
    </row>
  </sheetData>
  <autoFilter ref="G4:N47" xr:uid="{1366673A-3AD3-4F7A-95A6-4D40523FE7FF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665B-7789-4939-B51B-07E2B7333BEE}">
  <sheetPr>
    <pageSetUpPr fitToPage="1"/>
  </sheetPr>
  <dimension ref="A1:V35"/>
  <sheetViews>
    <sheetView zoomScale="90" zoomScaleNormal="90" workbookViewId="0">
      <selection activeCell="T9" sqref="T9"/>
    </sheetView>
  </sheetViews>
  <sheetFormatPr baseColWidth="10" defaultColWidth="11.42578125" defaultRowHeight="15"/>
  <cols>
    <col min="1" max="1" width="5" customWidth="1"/>
    <col min="2" max="2" width="32.7109375" bestFit="1" customWidth="1"/>
    <col min="3" max="3" width="11.42578125" hidden="1" customWidth="1"/>
    <col min="9" max="9" width="12.140625" customWidth="1"/>
    <col min="11" max="15" width="11.42578125" customWidth="1"/>
    <col min="16" max="16" width="14.28515625" customWidth="1"/>
  </cols>
  <sheetData>
    <row r="1" spans="1:22" ht="10.5" customHeight="1" thickBot="1">
      <c r="A1" s="757" t="s">
        <v>315</v>
      </c>
      <c r="B1" s="758"/>
      <c r="C1" s="757"/>
      <c r="D1" s="1361" t="s">
        <v>316</v>
      </c>
      <c r="E1" s="1362"/>
      <c r="F1" s="1362"/>
      <c r="G1" s="1362"/>
      <c r="H1" s="1362"/>
      <c r="I1" s="1362"/>
      <c r="J1" s="1362"/>
      <c r="K1" s="1362"/>
      <c r="L1" s="1362"/>
      <c r="M1" s="1362"/>
      <c r="N1" s="1362"/>
      <c r="O1" s="1363"/>
      <c r="P1" s="1452" t="s">
        <v>125</v>
      </c>
      <c r="Q1" s="1454" t="s">
        <v>317</v>
      </c>
    </row>
    <row r="2" spans="1:22">
      <c r="A2" s="759"/>
      <c r="B2" s="760" t="s">
        <v>318</v>
      </c>
      <c r="C2" s="761"/>
      <c r="D2" s="762" t="s">
        <v>319</v>
      </c>
      <c r="E2" s="762" t="s">
        <v>320</v>
      </c>
      <c r="F2" s="762" t="s">
        <v>321</v>
      </c>
      <c r="G2" s="762" t="s">
        <v>322</v>
      </c>
      <c r="H2" s="762" t="s">
        <v>323</v>
      </c>
      <c r="I2" s="763" t="s">
        <v>324</v>
      </c>
      <c r="J2" s="763" t="s">
        <v>325</v>
      </c>
      <c r="K2" s="763" t="s">
        <v>326</v>
      </c>
      <c r="L2" s="763" t="s">
        <v>327</v>
      </c>
      <c r="M2" s="763" t="s">
        <v>328</v>
      </c>
      <c r="N2" s="763" t="s">
        <v>329</v>
      </c>
      <c r="O2" s="763" t="s">
        <v>330</v>
      </c>
      <c r="P2" s="1453"/>
      <c r="Q2" s="1455"/>
      <c r="R2" s="764"/>
      <c r="S2" s="764"/>
      <c r="T2" s="765"/>
      <c r="U2" s="766"/>
      <c r="V2" s="767"/>
    </row>
    <row r="3" spans="1:22">
      <c r="A3" s="1297">
        <v>1</v>
      </c>
      <c r="B3" s="769" t="s">
        <v>219</v>
      </c>
      <c r="C3" s="770"/>
      <c r="D3" s="1082">
        <v>9122.3397000000004</v>
      </c>
      <c r="E3" s="703">
        <v>6019.6636499999995</v>
      </c>
      <c r="F3" s="703">
        <v>8538.4968900000003</v>
      </c>
      <c r="G3" s="703">
        <v>12937.093330000002</v>
      </c>
      <c r="H3" s="703">
        <v>8462.9701479661016</v>
      </c>
      <c r="I3" s="703">
        <v>8965.1879799999988</v>
      </c>
      <c r="J3" s="703">
        <v>12745.127600000002</v>
      </c>
      <c r="K3" s="703"/>
      <c r="L3" s="703"/>
      <c r="M3" s="703"/>
      <c r="N3" s="703"/>
      <c r="O3" s="703"/>
      <c r="P3" s="703">
        <f>SUM(D3:O3)</f>
        <v>66790.879297966108</v>
      </c>
      <c r="Q3" s="703">
        <f t="shared" ref="Q3:Q9" si="0">+P3/6</f>
        <v>11131.813216327684</v>
      </c>
      <c r="R3" s="774"/>
      <c r="S3" s="775"/>
      <c r="T3" s="713"/>
      <c r="U3" s="766"/>
      <c r="V3" s="767"/>
    </row>
    <row r="4" spans="1:22">
      <c r="A4" s="1297">
        <f>+A3+1</f>
        <v>2</v>
      </c>
      <c r="B4" s="769" t="s">
        <v>228</v>
      </c>
      <c r="C4" s="770"/>
      <c r="D4" s="1082">
        <v>2501.7108000000003</v>
      </c>
      <c r="E4" s="703">
        <v>2599.7563500000001</v>
      </c>
      <c r="F4" s="703">
        <v>3287.0806499999999</v>
      </c>
      <c r="G4" s="703">
        <v>2509.8714</v>
      </c>
      <c r="H4" s="703">
        <v>3359.0190000000002</v>
      </c>
      <c r="I4" s="703">
        <v>4331.4262500000004</v>
      </c>
      <c r="J4" s="703">
        <v>1771.03755</v>
      </c>
      <c r="K4" s="703"/>
      <c r="L4" s="703"/>
      <c r="M4" s="703"/>
      <c r="N4" s="703"/>
      <c r="O4" s="703"/>
      <c r="P4" s="703">
        <f>SUM(D4:O4)</f>
        <v>20359.902000000002</v>
      </c>
      <c r="Q4" s="703">
        <f t="shared" si="0"/>
        <v>3393.3170000000005</v>
      </c>
      <c r="R4" s="774"/>
      <c r="S4" s="775"/>
      <c r="T4" s="713"/>
      <c r="U4" s="766"/>
      <c r="V4" s="767"/>
    </row>
    <row r="5" spans="1:22" ht="15" customHeight="1">
      <c r="A5" s="1297">
        <f t="shared" ref="A5:A9" si="1">+A4+1</f>
        <v>3</v>
      </c>
      <c r="B5" s="769" t="s">
        <v>245</v>
      </c>
      <c r="C5" s="770"/>
      <c r="D5" s="1082">
        <v>1375.3926864406781</v>
      </c>
      <c r="E5" s="703">
        <v>2137.4428499999999</v>
      </c>
      <c r="F5" s="703">
        <v>1953.9544499999995</v>
      </c>
      <c r="G5" s="703">
        <v>1486.9737000000002</v>
      </c>
      <c r="H5" s="703">
        <v>1343.5632000000001</v>
      </c>
      <c r="I5" s="703">
        <v>1994.6995500000003</v>
      </c>
      <c r="J5" s="703">
        <v>2048.7844500000001</v>
      </c>
      <c r="K5" s="703"/>
      <c r="L5" s="703"/>
      <c r="M5" s="703"/>
      <c r="N5" s="703"/>
      <c r="O5" s="703"/>
      <c r="P5" s="703">
        <f t="shared" ref="P5:P8" si="2">SUM(D5:O5)</f>
        <v>12340.810886440679</v>
      </c>
      <c r="Q5" s="703">
        <f t="shared" si="0"/>
        <v>2056.8018144067796</v>
      </c>
      <c r="R5" s="774"/>
      <c r="S5" s="775"/>
      <c r="T5" s="713"/>
      <c r="U5" s="766"/>
      <c r="V5" s="767"/>
    </row>
    <row r="6" spans="1:22">
      <c r="A6" s="1297">
        <f t="shared" si="1"/>
        <v>4</v>
      </c>
      <c r="B6" s="769" t="s">
        <v>331</v>
      </c>
      <c r="C6" s="770"/>
      <c r="D6" s="1082">
        <v>5568.2823474576262</v>
      </c>
      <c r="E6" s="703">
        <v>4483.2372220338984</v>
      </c>
      <c r="F6" s="703">
        <v>6098.9263499999997</v>
      </c>
      <c r="G6" s="703">
        <v>9240.7809500000003</v>
      </c>
      <c r="H6" s="703">
        <v>6044.9786771186446</v>
      </c>
      <c r="I6" s="703">
        <v>6403.7056999999995</v>
      </c>
      <c r="J6" s="703">
        <v>7965.7047500000008</v>
      </c>
      <c r="K6" s="703"/>
      <c r="L6" s="703"/>
      <c r="M6" s="703"/>
      <c r="N6" s="703"/>
      <c r="O6" s="703"/>
      <c r="P6" s="703">
        <f t="shared" si="2"/>
        <v>45805.61599661017</v>
      </c>
      <c r="Q6" s="703">
        <f t="shared" si="0"/>
        <v>7634.2693327683619</v>
      </c>
      <c r="R6" s="774"/>
      <c r="S6" s="775"/>
      <c r="T6" s="713"/>
      <c r="U6" s="766"/>
      <c r="V6" s="767"/>
    </row>
    <row r="7" spans="1:22">
      <c r="A7" s="1297">
        <f t="shared" si="1"/>
        <v>5</v>
      </c>
      <c r="B7" s="769" t="s">
        <v>269</v>
      </c>
      <c r="C7" s="769"/>
      <c r="D7" s="1082">
        <v>404.14904999999999</v>
      </c>
      <c r="E7" s="703">
        <v>749.28030000000001</v>
      </c>
      <c r="F7" s="703">
        <v>531.69464999999991</v>
      </c>
      <c r="G7" s="703">
        <v>3286.2736500000001</v>
      </c>
      <c r="H7" s="703">
        <v>700.75905</v>
      </c>
      <c r="I7" s="703">
        <v>1556.8993499999999</v>
      </c>
      <c r="J7" s="703">
        <v>600.18254999999999</v>
      </c>
      <c r="K7" s="703"/>
      <c r="L7" s="703"/>
      <c r="M7" s="703"/>
      <c r="N7" s="703"/>
      <c r="O7" s="703"/>
      <c r="P7" s="703">
        <f t="shared" si="2"/>
        <v>7829.2385999999988</v>
      </c>
      <c r="Q7" s="703">
        <f t="shared" si="0"/>
        <v>1304.8730999999998</v>
      </c>
      <c r="R7" s="774"/>
      <c r="S7" s="775"/>
      <c r="T7" s="713"/>
      <c r="U7" s="766"/>
      <c r="V7" s="767"/>
    </row>
    <row r="8" spans="1:22">
      <c r="A8" s="1297">
        <f t="shared" si="1"/>
        <v>6</v>
      </c>
      <c r="B8" s="769" t="s">
        <v>267</v>
      </c>
      <c r="C8" s="769"/>
      <c r="D8" s="1082">
        <v>2429.196355932203</v>
      </c>
      <c r="E8" s="703">
        <v>842.6241</v>
      </c>
      <c r="F8" s="703">
        <v>846.33224999999993</v>
      </c>
      <c r="G8" s="703">
        <v>2406.4389000000001</v>
      </c>
      <c r="H8" s="703">
        <v>1799.1558813559323</v>
      </c>
      <c r="I8" s="703">
        <v>662.76479999999992</v>
      </c>
      <c r="J8" s="703">
        <v>1891.5045</v>
      </c>
      <c r="K8" s="703"/>
      <c r="L8" s="703"/>
      <c r="M8" s="703"/>
      <c r="N8" s="703"/>
      <c r="O8" s="703"/>
      <c r="P8" s="703">
        <f t="shared" si="2"/>
        <v>10878.016787288136</v>
      </c>
      <c r="Q8" s="703">
        <f t="shared" si="0"/>
        <v>1813.0027978813559</v>
      </c>
      <c r="R8" s="774"/>
      <c r="S8" s="775"/>
      <c r="T8" s="713"/>
      <c r="U8" s="766"/>
      <c r="V8" s="767"/>
    </row>
    <row r="9" spans="1:22">
      <c r="A9" s="1297">
        <f t="shared" si="1"/>
        <v>7</v>
      </c>
      <c r="B9" s="769" t="s">
        <v>275</v>
      </c>
      <c r="C9" s="769"/>
      <c r="D9" s="1082">
        <v>872.05844999999999</v>
      </c>
      <c r="E9" s="703">
        <v>1100.944416101695</v>
      </c>
      <c r="F9" s="703">
        <v>3369.7662</v>
      </c>
      <c r="G9" s="703">
        <v>937.36110000000019</v>
      </c>
      <c r="H9" s="703">
        <v>1449.1908000000001</v>
      </c>
      <c r="I9" s="703">
        <v>1482.3352499999996</v>
      </c>
      <c r="J9" s="703">
        <v>3142.0137</v>
      </c>
      <c r="K9" s="703"/>
      <c r="L9" s="703"/>
      <c r="M9" s="703"/>
      <c r="N9" s="703"/>
      <c r="O9" s="703"/>
      <c r="P9" s="703">
        <f>SUM(D9:O9)</f>
        <v>12353.669916101695</v>
      </c>
      <c r="Q9" s="703">
        <f t="shared" si="0"/>
        <v>2058.9449860169493</v>
      </c>
      <c r="R9" s="774">
        <f>SUM(D9:I9)</f>
        <v>9211.6562161016955</v>
      </c>
      <c r="S9" s="775">
        <f>+R9/6</f>
        <v>1535.2760360169493</v>
      </c>
      <c r="T9" s="713">
        <f>+S9/30*7</f>
        <v>358.2310750706215</v>
      </c>
      <c r="U9" s="766"/>
      <c r="V9" s="767"/>
    </row>
    <row r="10" spans="1:22">
      <c r="A10" s="1297">
        <v>8</v>
      </c>
      <c r="B10" s="1011" t="s">
        <v>280</v>
      </c>
      <c r="C10" s="769"/>
      <c r="D10" s="771"/>
      <c r="E10" s="771"/>
      <c r="F10" s="771"/>
      <c r="G10" s="771"/>
      <c r="H10" s="771"/>
      <c r="I10" s="771">
        <v>887.80799999999988</v>
      </c>
      <c r="J10" s="771">
        <v>1180.96785</v>
      </c>
      <c r="K10" s="771"/>
      <c r="L10" s="771"/>
      <c r="M10" s="771"/>
      <c r="N10" s="771"/>
      <c r="O10" s="771"/>
      <c r="P10" s="703">
        <f>SUM(D10:O10)</f>
        <v>2068.77585</v>
      </c>
      <c r="Q10" s="703">
        <f>+P10/6</f>
        <v>344.795975</v>
      </c>
      <c r="R10" s="774"/>
      <c r="S10" s="775"/>
      <c r="T10" s="713"/>
      <c r="U10" s="766"/>
      <c r="V10" s="767"/>
    </row>
    <row r="11" spans="1:22">
      <c r="A11" s="1297">
        <v>9</v>
      </c>
      <c r="B11" s="1011" t="s">
        <v>807</v>
      </c>
      <c r="C11" s="769"/>
      <c r="D11" s="771"/>
      <c r="E11" s="771"/>
      <c r="F11" s="771"/>
      <c r="G11" s="771"/>
      <c r="H11" s="771"/>
      <c r="I11" s="771"/>
      <c r="J11" s="771">
        <v>72.720749999999995</v>
      </c>
      <c r="K11" s="771"/>
      <c r="L11" s="771"/>
      <c r="M11" s="771"/>
      <c r="N11" s="771"/>
      <c r="O11" s="771"/>
      <c r="P11" s="703">
        <f>SUM(D11:O11)</f>
        <v>72.720749999999995</v>
      </c>
      <c r="Q11" s="703">
        <f>+P11/6</f>
        <v>12.120125</v>
      </c>
      <c r="R11" s="774"/>
      <c r="S11" s="775"/>
      <c r="T11" s="713"/>
      <c r="U11" s="766"/>
      <c r="V11" s="767"/>
    </row>
    <row r="12" spans="1:22" ht="15.75" thickBot="1">
      <c r="C12" s="777">
        <f t="shared" ref="C12:Q12" si="3">SUM(C3:C10)</f>
        <v>0</v>
      </c>
      <c r="D12" s="777">
        <f t="shared" si="3"/>
        <v>22273.129389830508</v>
      </c>
      <c r="E12" s="777">
        <f t="shared" si="3"/>
        <v>17932.948888135594</v>
      </c>
      <c r="F12" s="777">
        <f t="shared" si="3"/>
        <v>24626.25144</v>
      </c>
      <c r="G12" s="777">
        <f t="shared" si="3"/>
        <v>32804.793030000001</v>
      </c>
      <c r="H12" s="777">
        <f t="shared" si="3"/>
        <v>23159.636756440679</v>
      </c>
      <c r="I12" s="777">
        <f t="shared" si="3"/>
        <v>26284.826880000001</v>
      </c>
      <c r="J12" s="777">
        <f>SUM(J3:J11)</f>
        <v>31418.043700000002</v>
      </c>
      <c r="K12" s="777">
        <f t="shared" si="3"/>
        <v>0</v>
      </c>
      <c r="L12" s="777">
        <f t="shared" si="3"/>
        <v>0</v>
      </c>
      <c r="M12" s="778">
        <f t="shared" si="3"/>
        <v>0</v>
      </c>
      <c r="N12" s="777">
        <f t="shared" si="3"/>
        <v>0</v>
      </c>
      <c r="O12" s="777">
        <f t="shared" si="3"/>
        <v>0</v>
      </c>
      <c r="P12" s="777">
        <f t="shared" si="3"/>
        <v>178426.90933440681</v>
      </c>
      <c r="Q12" s="777">
        <f t="shared" si="3"/>
        <v>29737.818222401133</v>
      </c>
    </row>
    <row r="13" spans="1:22" ht="15.75" thickTop="1">
      <c r="E13" s="779"/>
      <c r="F13" s="779"/>
      <c r="H13" s="779"/>
      <c r="I13" s="779"/>
      <c r="J13" s="998"/>
      <c r="K13" s="779"/>
      <c r="L13" s="998"/>
      <c r="M13" s="998"/>
      <c r="N13" s="998"/>
      <c r="O13" s="998"/>
    </row>
    <row r="14" spans="1:22">
      <c r="E14" s="779"/>
      <c r="F14" s="779"/>
      <c r="G14" s="779"/>
      <c r="H14" s="779"/>
      <c r="I14" s="764"/>
      <c r="J14" s="998"/>
      <c r="K14" s="998"/>
      <c r="L14" s="998"/>
      <c r="M14" s="998"/>
      <c r="N14" s="998"/>
      <c r="O14" s="998"/>
    </row>
    <row r="21" spans="1:22" ht="15.75" thickBot="1"/>
    <row r="22" spans="1:22" ht="15.75" thickBot="1">
      <c r="A22" s="757" t="s">
        <v>315</v>
      </c>
      <c r="B22" s="758"/>
      <c r="C22" s="757">
        <v>2024</v>
      </c>
      <c r="D22" s="1456" t="s">
        <v>332</v>
      </c>
      <c r="E22" s="1457"/>
      <c r="F22" s="1457"/>
      <c r="G22" s="1457"/>
      <c r="H22" s="1457"/>
      <c r="I22" s="1457"/>
      <c r="J22" s="1457"/>
      <c r="K22" s="1457"/>
      <c r="L22" s="1457"/>
      <c r="M22" s="1457"/>
      <c r="N22" s="1457"/>
      <c r="O22" s="1458"/>
      <c r="P22" s="1452" t="s">
        <v>125</v>
      </c>
      <c r="Q22" s="1454" t="s">
        <v>317</v>
      </c>
      <c r="V22" t="s">
        <v>767</v>
      </c>
    </row>
    <row r="23" spans="1:22">
      <c r="A23" s="759"/>
      <c r="B23" s="760" t="s">
        <v>318</v>
      </c>
      <c r="C23" s="761" t="s">
        <v>330</v>
      </c>
      <c r="D23" s="762" t="s">
        <v>319</v>
      </c>
      <c r="E23" s="762" t="s">
        <v>320</v>
      </c>
      <c r="F23" s="762" t="s">
        <v>321</v>
      </c>
      <c r="G23" s="762" t="s">
        <v>322</v>
      </c>
      <c r="H23" s="762" t="s">
        <v>323</v>
      </c>
      <c r="I23" s="763" t="s">
        <v>324</v>
      </c>
      <c r="J23" s="763" t="s">
        <v>325</v>
      </c>
      <c r="K23" s="763" t="s">
        <v>326</v>
      </c>
      <c r="L23" s="763" t="s">
        <v>327</v>
      </c>
      <c r="M23" s="763" t="s">
        <v>328</v>
      </c>
      <c r="N23" s="763" t="s">
        <v>329</v>
      </c>
      <c r="O23" s="763" t="s">
        <v>330</v>
      </c>
      <c r="P23" s="1453"/>
      <c r="Q23" s="1455"/>
      <c r="R23" s="764"/>
      <c r="S23" s="764"/>
      <c r="T23" s="765"/>
      <c r="U23" s="766"/>
      <c r="V23" s="767"/>
    </row>
    <row r="24" spans="1:22">
      <c r="A24" s="768">
        <v>1</v>
      </c>
      <c r="B24" s="769" t="s">
        <v>219</v>
      </c>
      <c r="C24" s="770">
        <v>3749.93055</v>
      </c>
      <c r="D24" s="770">
        <v>5009.5509000000002</v>
      </c>
      <c r="E24" s="771">
        <v>7448.2999499999987</v>
      </c>
      <c r="F24" s="771">
        <v>9200.1916162500002</v>
      </c>
      <c r="G24" s="844">
        <v>9329.5000500000006</v>
      </c>
      <c r="H24" s="772">
        <v>8939.9500000000007</v>
      </c>
      <c r="I24" s="772">
        <v>12112.492799999998</v>
      </c>
      <c r="J24" s="772">
        <v>7881.04</v>
      </c>
      <c r="K24" s="772">
        <v>7297.3057499999995</v>
      </c>
      <c r="L24" s="772">
        <v>7289.3865000000014</v>
      </c>
      <c r="M24" s="772">
        <v>10135.684350000001</v>
      </c>
      <c r="N24" s="1054">
        <v>5083.4069999999992</v>
      </c>
      <c r="O24" s="772">
        <v>4295.24</v>
      </c>
      <c r="P24" s="773">
        <f>SUM(D24:O24)</f>
        <v>94022.048916250016</v>
      </c>
      <c r="Q24" s="773">
        <f t="shared" ref="Q24:Q32" si="4">+P24/6</f>
        <v>15670.341486041669</v>
      </c>
      <c r="R24" s="774"/>
      <c r="S24" s="775"/>
      <c r="T24" s="713"/>
      <c r="U24" s="766"/>
      <c r="V24" s="767"/>
    </row>
    <row r="25" spans="1:22">
      <c r="A25" s="768">
        <f>+A24+1</f>
        <v>2</v>
      </c>
      <c r="B25" s="769" t="s">
        <v>228</v>
      </c>
      <c r="C25" s="770">
        <v>2506.3844999999997</v>
      </c>
      <c r="D25" s="770">
        <v>7095.9636</v>
      </c>
      <c r="E25" s="771">
        <v>2310.1339499999999</v>
      </c>
      <c r="F25" s="771">
        <v>1816.4344499999997</v>
      </c>
      <c r="G25" s="771">
        <v>5069.9014499999994</v>
      </c>
      <c r="H25" s="772">
        <v>1552.32</v>
      </c>
      <c r="I25" s="772">
        <v>2245.63</v>
      </c>
      <c r="J25" s="772">
        <v>4212.2299999999996</v>
      </c>
      <c r="K25" s="772">
        <v>2680.1594999999998</v>
      </c>
      <c r="L25" s="772">
        <v>4362.1778999999988</v>
      </c>
      <c r="M25" s="772">
        <v>4957.9691999999995</v>
      </c>
      <c r="N25" s="772">
        <v>1243.5899999999999</v>
      </c>
      <c r="O25" s="772">
        <v>1724.21</v>
      </c>
      <c r="P25" s="773">
        <f>SUM(D25:O25)</f>
        <v>39270.720049999996</v>
      </c>
      <c r="Q25" s="773">
        <f t="shared" si="4"/>
        <v>6545.1200083333324</v>
      </c>
      <c r="R25" s="774"/>
      <c r="S25" s="775"/>
      <c r="T25" s="713"/>
      <c r="U25" s="766"/>
      <c r="V25" s="767"/>
    </row>
    <row r="26" spans="1:22" hidden="1">
      <c r="A26" s="768">
        <f t="shared" ref="A26:A29" si="5">+A25+1</f>
        <v>3</v>
      </c>
      <c r="B26" s="769" t="s">
        <v>333</v>
      </c>
      <c r="C26" s="770">
        <v>260.48939999999999</v>
      </c>
      <c r="D26" s="770">
        <v>432.22244999999998</v>
      </c>
      <c r="E26" s="771">
        <v>217.75095000000002</v>
      </c>
      <c r="F26" s="771">
        <v>534.52604999999994</v>
      </c>
      <c r="G26" s="771">
        <v>1015.8412500000002</v>
      </c>
      <c r="H26" s="987">
        <v>0</v>
      </c>
      <c r="I26" s="987">
        <v>0</v>
      </c>
      <c r="J26" s="987"/>
      <c r="K26" s="987"/>
      <c r="L26" s="987"/>
      <c r="M26" s="987"/>
      <c r="N26" s="987"/>
      <c r="O26" s="987"/>
      <c r="P26" s="773">
        <f t="shared" ref="P26:P32" si="6">SUM(D26:O26)</f>
        <v>2200.3406999999997</v>
      </c>
      <c r="Q26" s="773">
        <f t="shared" si="4"/>
        <v>366.72344999999996</v>
      </c>
      <c r="R26" s="774"/>
      <c r="S26" s="775"/>
      <c r="T26" s="713"/>
      <c r="U26" s="766"/>
      <c r="V26" s="767"/>
    </row>
    <row r="27" spans="1:22">
      <c r="A27" s="768">
        <f t="shared" si="5"/>
        <v>4</v>
      </c>
      <c r="B27" s="769" t="s">
        <v>245</v>
      </c>
      <c r="C27" s="770">
        <v>872.84850000000006</v>
      </c>
      <c r="D27" s="770">
        <v>1473.3036000000002</v>
      </c>
      <c r="E27" s="771">
        <v>2995.60995</v>
      </c>
      <c r="F27" s="771">
        <v>2739.9274500000001</v>
      </c>
      <c r="G27" s="771">
        <v>1961.3278500000001</v>
      </c>
      <c r="H27" s="772">
        <v>1835.52</v>
      </c>
      <c r="I27" s="772">
        <v>2977.69</v>
      </c>
      <c r="J27" s="772">
        <v>2142.75</v>
      </c>
      <c r="K27" s="772">
        <v>2792.4066450000009</v>
      </c>
      <c r="L27" s="772">
        <v>1457.0636999999999</v>
      </c>
      <c r="M27" s="772">
        <v>1122.8265000000001</v>
      </c>
      <c r="N27" s="772">
        <v>2531.9699999999998</v>
      </c>
      <c r="O27" s="772">
        <v>829.3</v>
      </c>
      <c r="P27" s="773">
        <f t="shared" si="6"/>
        <v>24859.695695000002</v>
      </c>
      <c r="Q27" s="773">
        <f t="shared" si="4"/>
        <v>4143.2826158333337</v>
      </c>
      <c r="R27" s="774"/>
      <c r="S27" s="775"/>
      <c r="T27" s="713"/>
      <c r="U27" s="766"/>
      <c r="V27" s="767"/>
    </row>
    <row r="28" spans="1:22">
      <c r="A28" s="768">
        <f t="shared" si="5"/>
        <v>5</v>
      </c>
      <c r="B28" s="769" t="s">
        <v>331</v>
      </c>
      <c r="C28" s="770">
        <v>3217.1824499999998</v>
      </c>
      <c r="D28" s="770">
        <v>5674.8750499999996</v>
      </c>
      <c r="E28" s="771">
        <v>4496.0072</v>
      </c>
      <c r="F28" s="771">
        <v>5380.4995887499999</v>
      </c>
      <c r="G28" s="844">
        <v>6572.64635</v>
      </c>
      <c r="H28" s="772">
        <v>5345.58</v>
      </c>
      <c r="I28" s="772">
        <v>6844.2281999999996</v>
      </c>
      <c r="J28" s="772">
        <v>5943.65</v>
      </c>
      <c r="K28" s="772">
        <v>5512.5558649999994</v>
      </c>
      <c r="L28" s="772">
        <v>6117.8438650000016</v>
      </c>
      <c r="M28" s="772">
        <v>7150.9868000000006</v>
      </c>
      <c r="N28" s="1054">
        <v>4317.9892499999996</v>
      </c>
      <c r="O28" s="772">
        <v>3580.75</v>
      </c>
      <c r="P28" s="773">
        <f t="shared" si="6"/>
        <v>66937.612168749998</v>
      </c>
      <c r="Q28" s="773">
        <f t="shared" si="4"/>
        <v>11156.268694791666</v>
      </c>
      <c r="R28" s="774"/>
      <c r="S28" s="775"/>
      <c r="T28" s="713"/>
      <c r="U28" s="766"/>
      <c r="V28" s="767"/>
    </row>
    <row r="29" spans="1:22">
      <c r="A29" s="768">
        <f t="shared" si="5"/>
        <v>6</v>
      </c>
      <c r="B29" s="769" t="s">
        <v>269</v>
      </c>
      <c r="C29" s="769"/>
      <c r="D29" s="770"/>
      <c r="E29" s="771">
        <v>516.22680000000014</v>
      </c>
      <c r="F29" s="771">
        <v>1351.7901000000002</v>
      </c>
      <c r="G29" s="771">
        <v>1744.5441000000003</v>
      </c>
      <c r="H29" s="772">
        <v>2470.7199999999998</v>
      </c>
      <c r="I29" s="772">
        <v>916.03</v>
      </c>
      <c r="J29" s="772">
        <v>1335.61</v>
      </c>
      <c r="K29" s="772">
        <v>1408.1794500000001</v>
      </c>
      <c r="L29" s="772">
        <v>3396.5072999999998</v>
      </c>
      <c r="M29" s="772">
        <v>1826.0353500000001</v>
      </c>
      <c r="N29" s="772">
        <v>633.57000000000005</v>
      </c>
      <c r="O29" s="772">
        <v>1496.32</v>
      </c>
      <c r="P29" s="773">
        <f t="shared" si="6"/>
        <v>17095.533100000001</v>
      </c>
      <c r="Q29" s="773">
        <f t="shared" si="4"/>
        <v>2849.2555166666666</v>
      </c>
      <c r="R29" s="774"/>
      <c r="S29" s="775"/>
      <c r="T29" s="713"/>
      <c r="U29" s="766"/>
      <c r="V29" s="767"/>
    </row>
    <row r="30" spans="1:22">
      <c r="A30" s="768">
        <v>7</v>
      </c>
      <c r="B30" s="769" t="s">
        <v>267</v>
      </c>
      <c r="C30" s="769"/>
      <c r="D30" s="770"/>
      <c r="E30" s="771"/>
      <c r="F30" s="771">
        <v>498.62910000000005</v>
      </c>
      <c r="G30" s="771">
        <v>596.82434999999998</v>
      </c>
      <c r="H30" s="772">
        <v>1085.98</v>
      </c>
      <c r="I30" s="772">
        <v>917.48</v>
      </c>
      <c r="J30" s="772">
        <v>1345.58</v>
      </c>
      <c r="K30" s="772">
        <v>1584.3099</v>
      </c>
      <c r="L30" s="772">
        <v>1237.67715</v>
      </c>
      <c r="M30" s="772">
        <v>2344.5985499999997</v>
      </c>
      <c r="N30" s="772">
        <v>2158.2800000000002</v>
      </c>
      <c r="O30" s="772">
        <v>1263.82</v>
      </c>
      <c r="P30" s="773">
        <f t="shared" si="6"/>
        <v>13033.179050000001</v>
      </c>
      <c r="Q30" s="773">
        <f t="shared" si="4"/>
        <v>2172.1965083333334</v>
      </c>
      <c r="R30" s="774"/>
      <c r="S30" s="775"/>
      <c r="T30" s="713"/>
      <c r="U30" s="766"/>
      <c r="V30" s="767"/>
    </row>
    <row r="31" spans="1:22">
      <c r="A31" s="768">
        <v>8</v>
      </c>
      <c r="B31" s="769" t="s">
        <v>275</v>
      </c>
      <c r="C31" s="769"/>
      <c r="D31" s="770"/>
      <c r="E31" s="771"/>
      <c r="F31" s="771"/>
      <c r="G31" s="771"/>
      <c r="H31" s="772">
        <v>152.22999999999999</v>
      </c>
      <c r="I31" s="772">
        <v>1363.37</v>
      </c>
      <c r="J31" s="772">
        <v>913.74</v>
      </c>
      <c r="K31" s="772">
        <v>775.30635000000029</v>
      </c>
      <c r="L31" s="772">
        <v>610.71904500000016</v>
      </c>
      <c r="M31" s="772">
        <v>1065.84645</v>
      </c>
      <c r="N31" s="772">
        <v>1303.1500000000001</v>
      </c>
      <c r="O31" s="772">
        <v>1133.3800000000001</v>
      </c>
      <c r="P31" s="773">
        <f t="shared" si="6"/>
        <v>7317.7418450000014</v>
      </c>
      <c r="Q31" s="773">
        <f t="shared" si="4"/>
        <v>1219.6236408333336</v>
      </c>
      <c r="R31" s="774"/>
      <c r="S31" s="775"/>
      <c r="T31" s="713"/>
      <c r="U31" s="766"/>
      <c r="V31" s="767"/>
    </row>
    <row r="32" spans="1:22">
      <c r="A32" s="768"/>
      <c r="B32" s="769"/>
      <c r="C32" s="769"/>
      <c r="D32" s="771"/>
      <c r="E32" s="771"/>
      <c r="F32" s="771"/>
      <c r="G32" s="771"/>
      <c r="H32" s="772"/>
      <c r="I32" s="772"/>
      <c r="J32" s="772"/>
      <c r="K32" s="772"/>
      <c r="L32" s="772"/>
      <c r="M32" s="772"/>
      <c r="N32" s="772"/>
      <c r="O32" s="772"/>
      <c r="P32" s="773">
        <f t="shared" si="6"/>
        <v>0</v>
      </c>
      <c r="Q32" s="773">
        <f t="shared" si="4"/>
        <v>0</v>
      </c>
      <c r="R32" s="774"/>
      <c r="S32" s="775"/>
      <c r="T32" s="713"/>
      <c r="U32" s="766"/>
      <c r="V32" s="767"/>
    </row>
    <row r="33" spans="3:17" ht="15.75" thickBot="1">
      <c r="C33" s="777">
        <f>SUM(C24:C32)</f>
        <v>10606.8354</v>
      </c>
      <c r="D33" s="777">
        <f>SUM(D24:D32)</f>
        <v>19685.9156</v>
      </c>
      <c r="E33" s="777">
        <f t="shared" ref="E33:Q33" si="7">SUM(E24:E32)</f>
        <v>17984.028799999996</v>
      </c>
      <c r="F33" s="777">
        <f t="shared" si="7"/>
        <v>21521.998354999996</v>
      </c>
      <c r="G33" s="777">
        <f t="shared" si="7"/>
        <v>26290.585399999996</v>
      </c>
      <c r="H33" s="777">
        <f t="shared" si="7"/>
        <v>21382.300000000003</v>
      </c>
      <c r="I33" s="777">
        <f t="shared" si="7"/>
        <v>27376.920999999995</v>
      </c>
      <c r="J33" s="777">
        <f t="shared" si="7"/>
        <v>23774.600000000002</v>
      </c>
      <c r="K33" s="777">
        <f t="shared" si="7"/>
        <v>22050.223459999997</v>
      </c>
      <c r="L33" s="777">
        <f t="shared" si="7"/>
        <v>24471.375460000003</v>
      </c>
      <c r="M33" s="778">
        <f t="shared" si="7"/>
        <v>28603.947200000002</v>
      </c>
      <c r="N33" s="777">
        <f t="shared" si="7"/>
        <v>17271.956249999999</v>
      </c>
      <c r="O33" s="777">
        <f t="shared" si="7"/>
        <v>14323.02</v>
      </c>
      <c r="P33" s="777">
        <f t="shared" si="7"/>
        <v>264736.87152500002</v>
      </c>
      <c r="Q33" s="777">
        <f t="shared" si="7"/>
        <v>44122.811920833337</v>
      </c>
    </row>
    <row r="34" spans="3:17" ht="15.75" thickTop="1">
      <c r="E34" s="779">
        <v>17984.028799999996</v>
      </c>
      <c r="F34" s="779">
        <v>21521.998354999996</v>
      </c>
      <c r="H34" s="779">
        <f>+'[1]PLANILLA MENSUAL'!S74</f>
        <v>0</v>
      </c>
      <c r="I34" s="779">
        <f>+'[1]PLANILLA MENSUAL'!S74</f>
        <v>0</v>
      </c>
      <c r="J34" s="998">
        <f>+[2]Resumen!$D$13</f>
        <v>23774.611999999994</v>
      </c>
      <c r="K34" s="779">
        <f>+[3]COMISIONES!$K$13</f>
        <v>22050.223459999997</v>
      </c>
      <c r="L34" s="998">
        <f>+[4]Resumen!$D$13</f>
        <v>24471.375460000003</v>
      </c>
      <c r="M34" s="998">
        <f>+[5]Resumen!$D$13</f>
        <v>28603.947200000002</v>
      </c>
      <c r="N34" s="998">
        <f>+[6]Resumen!$D$13</f>
        <v>17271.956999999999</v>
      </c>
      <c r="O34" s="998">
        <f>+[7]Resumen!$D$13</f>
        <v>14322.999599999999</v>
      </c>
    </row>
    <row r="35" spans="3:17">
      <c r="E35" s="779"/>
      <c r="F35" s="779"/>
      <c r="G35" s="779"/>
      <c r="H35" s="779"/>
      <c r="I35" s="764"/>
      <c r="J35" s="998"/>
      <c r="K35" s="998"/>
      <c r="L35" s="998"/>
      <c r="M35" s="998"/>
      <c r="N35" s="998"/>
      <c r="O35" s="998"/>
    </row>
  </sheetData>
  <mergeCells count="5">
    <mergeCell ref="P1:P2"/>
    <mergeCell ref="Q1:Q2"/>
    <mergeCell ref="D22:O22"/>
    <mergeCell ref="P22:P23"/>
    <mergeCell ref="Q22:Q23"/>
  </mergeCells>
  <conditionalFormatting sqref="B10:B11">
    <cfRule type="duplicateValues" dxfId="3" priority="1"/>
  </conditionalFormatting>
  <pageMargins left="0.15748031496062992" right="0.19685039370078741" top="0.74803149606299213" bottom="0.74803149606299213" header="0.31496062992125984" footer="0.31496062992125984"/>
  <pageSetup paperSize="9" scale="72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61CB-52A4-49C7-B9B7-744B86F799CF}">
  <dimension ref="B2:X181"/>
  <sheetViews>
    <sheetView zoomScale="80" zoomScaleNormal="80" workbookViewId="0">
      <pane xSplit="3" ySplit="5" topLeftCell="D102" activePane="bottomRight" state="frozen"/>
      <selection activeCell="K110" sqref="K110"/>
      <selection pane="topRight" activeCell="K110" sqref="K110"/>
      <selection pane="bottomLeft" activeCell="K110" sqref="K110"/>
      <selection pane="bottomRight" activeCell="O142" sqref="O142"/>
    </sheetView>
  </sheetViews>
  <sheetFormatPr baseColWidth="10" defaultColWidth="12.85546875" defaultRowHeight="12.75"/>
  <cols>
    <col min="1" max="1" width="2.7109375" style="638" customWidth="1"/>
    <col min="2" max="2" width="51.140625" style="638" customWidth="1"/>
    <col min="3" max="3" width="5.140625" style="638" customWidth="1"/>
    <col min="4" max="4" width="14.42578125" style="638" customWidth="1"/>
    <col min="5" max="5" width="14.5703125" style="705" customWidth="1"/>
    <col min="6" max="6" width="14.140625" style="705" customWidth="1"/>
    <col min="7" max="7" width="14.28515625" style="705" customWidth="1"/>
    <col min="8" max="8" width="14.85546875" style="705" customWidth="1"/>
    <col min="9" max="10" width="15.5703125" style="705" customWidth="1"/>
    <col min="11" max="12" width="15.5703125" style="705" hidden="1" customWidth="1"/>
    <col min="13" max="13" width="15.5703125" style="705" customWidth="1"/>
    <col min="14" max="14" width="17.28515625" style="641" customWidth="1"/>
    <col min="15" max="15" width="15.85546875" style="638" customWidth="1"/>
    <col min="16" max="16" width="11.42578125" style="638" customWidth="1"/>
    <col min="17" max="17" width="14.42578125" style="638" customWidth="1"/>
    <col min="18" max="18" width="16.140625" style="638" customWidth="1"/>
    <col min="19" max="22" width="11.42578125" style="638" customWidth="1"/>
    <col min="23" max="23" width="12.42578125" style="638" customWidth="1"/>
    <col min="24" max="235" width="11.42578125" style="638" customWidth="1"/>
    <col min="236" max="236" width="2.7109375" style="638" customWidth="1"/>
    <col min="237" max="237" width="31.5703125" style="638" customWidth="1"/>
    <col min="238" max="238" width="12.42578125" style="638" customWidth="1"/>
    <col min="239" max="239" width="13.42578125" style="638" bestFit="1" customWidth="1"/>
    <col min="240" max="240" width="12.140625" style="638" bestFit="1" customWidth="1"/>
    <col min="241" max="241" width="13.28515625" style="638" customWidth="1"/>
    <col min="242" max="244" width="12.140625" style="638" bestFit="1" customWidth="1"/>
    <col min="245" max="246" width="13.28515625" style="638" customWidth="1"/>
    <col min="247" max="247" width="14.42578125" style="638" customWidth="1"/>
    <col min="248" max="248" width="12.85546875" style="638" bestFit="1"/>
    <col min="249" max="16384" width="12.85546875" style="638"/>
  </cols>
  <sheetData>
    <row r="2" spans="2:15" s="635" customFormat="1" ht="15.75">
      <c r="B2" s="635" t="s">
        <v>796</v>
      </c>
      <c r="E2" s="636"/>
      <c r="F2" s="636"/>
      <c r="G2" s="636"/>
      <c r="H2" s="636"/>
      <c r="I2" s="636"/>
      <c r="J2" s="636"/>
      <c r="K2" s="636"/>
      <c r="L2" s="636"/>
      <c r="M2" s="636"/>
      <c r="N2" s="637"/>
    </row>
    <row r="3" spans="2:15" ht="13.5" thickBot="1">
      <c r="D3" s="639"/>
      <c r="E3" s="640"/>
      <c r="F3" s="640"/>
      <c r="G3" s="640"/>
      <c r="H3" s="640"/>
      <c r="I3" s="640"/>
      <c r="J3" s="640"/>
      <c r="K3" s="640"/>
      <c r="L3" s="640"/>
      <c r="M3" s="640"/>
    </row>
    <row r="4" spans="2:15" ht="15">
      <c r="B4" s="1459" t="s">
        <v>335</v>
      </c>
      <c r="C4" s="1461"/>
      <c r="D4" s="643" t="s">
        <v>336</v>
      </c>
      <c r="E4" s="644" t="s">
        <v>337</v>
      </c>
      <c r="F4" s="644" t="s">
        <v>338</v>
      </c>
      <c r="G4" s="645" t="s">
        <v>339</v>
      </c>
      <c r="H4" s="645" t="s">
        <v>338</v>
      </c>
      <c r="I4" s="645" t="s">
        <v>340</v>
      </c>
      <c r="J4" s="645" t="s">
        <v>341</v>
      </c>
      <c r="K4" s="645" t="s">
        <v>342</v>
      </c>
      <c r="L4" s="1069" t="s">
        <v>343</v>
      </c>
      <c r="M4" s="645" t="s">
        <v>797</v>
      </c>
      <c r="N4" s="1463" t="s">
        <v>292</v>
      </c>
    </row>
    <row r="5" spans="2:15" ht="15.75" thickBot="1">
      <c r="B5" s="1460"/>
      <c r="C5" s="1462"/>
      <c r="D5" s="1077" t="s">
        <v>344</v>
      </c>
      <c r="E5" s="1078" t="s">
        <v>345</v>
      </c>
      <c r="F5" s="1078" t="s">
        <v>346</v>
      </c>
      <c r="G5" s="1079" t="s">
        <v>347</v>
      </c>
      <c r="H5" s="1079" t="s">
        <v>348</v>
      </c>
      <c r="I5" s="1079" t="s">
        <v>349</v>
      </c>
      <c r="J5" s="1079" t="s">
        <v>350</v>
      </c>
      <c r="K5" s="1079" t="s">
        <v>351</v>
      </c>
      <c r="L5" s="1080" t="s">
        <v>351</v>
      </c>
      <c r="M5" s="1079" t="s">
        <v>798</v>
      </c>
      <c r="N5" s="1464"/>
    </row>
    <row r="6" spans="2:15" s="648" customFormat="1" ht="15">
      <c r="B6" s="841" t="s">
        <v>319</v>
      </c>
      <c r="C6" s="646"/>
      <c r="D6" s="649"/>
      <c r="E6" s="649"/>
      <c r="F6" s="649"/>
      <c r="G6" s="649"/>
      <c r="H6" s="649"/>
      <c r="I6" s="649"/>
      <c r="J6" s="649"/>
      <c r="K6" s="649"/>
      <c r="L6" s="649"/>
      <c r="M6" s="649"/>
      <c r="N6" s="647"/>
    </row>
    <row r="7" spans="2:15" s="648" customFormat="1" ht="14.25">
      <c r="B7" s="646" t="s">
        <v>352</v>
      </c>
      <c r="C7" s="646"/>
      <c r="D7" s="649">
        <v>12113</v>
      </c>
      <c r="E7" s="649">
        <v>4613</v>
      </c>
      <c r="F7" s="649">
        <v>3613</v>
      </c>
      <c r="G7" s="649">
        <v>2913</v>
      </c>
      <c r="H7" s="649">
        <v>2500</v>
      </c>
      <c r="I7" s="649">
        <v>1800</v>
      </c>
      <c r="J7" s="649">
        <v>2000</v>
      </c>
      <c r="K7" s="649">
        <v>4000</v>
      </c>
      <c r="L7" s="649">
        <v>3500</v>
      </c>
      <c r="M7" s="649">
        <v>1500</v>
      </c>
      <c r="N7" s="647">
        <f>SUM(D7:M7)</f>
        <v>38552</v>
      </c>
    </row>
    <row r="8" spans="2:15" s="648" customFormat="1" ht="14.25">
      <c r="B8" s="646" t="s">
        <v>353</v>
      </c>
      <c r="C8" s="646"/>
      <c r="D8" s="1055">
        <v>5568.2823474576262</v>
      </c>
      <c r="E8" s="1055">
        <v>9122.3397000000004</v>
      </c>
      <c r="F8" s="1055">
        <v>2501.7108000000003</v>
      </c>
      <c r="G8" s="1055">
        <v>1375.3926864406781</v>
      </c>
      <c r="H8" s="1055">
        <v>404.14904999999999</v>
      </c>
      <c r="I8" s="1055">
        <v>2429.196355932203</v>
      </c>
      <c r="J8" s="1055">
        <v>872.05844999999999</v>
      </c>
      <c r="K8" s="1055"/>
      <c r="L8" s="1055"/>
      <c r="M8" s="1055"/>
      <c r="N8" s="647">
        <f>SUM(D8:K8)</f>
        <v>22273.129389830508</v>
      </c>
    </row>
    <row r="9" spans="2:15" s="648" customFormat="1" ht="14.25">
      <c r="B9" s="646" t="s">
        <v>354</v>
      </c>
      <c r="C9" s="646"/>
      <c r="D9" s="655"/>
      <c r="E9" s="655">
        <v>1399.40212</v>
      </c>
      <c r="F9" s="655">
        <v>639.34455333333312</v>
      </c>
      <c r="G9" s="655"/>
      <c r="H9" s="655"/>
      <c r="I9" s="649"/>
      <c r="J9" s="649"/>
      <c r="K9" s="649"/>
      <c r="L9" s="649"/>
      <c r="M9" s="649"/>
      <c r="N9" s="647">
        <f>SUM(D9:K9)</f>
        <v>2038.7466733333331</v>
      </c>
    </row>
    <row r="10" spans="2:15" s="664" customFormat="1" ht="14.25">
      <c r="B10" s="842"/>
      <c r="C10" s="842"/>
      <c r="D10" s="655"/>
      <c r="E10" s="655"/>
      <c r="F10" s="655"/>
      <c r="G10" s="655"/>
      <c r="H10" s="655"/>
      <c r="I10" s="649"/>
      <c r="J10" s="649"/>
      <c r="K10" s="649"/>
      <c r="L10" s="649"/>
      <c r="M10" s="649"/>
      <c r="N10" s="697"/>
    </row>
    <row r="11" spans="2:15" s="648" customFormat="1" ht="15">
      <c r="B11" s="841" t="s">
        <v>320</v>
      </c>
      <c r="C11" s="646"/>
      <c r="D11" s="655"/>
      <c r="E11" s="655"/>
      <c r="F11" s="655"/>
      <c r="G11" s="655"/>
      <c r="H11" s="655"/>
      <c r="I11" s="649"/>
      <c r="J11" s="649"/>
      <c r="K11" s="649"/>
      <c r="L11" s="649"/>
      <c r="M11" s="649"/>
      <c r="N11" s="647"/>
    </row>
    <row r="12" spans="2:15" s="648" customFormat="1" ht="14.25">
      <c r="B12" s="646" t="s">
        <v>352</v>
      </c>
      <c r="C12" s="646"/>
      <c r="D12" s="649">
        <v>12113</v>
      </c>
      <c r="E12" s="649">
        <v>4613</v>
      </c>
      <c r="F12" s="649">
        <v>3613</v>
      </c>
      <c r="G12" s="649">
        <v>2913</v>
      </c>
      <c r="H12" s="649">
        <v>2500</v>
      </c>
      <c r="I12" s="649">
        <v>1800</v>
      </c>
      <c r="J12" s="649">
        <v>2000</v>
      </c>
      <c r="K12" s="649">
        <v>4113</v>
      </c>
      <c r="L12" s="649"/>
      <c r="M12" s="649">
        <v>1500</v>
      </c>
      <c r="N12" s="647">
        <f>SUM(D12:K12)</f>
        <v>33665</v>
      </c>
    </row>
    <row r="13" spans="2:15" s="648" customFormat="1" ht="14.25">
      <c r="B13" s="646" t="s">
        <v>353</v>
      </c>
      <c r="C13" s="646"/>
      <c r="D13" s="1055">
        <f>+COMISIONES!E6</f>
        <v>4483.2372220338984</v>
      </c>
      <c r="E13" s="1055">
        <f>+COMISIONES!E3</f>
        <v>6019.6636499999995</v>
      </c>
      <c r="F13" s="1055">
        <f>+COMISIONES!E4</f>
        <v>2599.7563500000001</v>
      </c>
      <c r="G13" s="1055">
        <f>+COMISIONES!E5</f>
        <v>2137.4428499999999</v>
      </c>
      <c r="H13" s="1055">
        <f>+COMISIONES!E7</f>
        <v>749.28030000000001</v>
      </c>
      <c r="I13" s="1055">
        <f>+COMISIONES!E8</f>
        <v>842.6241</v>
      </c>
      <c r="J13" s="1055">
        <f>+COMISIONES!E9</f>
        <v>1100.944416101695</v>
      </c>
      <c r="K13" s="1055"/>
      <c r="L13" s="1055"/>
      <c r="M13" s="1055"/>
      <c r="N13" s="647">
        <f>SUM(D13:K13)</f>
        <v>17932.94888813559</v>
      </c>
    </row>
    <row r="14" spans="2:15" s="648" customFormat="1" ht="14.25">
      <c r="B14" s="646"/>
      <c r="C14" s="646"/>
      <c r="D14" s="655"/>
      <c r="E14" s="655"/>
      <c r="F14" s="655"/>
      <c r="G14" s="655"/>
      <c r="H14" s="655"/>
      <c r="I14" s="649"/>
      <c r="J14" s="649"/>
      <c r="K14" s="649"/>
      <c r="L14" s="649"/>
      <c r="M14" s="649"/>
      <c r="N14" s="647">
        <f>SUM(D14:I14)</f>
        <v>0</v>
      </c>
    </row>
    <row r="15" spans="2:15" s="648" customFormat="1" ht="15">
      <c r="B15" s="841" t="s">
        <v>321</v>
      </c>
      <c r="C15" s="646"/>
      <c r="D15" s="655"/>
      <c r="E15" s="655"/>
      <c r="F15" s="655"/>
      <c r="G15" s="655"/>
      <c r="H15" s="655"/>
      <c r="I15" s="649"/>
      <c r="J15" s="649"/>
      <c r="K15" s="649"/>
      <c r="L15" s="649"/>
      <c r="M15" s="649"/>
      <c r="N15" s="647"/>
      <c r="O15" s="650"/>
    </row>
    <row r="16" spans="2:15" s="648" customFormat="1" ht="14.25">
      <c r="B16" s="646" t="s">
        <v>352</v>
      </c>
      <c r="C16" s="646"/>
      <c r="D16" s="649">
        <v>12113</v>
      </c>
      <c r="E16" s="649">
        <v>4613</v>
      </c>
      <c r="F16" s="649">
        <v>3613</v>
      </c>
      <c r="G16" s="649">
        <v>2913</v>
      </c>
      <c r="H16" s="649">
        <v>2500</v>
      </c>
      <c r="I16" s="649">
        <v>1800</v>
      </c>
      <c r="J16" s="649">
        <v>2000</v>
      </c>
      <c r="K16" s="649">
        <v>4113</v>
      </c>
      <c r="L16" s="649"/>
      <c r="M16" s="649">
        <v>1500</v>
      </c>
      <c r="N16" s="647">
        <f>SUM(D16:K16)</f>
        <v>33665</v>
      </c>
      <c r="O16" s="650"/>
    </row>
    <row r="17" spans="2:15" s="648" customFormat="1" ht="14.25">
      <c r="B17" s="646" t="s">
        <v>353</v>
      </c>
      <c r="C17" s="646"/>
      <c r="D17" s="1057">
        <v>6098.9263499999997</v>
      </c>
      <c r="E17" s="1057">
        <v>8538.4968900000003</v>
      </c>
      <c r="F17" s="1057">
        <v>3287.0806499999999</v>
      </c>
      <c r="G17" s="1058">
        <v>1953.9544499999995</v>
      </c>
      <c r="H17" s="1058">
        <v>531.69464999999991</v>
      </c>
      <c r="I17" s="1058">
        <v>846.33224999999993</v>
      </c>
      <c r="J17" s="1058">
        <v>3369.7662</v>
      </c>
      <c r="K17" s="1055"/>
      <c r="L17" s="1055"/>
      <c r="M17" s="1055"/>
      <c r="N17" s="647">
        <f>SUM(D17:K17)</f>
        <v>24626.25144</v>
      </c>
      <c r="O17" s="650"/>
    </row>
    <row r="18" spans="2:15" s="648" customFormat="1" ht="14.25">
      <c r="B18" s="646" t="s">
        <v>354</v>
      </c>
      <c r="C18" s="646"/>
      <c r="D18" s="649"/>
      <c r="E18" s="649"/>
      <c r="F18" s="649"/>
      <c r="G18" s="655"/>
      <c r="H18" s="649"/>
      <c r="I18" s="649"/>
      <c r="J18" s="649"/>
      <c r="K18" s="649"/>
      <c r="L18" s="649"/>
      <c r="M18" s="649"/>
      <c r="N18" s="647">
        <f>SUM(D18:K18)</f>
        <v>0</v>
      </c>
      <c r="O18" s="650"/>
    </row>
    <row r="19" spans="2:15" s="1155" customFormat="1" ht="14.25">
      <c r="B19" s="1167" t="s">
        <v>355</v>
      </c>
      <c r="C19" s="1167"/>
      <c r="D19" s="1152">
        <v>22726.82</v>
      </c>
      <c r="E19" s="1152">
        <v>17322.29</v>
      </c>
      <c r="F19" s="1152">
        <v>10739.88</v>
      </c>
      <c r="G19" s="1152">
        <v>8723.49</v>
      </c>
      <c r="H19" s="1152">
        <v>7286.82</v>
      </c>
      <c r="I19" s="1152">
        <v>6752.33</v>
      </c>
      <c r="J19" s="1152">
        <v>4444.6499999999996</v>
      </c>
      <c r="K19" s="1152">
        <v>598.09</v>
      </c>
      <c r="L19" s="1152"/>
      <c r="M19" s="1152"/>
      <c r="N19" s="1168">
        <f>SUM(D19:K19)</f>
        <v>78594.369999999981</v>
      </c>
      <c r="O19" s="1169" t="s">
        <v>356</v>
      </c>
    </row>
    <row r="20" spans="2:15" s="648" customFormat="1" ht="14.25">
      <c r="B20" s="646"/>
      <c r="C20" s="646"/>
      <c r="D20" s="649"/>
      <c r="E20" s="649"/>
      <c r="F20" s="649"/>
      <c r="G20" s="649"/>
      <c r="H20" s="649"/>
      <c r="I20" s="649"/>
      <c r="J20" s="649"/>
      <c r="K20" s="649"/>
      <c r="L20" s="649"/>
      <c r="M20" s="649"/>
      <c r="N20" s="647"/>
      <c r="O20" s="650"/>
    </row>
    <row r="21" spans="2:15" s="648" customFormat="1" ht="15">
      <c r="B21" s="841" t="s">
        <v>322</v>
      </c>
      <c r="C21" s="646"/>
      <c r="D21" s="649"/>
      <c r="E21" s="649"/>
      <c r="F21" s="649"/>
      <c r="G21" s="649"/>
      <c r="H21" s="649"/>
      <c r="I21" s="649"/>
      <c r="J21" s="649"/>
      <c r="K21" s="649"/>
      <c r="L21" s="649"/>
      <c r="M21" s="649"/>
      <c r="N21" s="647">
        <f>SUM(D21:I21)</f>
        <v>0</v>
      </c>
      <c r="O21" s="650"/>
    </row>
    <row r="22" spans="2:15" s="648" customFormat="1" ht="14.25">
      <c r="B22" s="646" t="s">
        <v>352</v>
      </c>
      <c r="C22" s="646"/>
      <c r="D22" s="649">
        <v>12113</v>
      </c>
      <c r="E22" s="649">
        <v>4613</v>
      </c>
      <c r="F22" s="649">
        <v>3613</v>
      </c>
      <c r="G22" s="649">
        <v>2913</v>
      </c>
      <c r="H22" s="649">
        <v>2500</v>
      </c>
      <c r="I22" s="649">
        <v>2200</v>
      </c>
      <c r="J22" s="649">
        <v>2000</v>
      </c>
      <c r="K22" s="649">
        <v>4113</v>
      </c>
      <c r="L22" s="649"/>
      <c r="M22" s="649">
        <v>1500</v>
      </c>
      <c r="N22" s="647">
        <f t="shared" ref="N22:N53" si="0">SUM(D22:K22)</f>
        <v>34065</v>
      </c>
      <c r="O22" s="650"/>
    </row>
    <row r="23" spans="2:15" s="648" customFormat="1" ht="14.25">
      <c r="B23" s="646" t="s">
        <v>353</v>
      </c>
      <c r="C23" s="646"/>
      <c r="D23" s="1055">
        <v>9240.7809500000003</v>
      </c>
      <c r="E23" s="1055">
        <v>12937.093330000002</v>
      </c>
      <c r="F23" s="1055">
        <v>2509.8714</v>
      </c>
      <c r="G23" s="1055">
        <v>1486.9737000000002</v>
      </c>
      <c r="H23" s="1055">
        <v>2406.4389000000001</v>
      </c>
      <c r="I23" s="1055">
        <v>3286.2736500000001</v>
      </c>
      <c r="J23" s="1055">
        <v>937.36110000000019</v>
      </c>
      <c r="K23" s="1055"/>
      <c r="L23" s="1055"/>
      <c r="M23" s="1055"/>
      <c r="N23" s="647">
        <f t="shared" si="0"/>
        <v>32804.793030000001</v>
      </c>
      <c r="O23" s="650"/>
    </row>
    <row r="24" spans="2:15" s="648" customFormat="1" ht="14.25">
      <c r="B24" s="646" t="s">
        <v>354</v>
      </c>
      <c r="C24" s="646"/>
      <c r="D24" s="655"/>
      <c r="E24" s="655"/>
      <c r="F24" s="655"/>
      <c r="G24" s="655"/>
      <c r="H24" s="655"/>
      <c r="I24" s="649"/>
      <c r="J24" s="649"/>
      <c r="K24" s="649"/>
      <c r="L24" s="649"/>
      <c r="M24" s="649"/>
      <c r="N24" s="647">
        <f t="shared" si="0"/>
        <v>0</v>
      </c>
      <c r="O24" s="650"/>
    </row>
    <row r="25" spans="2:15" s="648" customFormat="1" ht="14.25">
      <c r="B25" s="646" t="s">
        <v>357</v>
      </c>
      <c r="C25" s="646"/>
      <c r="D25" s="655"/>
      <c r="E25" s="655"/>
      <c r="F25" s="655"/>
      <c r="G25" s="655"/>
      <c r="H25" s="655"/>
      <c r="I25" s="655"/>
      <c r="J25" s="649"/>
      <c r="K25" s="649"/>
      <c r="L25" s="649"/>
      <c r="M25" s="649"/>
      <c r="N25" s="647">
        <f t="shared" si="0"/>
        <v>0</v>
      </c>
      <c r="O25" s="650"/>
    </row>
    <row r="26" spans="2:15" s="648" customFormat="1" ht="15" hidden="1">
      <c r="B26" s="841" t="s">
        <v>323</v>
      </c>
      <c r="C26" s="646"/>
      <c r="D26" s="649"/>
      <c r="E26" s="649"/>
      <c r="F26" s="649"/>
      <c r="G26" s="649"/>
      <c r="H26" s="649"/>
      <c r="I26" s="649"/>
      <c r="J26" s="649"/>
      <c r="K26" s="649"/>
      <c r="L26" s="649"/>
      <c r="M26" s="649"/>
      <c r="N26" s="647">
        <f t="shared" si="0"/>
        <v>0</v>
      </c>
      <c r="O26" s="650"/>
    </row>
    <row r="27" spans="2:15" s="648" customFormat="1" ht="14.25" hidden="1">
      <c r="B27" s="646" t="s">
        <v>352</v>
      </c>
      <c r="C27" s="646"/>
      <c r="D27" s="649"/>
      <c r="E27" s="649"/>
      <c r="F27" s="649"/>
      <c r="G27" s="649"/>
      <c r="H27" s="649"/>
      <c r="I27" s="649"/>
      <c r="J27" s="649"/>
      <c r="K27" s="649"/>
      <c r="L27" s="649"/>
      <c r="M27" s="649"/>
      <c r="N27" s="647">
        <f t="shared" si="0"/>
        <v>0</v>
      </c>
      <c r="O27" s="650"/>
    </row>
    <row r="28" spans="2:15" s="648" customFormat="1" ht="14.25" hidden="1">
      <c r="B28" s="646" t="s">
        <v>353</v>
      </c>
      <c r="C28" s="646"/>
      <c r="D28" s="1055"/>
      <c r="E28" s="1055"/>
      <c r="F28" s="1055"/>
      <c r="G28" s="1055"/>
      <c r="H28" s="1055"/>
      <c r="I28" s="1055"/>
      <c r="J28" s="1055"/>
      <c r="K28" s="1055"/>
      <c r="L28" s="1055"/>
      <c r="M28" s="1055"/>
      <c r="N28" s="647">
        <f t="shared" si="0"/>
        <v>0</v>
      </c>
      <c r="O28" s="650"/>
    </row>
    <row r="29" spans="2:15" s="648" customFormat="1" ht="14.25" hidden="1">
      <c r="B29" s="646" t="s">
        <v>354</v>
      </c>
      <c r="C29" s="646"/>
      <c r="D29" s="649"/>
      <c r="E29" s="649"/>
      <c r="F29" s="649"/>
      <c r="G29" s="649"/>
      <c r="H29" s="649"/>
      <c r="I29" s="649"/>
      <c r="J29" s="649"/>
      <c r="K29" s="649"/>
      <c r="L29" s="649"/>
      <c r="M29" s="649"/>
      <c r="N29" s="647">
        <f t="shared" si="0"/>
        <v>0</v>
      </c>
      <c r="O29" s="650"/>
    </row>
    <row r="30" spans="2:15" s="648" customFormat="1" ht="14.25" hidden="1">
      <c r="B30" s="646"/>
      <c r="C30" s="646"/>
      <c r="D30" s="649"/>
      <c r="E30" s="649"/>
      <c r="F30" s="649"/>
      <c r="G30" s="649"/>
      <c r="H30" s="649"/>
      <c r="I30" s="649"/>
      <c r="J30" s="649"/>
      <c r="K30" s="649"/>
      <c r="L30" s="649"/>
      <c r="M30" s="649"/>
      <c r="N30" s="647">
        <f t="shared" si="0"/>
        <v>0</v>
      </c>
      <c r="O30" s="650"/>
    </row>
    <row r="31" spans="2:15" s="648" customFormat="1" ht="15" hidden="1">
      <c r="B31" s="841" t="s">
        <v>324</v>
      </c>
      <c r="C31" s="646"/>
      <c r="D31" s="649"/>
      <c r="E31" s="649"/>
      <c r="F31" s="649"/>
      <c r="G31" s="649"/>
      <c r="H31" s="649"/>
      <c r="I31" s="649"/>
      <c r="J31" s="649"/>
      <c r="K31" s="649"/>
      <c r="L31" s="649"/>
      <c r="M31" s="649"/>
      <c r="N31" s="647">
        <f t="shared" si="0"/>
        <v>0</v>
      </c>
      <c r="O31" s="650"/>
    </row>
    <row r="32" spans="2:15" s="648" customFormat="1" ht="14.25" hidden="1">
      <c r="B32" s="646" t="s">
        <v>352</v>
      </c>
      <c r="C32" s="646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7">
        <f t="shared" si="0"/>
        <v>0</v>
      </c>
      <c r="O32" s="650"/>
    </row>
    <row r="33" spans="2:15" s="648" customFormat="1" ht="14.25" hidden="1">
      <c r="B33" s="646" t="s">
        <v>353</v>
      </c>
      <c r="C33" s="646"/>
      <c r="D33" s="1055"/>
      <c r="E33" s="1055"/>
      <c r="F33" s="1055"/>
      <c r="G33" s="1055"/>
      <c r="H33" s="1055"/>
      <c r="I33" s="1055"/>
      <c r="J33" s="1055"/>
      <c r="K33" s="1055"/>
      <c r="L33" s="1055"/>
      <c r="M33" s="1055"/>
      <c r="N33" s="647">
        <f t="shared" si="0"/>
        <v>0</v>
      </c>
      <c r="O33" s="650"/>
    </row>
    <row r="34" spans="2:15" s="648" customFormat="1" ht="14.25" hidden="1">
      <c r="B34" s="646"/>
      <c r="C34" s="646"/>
      <c r="D34" s="649"/>
      <c r="E34" s="649"/>
      <c r="F34" s="649"/>
      <c r="G34" s="649"/>
      <c r="H34" s="649"/>
      <c r="I34" s="649"/>
      <c r="J34" s="649"/>
      <c r="K34" s="649"/>
      <c r="L34" s="649"/>
      <c r="M34" s="649"/>
      <c r="N34" s="647">
        <f t="shared" si="0"/>
        <v>0</v>
      </c>
      <c r="O34" s="650"/>
    </row>
    <row r="35" spans="2:15" s="648" customFormat="1" ht="15" hidden="1">
      <c r="B35" s="841" t="s">
        <v>325</v>
      </c>
      <c r="C35" s="646"/>
      <c r="D35" s="649"/>
      <c r="E35" s="649"/>
      <c r="F35" s="649"/>
      <c r="G35" s="649"/>
      <c r="H35" s="649"/>
      <c r="I35" s="649"/>
      <c r="J35" s="649"/>
      <c r="K35" s="649"/>
      <c r="L35" s="649"/>
      <c r="M35" s="649"/>
      <c r="N35" s="647">
        <f t="shared" si="0"/>
        <v>0</v>
      </c>
      <c r="O35" s="650"/>
    </row>
    <row r="36" spans="2:15" s="648" customFormat="1" ht="14.25" hidden="1">
      <c r="B36" s="646" t="s">
        <v>352</v>
      </c>
      <c r="C36" s="646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7">
        <f t="shared" si="0"/>
        <v>0</v>
      </c>
      <c r="O36" s="650"/>
    </row>
    <row r="37" spans="2:15" s="648" customFormat="1" ht="14.25" hidden="1">
      <c r="B37" s="646" t="s">
        <v>353</v>
      </c>
      <c r="C37" s="646"/>
      <c r="D37" s="1055"/>
      <c r="E37" s="1055"/>
      <c r="F37" s="1055"/>
      <c r="G37" s="1055"/>
      <c r="H37" s="1055"/>
      <c r="I37" s="1055"/>
      <c r="J37" s="1055"/>
      <c r="K37" s="1055"/>
      <c r="L37" s="1055"/>
      <c r="M37" s="1055"/>
      <c r="N37" s="647">
        <f t="shared" si="0"/>
        <v>0</v>
      </c>
      <c r="O37" s="650"/>
    </row>
    <row r="38" spans="2:15" s="652" customFormat="1" ht="14.25" hidden="1">
      <c r="B38" s="656" t="s">
        <v>358</v>
      </c>
      <c r="C38" s="656"/>
      <c r="D38" s="649"/>
      <c r="E38" s="649"/>
      <c r="F38" s="649"/>
      <c r="G38" s="649"/>
      <c r="H38" s="649"/>
      <c r="I38" s="649"/>
      <c r="J38" s="649"/>
      <c r="K38" s="649"/>
      <c r="L38" s="649"/>
      <c r="M38" s="649"/>
      <c r="N38" s="647">
        <f t="shared" si="0"/>
        <v>0</v>
      </c>
      <c r="O38" s="651"/>
    </row>
    <row r="39" spans="2:15" s="652" customFormat="1" ht="14.25" hidden="1">
      <c r="B39" s="646" t="s">
        <v>354</v>
      </c>
      <c r="C39" s="656"/>
      <c r="D39" s="707"/>
      <c r="E39" s="655"/>
      <c r="F39" s="655"/>
      <c r="G39" s="707"/>
      <c r="H39" s="707"/>
      <c r="I39" s="649"/>
      <c r="J39" s="649"/>
      <c r="K39" s="649"/>
      <c r="L39" s="649"/>
      <c r="M39" s="649"/>
      <c r="N39" s="647">
        <f t="shared" si="0"/>
        <v>0</v>
      </c>
      <c r="O39" s="651"/>
    </row>
    <row r="40" spans="2:15" s="652" customFormat="1" ht="14.25" hidden="1">
      <c r="B40" s="656"/>
      <c r="C40" s="656"/>
      <c r="D40" s="707"/>
      <c r="E40" s="707"/>
      <c r="F40" s="707"/>
      <c r="G40" s="707"/>
      <c r="H40" s="707"/>
      <c r="I40" s="649"/>
      <c r="J40" s="649"/>
      <c r="K40" s="649"/>
      <c r="L40" s="649"/>
      <c r="M40" s="649"/>
      <c r="N40" s="647">
        <f t="shared" si="0"/>
        <v>0</v>
      </c>
      <c r="O40" s="651"/>
    </row>
    <row r="41" spans="2:15" s="652" customFormat="1" ht="15" hidden="1">
      <c r="B41" s="841" t="s">
        <v>326</v>
      </c>
      <c r="C41" s="656"/>
      <c r="D41" s="707"/>
      <c r="E41" s="707"/>
      <c r="F41" s="707"/>
      <c r="G41" s="707"/>
      <c r="H41" s="707"/>
      <c r="I41" s="649"/>
      <c r="J41" s="649"/>
      <c r="K41" s="649"/>
      <c r="L41" s="649"/>
      <c r="M41" s="649"/>
      <c r="N41" s="647">
        <f t="shared" si="0"/>
        <v>0</v>
      </c>
      <c r="O41" s="651"/>
    </row>
    <row r="42" spans="2:15" s="652" customFormat="1" ht="14.25" hidden="1">
      <c r="B42" s="646" t="s">
        <v>352</v>
      </c>
      <c r="C42" s="656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7">
        <f t="shared" si="0"/>
        <v>0</v>
      </c>
      <c r="O42" s="651"/>
    </row>
    <row r="43" spans="2:15" s="652" customFormat="1" ht="14.25" hidden="1">
      <c r="B43" s="646" t="s">
        <v>353</v>
      </c>
      <c r="C43" s="656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7">
        <f t="shared" si="0"/>
        <v>0</v>
      </c>
      <c r="O43" s="651"/>
    </row>
    <row r="44" spans="2:15" s="652" customFormat="1" ht="14.25" hidden="1">
      <c r="B44" s="646"/>
      <c r="C44" s="656"/>
      <c r="D44" s="707"/>
      <c r="E44" s="707"/>
      <c r="F44" s="707"/>
      <c r="G44" s="707"/>
      <c r="H44" s="707"/>
      <c r="I44" s="649"/>
      <c r="J44" s="649"/>
      <c r="K44" s="649"/>
      <c r="L44" s="649"/>
      <c r="M44" s="649"/>
      <c r="N44" s="647">
        <f t="shared" si="0"/>
        <v>0</v>
      </c>
      <c r="O44" s="651"/>
    </row>
    <row r="45" spans="2:15" s="648" customFormat="1" ht="14.25" hidden="1">
      <c r="B45" s="646" t="s">
        <v>359</v>
      </c>
      <c r="C45" s="646"/>
      <c r="D45" s="649"/>
      <c r="E45" s="649"/>
      <c r="F45" s="649"/>
      <c r="G45" s="649"/>
      <c r="H45" s="649"/>
      <c r="I45" s="649"/>
      <c r="J45" s="649"/>
      <c r="K45" s="649"/>
      <c r="L45" s="649"/>
      <c r="M45" s="649"/>
      <c r="N45" s="647">
        <f t="shared" si="0"/>
        <v>0</v>
      </c>
      <c r="O45" s="650"/>
    </row>
    <row r="46" spans="2:15" s="648" customFormat="1" ht="14.25" hidden="1">
      <c r="B46" s="646" t="s">
        <v>352</v>
      </c>
      <c r="C46" s="646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7">
        <f t="shared" si="0"/>
        <v>0</v>
      </c>
      <c r="O46" s="650"/>
    </row>
    <row r="47" spans="2:15" s="648" customFormat="1" ht="14.25" hidden="1">
      <c r="B47" s="646" t="s">
        <v>353</v>
      </c>
      <c r="C47" s="646"/>
      <c r="D47" s="649"/>
      <c r="E47" s="649"/>
      <c r="F47" s="649"/>
      <c r="G47" s="649"/>
      <c r="H47" s="649"/>
      <c r="I47" s="649"/>
      <c r="J47" s="649"/>
      <c r="K47" s="649"/>
      <c r="L47" s="649"/>
      <c r="M47" s="649"/>
      <c r="N47" s="647">
        <f t="shared" si="0"/>
        <v>0</v>
      </c>
      <c r="O47" s="650"/>
    </row>
    <row r="48" spans="2:15" s="648" customFormat="1" ht="14.25" hidden="1">
      <c r="B48" s="646" t="s">
        <v>360</v>
      </c>
      <c r="C48" s="646"/>
      <c r="D48" s="649"/>
      <c r="E48" s="649"/>
      <c r="F48" s="649"/>
      <c r="G48" s="649"/>
      <c r="H48" s="649"/>
      <c r="I48" s="649"/>
      <c r="J48" s="649"/>
      <c r="K48" s="649"/>
      <c r="L48" s="649"/>
      <c r="M48" s="649"/>
      <c r="N48" s="647">
        <f t="shared" si="0"/>
        <v>0</v>
      </c>
      <c r="O48" s="650"/>
    </row>
    <row r="49" spans="2:15" s="648" customFormat="1" ht="14.25" hidden="1">
      <c r="B49" s="646"/>
      <c r="C49" s="646"/>
      <c r="D49" s="649"/>
      <c r="E49" s="649"/>
      <c r="F49" s="649"/>
      <c r="G49" s="649"/>
      <c r="H49" s="649"/>
      <c r="I49" s="649"/>
      <c r="J49" s="649"/>
      <c r="K49" s="649"/>
      <c r="L49" s="649"/>
      <c r="M49" s="649"/>
      <c r="N49" s="647">
        <f t="shared" si="0"/>
        <v>0</v>
      </c>
      <c r="O49" s="650"/>
    </row>
    <row r="50" spans="2:15" s="648" customFormat="1" ht="14.25" hidden="1">
      <c r="B50" s="646" t="s">
        <v>328</v>
      </c>
      <c r="C50" s="646"/>
      <c r="D50" s="649"/>
      <c r="E50" s="649"/>
      <c r="F50" s="649"/>
      <c r="G50" s="649"/>
      <c r="H50" s="649"/>
      <c r="I50" s="649"/>
      <c r="J50" s="649"/>
      <c r="K50" s="649"/>
      <c r="L50" s="649"/>
      <c r="M50" s="649"/>
      <c r="N50" s="647">
        <f t="shared" si="0"/>
        <v>0</v>
      </c>
      <c r="O50" s="650"/>
    </row>
    <row r="51" spans="2:15" s="648" customFormat="1" ht="14.25" hidden="1">
      <c r="B51" s="646" t="s">
        <v>352</v>
      </c>
      <c r="C51" s="646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7">
        <f t="shared" si="0"/>
        <v>0</v>
      </c>
      <c r="O51" s="650"/>
    </row>
    <row r="52" spans="2:15" s="648" customFormat="1" ht="14.25" hidden="1">
      <c r="B52" s="646" t="s">
        <v>353</v>
      </c>
      <c r="C52" s="646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7">
        <f t="shared" si="0"/>
        <v>0</v>
      </c>
      <c r="O52" s="650"/>
    </row>
    <row r="53" spans="2:15" s="648" customFormat="1" ht="14.25" hidden="1">
      <c r="B53" s="646" t="s">
        <v>360</v>
      </c>
      <c r="C53" s="646"/>
      <c r="D53" s="649"/>
      <c r="E53" s="649"/>
      <c r="F53" s="649"/>
      <c r="G53" s="649"/>
      <c r="H53" s="649"/>
      <c r="I53" s="649"/>
      <c r="J53" s="649"/>
      <c r="K53" s="649"/>
      <c r="L53" s="649"/>
      <c r="M53" s="649"/>
      <c r="N53" s="647">
        <f t="shared" si="0"/>
        <v>0</v>
      </c>
      <c r="O53" s="650"/>
    </row>
    <row r="54" spans="2:15" s="648" customFormat="1" ht="14.25" hidden="1">
      <c r="B54" s="646" t="s">
        <v>361</v>
      </c>
      <c r="C54" s="646"/>
      <c r="D54" s="649"/>
      <c r="E54" s="649"/>
      <c r="F54" s="649"/>
      <c r="G54" s="649"/>
      <c r="H54" s="649"/>
      <c r="I54" s="649"/>
      <c r="J54" s="649"/>
      <c r="K54" s="649"/>
      <c r="L54" s="649"/>
      <c r="M54" s="649"/>
      <c r="N54" s="647">
        <f t="shared" ref="N54:N91" si="1">SUM(D54:K54)</f>
        <v>0</v>
      </c>
      <c r="O54" s="650"/>
    </row>
    <row r="55" spans="2:15" s="648" customFormat="1" ht="14.25" hidden="1">
      <c r="B55" s="646" t="s">
        <v>362</v>
      </c>
      <c r="C55" s="646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7">
        <f t="shared" si="1"/>
        <v>0</v>
      </c>
      <c r="O55" s="650"/>
    </row>
    <row r="56" spans="2:15" s="648" customFormat="1" ht="14.25" hidden="1">
      <c r="B56" s="646"/>
      <c r="C56" s="646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7">
        <f t="shared" si="1"/>
        <v>0</v>
      </c>
      <c r="O56" s="650"/>
    </row>
    <row r="57" spans="2:15" s="648" customFormat="1" ht="14.25" hidden="1">
      <c r="B57" s="646" t="s">
        <v>329</v>
      </c>
      <c r="C57" s="646"/>
      <c r="D57" s="649"/>
      <c r="E57" s="649"/>
      <c r="F57" s="649"/>
      <c r="G57" s="649"/>
      <c r="H57" s="649"/>
      <c r="I57" s="649"/>
      <c r="J57" s="649"/>
      <c r="K57" s="649"/>
      <c r="L57" s="649"/>
      <c r="M57" s="649"/>
      <c r="N57" s="647">
        <f t="shared" si="1"/>
        <v>0</v>
      </c>
      <c r="O57" s="650"/>
    </row>
    <row r="58" spans="2:15" s="648" customFormat="1" ht="14.25" hidden="1">
      <c r="B58" s="646" t="s">
        <v>352</v>
      </c>
      <c r="C58" s="646"/>
      <c r="D58" s="649"/>
      <c r="E58" s="649"/>
      <c r="F58" s="649"/>
      <c r="G58" s="649"/>
      <c r="H58" s="649"/>
      <c r="I58" s="649"/>
      <c r="J58" s="649"/>
      <c r="K58" s="649"/>
      <c r="L58" s="649"/>
      <c r="M58" s="649"/>
      <c r="N58" s="647">
        <f t="shared" si="1"/>
        <v>0</v>
      </c>
      <c r="O58" s="650"/>
    </row>
    <row r="59" spans="2:15" s="648" customFormat="1" ht="14.25" hidden="1">
      <c r="B59" s="646" t="s">
        <v>353</v>
      </c>
      <c r="C59" s="646"/>
      <c r="D59" s="1055"/>
      <c r="E59" s="1055"/>
      <c r="F59" s="1055"/>
      <c r="G59" s="1055"/>
      <c r="H59" s="1055"/>
      <c r="I59" s="1055"/>
      <c r="J59" s="1055"/>
      <c r="K59" s="1055"/>
      <c r="L59" s="1055"/>
      <c r="M59" s="1055"/>
      <c r="N59" s="647">
        <f t="shared" si="1"/>
        <v>0</v>
      </c>
      <c r="O59" s="650"/>
    </row>
    <row r="60" spans="2:15" s="648" customFormat="1" ht="14.25" hidden="1">
      <c r="B60" s="646"/>
      <c r="C60" s="646"/>
      <c r="D60" s="649"/>
      <c r="E60" s="649"/>
      <c r="F60" s="649"/>
      <c r="G60" s="649"/>
      <c r="H60" s="649"/>
      <c r="I60" s="649"/>
      <c r="J60" s="649"/>
      <c r="K60" s="649"/>
      <c r="L60" s="649"/>
      <c r="M60" s="649"/>
      <c r="N60" s="647">
        <f t="shared" si="1"/>
        <v>0</v>
      </c>
      <c r="O60" s="650"/>
    </row>
    <row r="61" spans="2:15" s="648" customFormat="1" ht="14.25" hidden="1">
      <c r="B61" s="646" t="s">
        <v>330</v>
      </c>
      <c r="C61" s="646"/>
      <c r="D61" s="649"/>
      <c r="E61" s="649"/>
      <c r="F61" s="649"/>
      <c r="G61" s="649"/>
      <c r="H61" s="649"/>
      <c r="I61" s="649"/>
      <c r="J61" s="649"/>
      <c r="K61" s="649"/>
      <c r="L61" s="649"/>
      <c r="M61" s="649"/>
      <c r="N61" s="647">
        <f t="shared" si="1"/>
        <v>0</v>
      </c>
      <c r="O61" s="650"/>
    </row>
    <row r="62" spans="2:15" s="648" customFormat="1" ht="14.25" hidden="1">
      <c r="B62" s="646" t="s">
        <v>352</v>
      </c>
      <c r="C62" s="646"/>
      <c r="D62" s="649"/>
      <c r="E62" s="649"/>
      <c r="F62" s="649"/>
      <c r="G62" s="649"/>
      <c r="H62" s="649"/>
      <c r="I62" s="649"/>
      <c r="J62" s="649"/>
      <c r="K62" s="649"/>
      <c r="L62" s="649"/>
      <c r="M62" s="649"/>
      <c r="N62" s="647">
        <f t="shared" si="1"/>
        <v>0</v>
      </c>
      <c r="O62" s="650"/>
    </row>
    <row r="63" spans="2:15" s="648" customFormat="1" ht="14.25" hidden="1">
      <c r="B63" s="646" t="s">
        <v>353</v>
      </c>
      <c r="C63" s="646"/>
      <c r="D63" s="1055"/>
      <c r="E63" s="1055"/>
      <c r="F63" s="1055"/>
      <c r="G63" s="1055"/>
      <c r="H63" s="1055"/>
      <c r="I63" s="1055"/>
      <c r="J63" s="1055"/>
      <c r="K63" s="1055"/>
      <c r="L63" s="1055"/>
      <c r="M63" s="1055"/>
      <c r="N63" s="647">
        <f t="shared" si="1"/>
        <v>0</v>
      </c>
      <c r="O63" s="650"/>
    </row>
    <row r="64" spans="2:15" s="648" customFormat="1" ht="14.25" hidden="1">
      <c r="B64" s="646" t="s">
        <v>363</v>
      </c>
      <c r="C64" s="646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7">
        <f t="shared" si="1"/>
        <v>0</v>
      </c>
      <c r="O64" s="650"/>
    </row>
    <row r="65" spans="2:15" s="652" customFormat="1" ht="14.25" hidden="1">
      <c r="B65" s="656" t="s">
        <v>364</v>
      </c>
      <c r="C65" s="656"/>
      <c r="D65" s="649"/>
      <c r="E65" s="649"/>
      <c r="F65" s="649"/>
      <c r="G65" s="649"/>
      <c r="H65" s="649"/>
      <c r="I65" s="649"/>
      <c r="J65" s="649"/>
      <c r="K65" s="649"/>
      <c r="L65" s="649"/>
      <c r="M65" s="649"/>
      <c r="N65" s="647">
        <f t="shared" si="1"/>
        <v>0</v>
      </c>
      <c r="O65" s="651"/>
    </row>
    <row r="66" spans="2:15" s="648" customFormat="1" ht="14.25" hidden="1">
      <c r="B66" s="646" t="s">
        <v>365</v>
      </c>
      <c r="C66" s="646"/>
      <c r="D66" s="655"/>
      <c r="E66" s="655"/>
      <c r="F66" s="655"/>
      <c r="G66" s="655"/>
      <c r="H66" s="655"/>
      <c r="I66" s="655"/>
      <c r="J66" s="655"/>
      <c r="K66" s="655"/>
      <c r="L66" s="655"/>
      <c r="M66" s="655"/>
      <c r="N66" s="647">
        <f t="shared" si="1"/>
        <v>0</v>
      </c>
      <c r="O66" s="650"/>
    </row>
    <row r="67" spans="2:15" s="648" customFormat="1" ht="14.25" hidden="1">
      <c r="B67" s="646"/>
      <c r="C67" s="646"/>
      <c r="D67" s="655"/>
      <c r="E67" s="655"/>
      <c r="F67" s="655"/>
      <c r="G67" s="655"/>
      <c r="H67" s="655"/>
      <c r="I67" s="649"/>
      <c r="J67" s="649"/>
      <c r="K67" s="649"/>
      <c r="L67" s="649"/>
      <c r="M67" s="649"/>
      <c r="N67" s="647">
        <f t="shared" si="1"/>
        <v>0</v>
      </c>
      <c r="O67" s="650"/>
    </row>
    <row r="68" spans="2:15" s="648" customFormat="1" ht="14.25" hidden="1">
      <c r="B68" s="646"/>
      <c r="C68" s="646"/>
      <c r="D68" s="655"/>
      <c r="E68" s="655"/>
      <c r="F68" s="655"/>
      <c r="G68" s="655"/>
      <c r="H68" s="655"/>
      <c r="I68" s="649"/>
      <c r="J68" s="649"/>
      <c r="K68" s="649"/>
      <c r="L68" s="649"/>
      <c r="M68" s="649"/>
      <c r="N68" s="647">
        <f t="shared" si="1"/>
        <v>0</v>
      </c>
      <c r="O68" s="650"/>
    </row>
    <row r="69" spans="2:15" s="648" customFormat="1" ht="14.25">
      <c r="B69" s="646"/>
      <c r="C69" s="646"/>
      <c r="D69" s="655"/>
      <c r="E69" s="655"/>
      <c r="F69" s="655"/>
      <c r="G69" s="655"/>
      <c r="H69" s="655"/>
      <c r="I69" s="649"/>
      <c r="J69" s="649"/>
      <c r="K69" s="649"/>
      <c r="L69" s="649"/>
      <c r="M69" s="649"/>
      <c r="N69" s="647">
        <f t="shared" si="1"/>
        <v>0</v>
      </c>
      <c r="O69" s="650"/>
    </row>
    <row r="70" spans="2:15" s="648" customFormat="1" ht="14.25" customHeight="1">
      <c r="B70" s="841" t="s">
        <v>323</v>
      </c>
      <c r="C70" s="646"/>
      <c r="D70" s="655"/>
      <c r="E70" s="649"/>
      <c r="F70" s="655"/>
      <c r="G70" s="655"/>
      <c r="H70" s="655"/>
      <c r="I70" s="649"/>
      <c r="J70" s="649"/>
      <c r="K70" s="649"/>
      <c r="L70" s="649"/>
      <c r="M70" s="649"/>
      <c r="N70" s="647">
        <f t="shared" si="1"/>
        <v>0</v>
      </c>
      <c r="O70" s="650"/>
    </row>
    <row r="71" spans="2:15" s="648" customFormat="1" ht="14.25">
      <c r="B71" s="646" t="s">
        <v>352</v>
      </c>
      <c r="C71" s="646"/>
      <c r="D71" s="655">
        <v>13113</v>
      </c>
      <c r="E71" s="649">
        <v>4613</v>
      </c>
      <c r="F71" s="655">
        <f>3800+113</f>
        <v>3913</v>
      </c>
      <c r="G71" s="655">
        <v>2913</v>
      </c>
      <c r="H71" s="655">
        <v>2500</v>
      </c>
      <c r="I71" s="649">
        <v>2500</v>
      </c>
      <c r="J71" s="649">
        <f>2300+113</f>
        <v>2413</v>
      </c>
      <c r="K71" s="649"/>
      <c r="L71" s="649"/>
      <c r="M71" s="649">
        <v>1800</v>
      </c>
      <c r="N71" s="647">
        <f t="shared" si="1"/>
        <v>31965</v>
      </c>
      <c r="O71" s="650"/>
    </row>
    <row r="72" spans="2:15" s="648" customFormat="1" ht="14.25">
      <c r="B72" s="646" t="s">
        <v>353</v>
      </c>
      <c r="C72" s="646"/>
      <c r="D72" s="655">
        <v>6044.9786771186446</v>
      </c>
      <c r="E72" s="655">
        <v>8462.9701479661016</v>
      </c>
      <c r="F72" s="655">
        <v>3359.0190000000002</v>
      </c>
      <c r="G72" s="655">
        <v>1343.5632000000001</v>
      </c>
      <c r="H72" s="655">
        <v>700.75905</v>
      </c>
      <c r="I72" s="649">
        <v>1799.1558813559323</v>
      </c>
      <c r="J72" s="649">
        <v>1449.1908000000001</v>
      </c>
      <c r="K72" s="649"/>
      <c r="L72" s="649"/>
      <c r="M72" s="649">
        <v>887.80799999999988</v>
      </c>
      <c r="N72" s="647">
        <f t="shared" si="1"/>
        <v>23159.636756440679</v>
      </c>
      <c r="O72" s="650"/>
    </row>
    <row r="73" spans="2:15" s="648" customFormat="1" ht="14.25">
      <c r="B73" s="646" t="s">
        <v>354</v>
      </c>
      <c r="C73" s="646"/>
      <c r="D73" s="649"/>
      <c r="E73" s="649"/>
      <c r="F73" s="649"/>
      <c r="G73" s="649"/>
      <c r="H73" s="649"/>
      <c r="I73" s="649"/>
      <c r="J73" s="649"/>
      <c r="K73" s="649"/>
      <c r="L73" s="649"/>
      <c r="M73" s="649"/>
      <c r="N73" s="647">
        <f t="shared" si="1"/>
        <v>0</v>
      </c>
      <c r="O73" s="650"/>
    </row>
    <row r="74" spans="2:15" s="648" customFormat="1" ht="14.25">
      <c r="B74" s="646" t="s">
        <v>357</v>
      </c>
      <c r="C74" s="646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7">
        <f t="shared" si="1"/>
        <v>0</v>
      </c>
      <c r="O74" s="650"/>
    </row>
    <row r="75" spans="2:15" s="648" customFormat="1" ht="14.25">
      <c r="B75" s="646"/>
      <c r="C75" s="646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7"/>
      <c r="O75" s="650"/>
    </row>
    <row r="76" spans="2:15" s="648" customFormat="1" ht="15">
      <c r="B76" s="841" t="s">
        <v>324</v>
      </c>
      <c r="C76" s="646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7"/>
      <c r="O76" s="650"/>
    </row>
    <row r="77" spans="2:15" s="648" customFormat="1" ht="14.25">
      <c r="B77" s="646" t="s">
        <v>352</v>
      </c>
      <c r="C77" s="646"/>
      <c r="D77" s="655">
        <v>13113</v>
      </c>
      <c r="E77" s="649">
        <v>4613</v>
      </c>
      <c r="F77" s="655">
        <f>3800+113</f>
        <v>3913</v>
      </c>
      <c r="G77" s="655">
        <v>2913</v>
      </c>
      <c r="H77" s="655">
        <v>2500</v>
      </c>
      <c r="I77" s="649">
        <v>2500</v>
      </c>
      <c r="J77" s="649">
        <f>2300+113</f>
        <v>2413</v>
      </c>
      <c r="K77" s="649"/>
      <c r="L77" s="649"/>
      <c r="M77" s="649">
        <v>1800</v>
      </c>
      <c r="N77" s="647"/>
      <c r="O77" s="650"/>
    </row>
    <row r="78" spans="2:15" s="648" customFormat="1" ht="14.25">
      <c r="B78" s="646" t="s">
        <v>353</v>
      </c>
      <c r="C78" s="646"/>
      <c r="D78" s="1364">
        <f>+[8]Resumen!$D$15</f>
        <v>6403.7056999999995</v>
      </c>
      <c r="E78" s="655">
        <f>+[8]Resumen!$D$23</f>
        <v>8965.1879799999988</v>
      </c>
      <c r="F78" s="655">
        <f>+[8]Resumen!$F$4</f>
        <v>4331.4262500000004</v>
      </c>
      <c r="G78" s="654">
        <f>+[8]Resumen!$F$6</f>
        <v>1994.6995500000003</v>
      </c>
      <c r="H78" s="655">
        <f>+[8]Resumen!$F$5</f>
        <v>1556.8993499999999</v>
      </c>
      <c r="I78" s="655">
        <f>+[8]Resumen!$F$8</f>
        <v>662.76479999999992</v>
      </c>
      <c r="J78" s="655">
        <f>+[8]Resumen!$F$7</f>
        <v>1482.3352499999996</v>
      </c>
      <c r="K78" s="1365"/>
      <c r="L78" s="1365"/>
      <c r="M78" s="655">
        <f>+[8]Resumen!$F$11</f>
        <v>887.80799999999988</v>
      </c>
      <c r="N78" s="647"/>
      <c r="O78" s="650"/>
    </row>
    <row r="79" spans="2:15" s="648" customFormat="1" ht="14.25">
      <c r="B79" s="646" t="s">
        <v>354</v>
      </c>
      <c r="C79" s="646"/>
      <c r="D79" s="649"/>
      <c r="E79" s="649"/>
      <c r="F79" s="649"/>
      <c r="G79" s="649"/>
      <c r="H79" s="649"/>
      <c r="I79" s="649"/>
      <c r="J79" s="649"/>
      <c r="K79" s="649"/>
      <c r="L79" s="649"/>
      <c r="M79" s="649"/>
      <c r="N79" s="647"/>
      <c r="O79" s="650"/>
    </row>
    <row r="80" spans="2:15" s="648" customFormat="1" ht="14.25">
      <c r="B80" s="646" t="s">
        <v>357</v>
      </c>
      <c r="C80" s="646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7"/>
      <c r="O80" s="650"/>
    </row>
    <row r="81" spans="2:17" s="648" customFormat="1" ht="14.25">
      <c r="B81" s="646"/>
      <c r="C81" s="646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7"/>
      <c r="O81" s="650"/>
    </row>
    <row r="82" spans="2:17" s="648" customFormat="1" ht="15">
      <c r="B82" s="841" t="s">
        <v>325</v>
      </c>
      <c r="C82" s="646"/>
      <c r="D82" s="649"/>
      <c r="E82" s="649"/>
      <c r="F82" s="649"/>
      <c r="G82" s="649"/>
      <c r="H82" s="649"/>
      <c r="I82" s="649"/>
      <c r="J82" s="649"/>
      <c r="K82" s="649"/>
      <c r="L82" s="649"/>
      <c r="M82" s="649"/>
      <c r="N82" s="647"/>
      <c r="O82" s="650"/>
    </row>
    <row r="83" spans="2:17" s="648" customFormat="1" ht="14.25">
      <c r="B83" s="646" t="s">
        <v>352</v>
      </c>
      <c r="C83" s="646"/>
      <c r="D83" s="655">
        <v>13113</v>
      </c>
      <c r="E83" s="649">
        <v>4613</v>
      </c>
      <c r="F83" s="655">
        <f>3800+113</f>
        <v>3913</v>
      </c>
      <c r="G83" s="655">
        <v>2913</v>
      </c>
      <c r="H83" s="655">
        <v>2500</v>
      </c>
      <c r="I83" s="649">
        <v>2500</v>
      </c>
      <c r="J83" s="649">
        <f>2300+113</f>
        <v>2413</v>
      </c>
      <c r="K83" s="649"/>
      <c r="L83" s="649"/>
      <c r="M83" s="649">
        <v>1800</v>
      </c>
      <c r="N83" s="647"/>
      <c r="O83" s="650"/>
    </row>
    <row r="84" spans="2:17" s="648" customFormat="1" ht="14.25">
      <c r="B84" s="646" t="s">
        <v>353</v>
      </c>
      <c r="C84" s="646"/>
      <c r="D84" s="649">
        <v>7965.7047500000008</v>
      </c>
      <c r="E84" s="649">
        <v>12745.127600000002</v>
      </c>
      <c r="F84" s="649">
        <v>1771.03755</v>
      </c>
      <c r="G84" s="649">
        <v>2048.7844500000001</v>
      </c>
      <c r="H84" s="649">
        <v>600.18254999999999</v>
      </c>
      <c r="I84" s="649">
        <v>1891.5045</v>
      </c>
      <c r="J84" s="649">
        <v>3142.0137</v>
      </c>
      <c r="K84" s="649"/>
      <c r="L84" s="649"/>
      <c r="M84" s="649">
        <v>1180.96785</v>
      </c>
      <c r="N84" s="647"/>
      <c r="O84" s="650"/>
    </row>
    <row r="85" spans="2:17" s="648" customFormat="1" ht="14.25">
      <c r="B85" s="646" t="s">
        <v>354</v>
      </c>
      <c r="C85" s="646"/>
      <c r="D85" s="649"/>
      <c r="E85" s="649">
        <f>'PLANILLA MENSUAL'!V18</f>
        <v>300.25417609981167</v>
      </c>
      <c r="F85" s="649">
        <f>'PLANILLA MENSUAL'!V22</f>
        <v>1445.8005683333336</v>
      </c>
      <c r="G85" s="649">
        <f>'PLANILLA MENSUAL'!V26</f>
        <v>57.177924646892663</v>
      </c>
      <c r="H85" s="649"/>
      <c r="I85" s="649"/>
      <c r="J85" s="649">
        <f>'PLANILLA MENSUAL'!V40</f>
        <v>358.2310750706215</v>
      </c>
      <c r="K85" s="649"/>
      <c r="L85" s="649"/>
      <c r="M85" s="649"/>
      <c r="N85" s="647"/>
      <c r="O85" s="650"/>
    </row>
    <row r="86" spans="2:17" s="648" customFormat="1" ht="14.25">
      <c r="B86" s="646" t="s">
        <v>361</v>
      </c>
      <c r="C86" s="646"/>
      <c r="D86" s="649">
        <f>'PLANILLA MENSUAL'!BB12</f>
        <v>21167.42054313418</v>
      </c>
      <c r="E86" s="649">
        <f>'PLANILLA MENSUAL'!BB18</f>
        <v>14846.481558463838</v>
      </c>
      <c r="F86" s="649">
        <f>'PLANILLA MENSUAL'!BB22</f>
        <v>7642.1470417500004</v>
      </c>
      <c r="G86" s="649">
        <f>'PLANILLA MENSUAL'!BB26</f>
        <v>5044.8881359533907</v>
      </c>
      <c r="H86" s="649">
        <f>'PLANILLA MENSUAL'!BB36</f>
        <v>4038.2785157499998</v>
      </c>
      <c r="I86" s="649">
        <f>'PLANILLA MENSUAL'!BB35</f>
        <v>4357.5497321906778</v>
      </c>
      <c r="J86" s="649">
        <v>4180.4508792584747</v>
      </c>
      <c r="K86" s="649"/>
      <c r="L86" s="649"/>
      <c r="M86" s="649">
        <f>'PLANILLA MENSUAL'!BB42</f>
        <v>1962</v>
      </c>
      <c r="N86" s="647"/>
      <c r="O86" s="650"/>
    </row>
    <row r="87" spans="2:17" s="648" customFormat="1" ht="14.25">
      <c r="B87" s="646" t="s">
        <v>357</v>
      </c>
      <c r="C87" s="646"/>
      <c r="D87" s="649"/>
      <c r="E87" s="649"/>
      <c r="F87" s="649"/>
      <c r="G87" s="649"/>
      <c r="H87" s="649"/>
      <c r="I87" s="649"/>
      <c r="J87" s="649"/>
      <c r="K87" s="649"/>
      <c r="L87" s="649"/>
      <c r="M87" s="649"/>
      <c r="N87" s="647"/>
      <c r="O87" s="650"/>
    </row>
    <row r="88" spans="2:17" s="648" customFormat="1" ht="14.25">
      <c r="B88" s="646"/>
      <c r="C88" s="646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7"/>
      <c r="O88" s="650"/>
    </row>
    <row r="89" spans="2:17" s="648" customFormat="1" ht="14.25" hidden="1">
      <c r="B89" s="646"/>
      <c r="C89" s="646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7"/>
      <c r="O89" s="650"/>
    </row>
    <row r="90" spans="2:17" s="648" customFormat="1" ht="14.25" hidden="1">
      <c r="B90" s="656"/>
      <c r="C90" s="646"/>
      <c r="D90" s="649"/>
      <c r="E90" s="655"/>
      <c r="F90" s="649"/>
      <c r="G90" s="649"/>
      <c r="H90" s="649"/>
      <c r="I90" s="649"/>
      <c r="J90" s="649"/>
      <c r="K90" s="649"/>
      <c r="L90" s="649"/>
      <c r="M90" s="649"/>
      <c r="N90" s="647">
        <f t="shared" si="1"/>
        <v>0</v>
      </c>
      <c r="O90" s="650"/>
    </row>
    <row r="91" spans="2:17" s="648" customFormat="1" ht="14.25">
      <c r="B91" s="646"/>
      <c r="C91" s="646"/>
      <c r="D91" s="649"/>
      <c r="E91" s="649"/>
      <c r="F91" s="649"/>
      <c r="G91" s="649"/>
      <c r="H91" s="649"/>
      <c r="I91" s="649"/>
      <c r="J91" s="649"/>
      <c r="K91" s="649"/>
      <c r="L91" s="649"/>
      <c r="M91" s="649"/>
      <c r="N91" s="647">
        <f t="shared" si="1"/>
        <v>0</v>
      </c>
      <c r="O91" s="650"/>
    </row>
    <row r="92" spans="2:17" s="648" customFormat="1" ht="15" thickBot="1">
      <c r="B92" s="646" t="s">
        <v>366</v>
      </c>
      <c r="C92" s="646"/>
      <c r="D92" s="647">
        <f t="shared" ref="D92:M92" si="2">SUM(D6:D91)-D19</f>
        <v>154764.03653974435</v>
      </c>
      <c r="E92" s="647">
        <f t="shared" si="2"/>
        <v>115628.01715252976</v>
      </c>
      <c r="F92" s="647">
        <f t="shared" si="2"/>
        <v>56278.19416341668</v>
      </c>
      <c r="G92" s="647">
        <f t="shared" si="2"/>
        <v>37833.876947040961</v>
      </c>
      <c r="H92" s="647">
        <f t="shared" si="2"/>
        <v>28487.682365749999</v>
      </c>
      <c r="I92" s="647">
        <f t="shared" si="2"/>
        <v>31215.401269478818</v>
      </c>
      <c r="J92" s="647">
        <f t="shared" si="2"/>
        <v>32131.351870430786</v>
      </c>
      <c r="K92" s="647">
        <f t="shared" si="2"/>
        <v>16339</v>
      </c>
      <c r="L92" s="647">
        <f t="shared" si="2"/>
        <v>3500</v>
      </c>
      <c r="M92" s="647">
        <f t="shared" si="2"/>
        <v>16318.583849999999</v>
      </c>
      <c r="N92" s="647">
        <f>SUM(D92:K92)</f>
        <v>472677.56030839146</v>
      </c>
      <c r="O92" s="650"/>
    </row>
    <row r="93" spans="2:17" s="648" customFormat="1" ht="15.75" thickBot="1">
      <c r="B93" s="657" t="s">
        <v>367</v>
      </c>
      <c r="C93" s="657"/>
      <c r="D93" s="658">
        <f>+D144</f>
        <v>295981.21284350142</v>
      </c>
      <c r="E93" s="658">
        <f>+E144</f>
        <v>219643.71908962299</v>
      </c>
      <c r="F93" s="658">
        <f t="shared" ref="F93:M93" si="3">+F144</f>
        <v>106382.00184741669</v>
      </c>
      <c r="G93" s="658">
        <f>+G144</f>
        <v>71218.435163040966</v>
      </c>
      <c r="H93" s="658">
        <f t="shared" si="3"/>
        <v>52966.713144249996</v>
      </c>
      <c r="I93" s="658">
        <f>+I144</f>
        <v>59228.99611475</v>
      </c>
      <c r="J93" s="1151">
        <f t="shared" si="3"/>
        <v>62792.150812930791</v>
      </c>
      <c r="K93" s="1151">
        <f t="shared" si="3"/>
        <v>0</v>
      </c>
      <c r="L93" s="1151">
        <f t="shared" si="3"/>
        <v>0</v>
      </c>
      <c r="M93" s="1151">
        <f t="shared" si="3"/>
        <v>0</v>
      </c>
      <c r="N93" s="658">
        <f>SUM(N6:N92)</f>
        <v>846019.43648613151</v>
      </c>
      <c r="O93" s="650">
        <f>SUM(N6:N91)</f>
        <v>373341.87617774011</v>
      </c>
      <c r="Q93" s="650"/>
    </row>
    <row r="94" spans="2:17" s="648" customFormat="1" ht="15" thickBot="1">
      <c r="B94" s="657" t="s">
        <v>368</v>
      </c>
      <c r="C94" s="657"/>
      <c r="D94" s="659">
        <f>5500*7</f>
        <v>38500</v>
      </c>
      <c r="E94" s="659">
        <f>5500*7</f>
        <v>38500</v>
      </c>
      <c r="F94" s="659">
        <f t="shared" ref="F94:M94" si="4">5500*7</f>
        <v>38500</v>
      </c>
      <c r="G94" s="659">
        <f t="shared" si="4"/>
        <v>38500</v>
      </c>
      <c r="H94" s="659">
        <f t="shared" si="4"/>
        <v>38500</v>
      </c>
      <c r="I94" s="659">
        <f t="shared" si="4"/>
        <v>38500</v>
      </c>
      <c r="J94" s="1159">
        <f t="shared" si="4"/>
        <v>38500</v>
      </c>
      <c r="K94" s="659">
        <f>5500*7</f>
        <v>38500</v>
      </c>
      <c r="L94" s="659">
        <f t="shared" si="4"/>
        <v>38500</v>
      </c>
      <c r="M94" s="1159">
        <f t="shared" si="4"/>
        <v>38500</v>
      </c>
      <c r="N94" s="659">
        <f>SUM(D94:I94)</f>
        <v>231000</v>
      </c>
      <c r="O94" s="650"/>
      <c r="Q94" s="650"/>
    </row>
    <row r="95" spans="2:17" s="664" customFormat="1" ht="15" thickBot="1">
      <c r="B95" s="661" t="s">
        <v>369</v>
      </c>
      <c r="C95" s="662"/>
      <c r="D95" s="663">
        <f>+D93-D94</f>
        <v>257481.21284350142</v>
      </c>
      <c r="E95" s="663">
        <f>+E93-E94</f>
        <v>181143.71908962299</v>
      </c>
      <c r="F95" s="663">
        <f t="shared" ref="F95:L95" si="5">+F93-F94</f>
        <v>67882.001847416686</v>
      </c>
      <c r="G95" s="663">
        <f t="shared" si="5"/>
        <v>32718.435163040966</v>
      </c>
      <c r="H95" s="663">
        <f t="shared" si="5"/>
        <v>14466.713144249996</v>
      </c>
      <c r="I95" s="663">
        <f t="shared" si="5"/>
        <v>20728.99611475</v>
      </c>
      <c r="J95" s="1170">
        <f t="shared" si="5"/>
        <v>24292.150812930791</v>
      </c>
      <c r="K95" s="663">
        <f>+K93-K94</f>
        <v>-38500</v>
      </c>
      <c r="L95" s="663">
        <f t="shared" si="5"/>
        <v>-38500</v>
      </c>
      <c r="M95" s="663"/>
      <c r="N95" s="659">
        <f>SUM(D95:I95)</f>
        <v>574421.07820258208</v>
      </c>
      <c r="O95" s="650"/>
      <c r="Q95" s="665"/>
    </row>
    <row r="96" spans="2:17" s="648" customFormat="1" ht="14.25">
      <c r="B96" s="666"/>
      <c r="C96" s="667"/>
      <c r="D96" s="668"/>
      <c r="E96" s="669"/>
      <c r="F96" s="669"/>
      <c r="G96" s="670"/>
      <c r="H96" s="670"/>
      <c r="I96" s="670"/>
      <c r="J96" s="670"/>
      <c r="K96" s="670"/>
      <c r="L96" s="670"/>
      <c r="M96" s="670"/>
      <c r="N96" s="670"/>
      <c r="O96" s="650"/>
      <c r="Q96" s="650"/>
    </row>
    <row r="97" spans="2:24" s="648" customFormat="1" ht="14.25">
      <c r="C97" s="638"/>
      <c r="D97" s="671"/>
      <c r="E97" s="650"/>
      <c r="F97" s="650"/>
      <c r="G97" s="650"/>
      <c r="H97" s="650"/>
      <c r="I97" s="650"/>
      <c r="J97" s="650"/>
      <c r="K97" s="650"/>
      <c r="L97" s="650"/>
      <c r="M97" s="650"/>
      <c r="N97" s="672"/>
      <c r="O97" s="650"/>
      <c r="Q97" s="650"/>
    </row>
    <row r="98" spans="2:24" s="679" customFormat="1" ht="15">
      <c r="B98" s="673" t="s">
        <v>370</v>
      </c>
      <c r="C98" s="674"/>
      <c r="D98" s="675"/>
      <c r="E98" s="676"/>
      <c r="F98" s="676"/>
      <c r="G98" s="676"/>
      <c r="H98" s="676"/>
      <c r="I98" s="676"/>
      <c r="J98" s="676"/>
      <c r="K98" s="676"/>
      <c r="L98" s="676"/>
      <c r="M98" s="676"/>
      <c r="N98" s="677"/>
      <c r="O98" s="678"/>
      <c r="Q98" s="678"/>
    </row>
    <row r="99" spans="2:24" s="648" customFormat="1" ht="15">
      <c r="B99" s="680" t="s">
        <v>371</v>
      </c>
      <c r="C99" s="681">
        <v>0.08</v>
      </c>
      <c r="D99" s="682">
        <f>+(5500*5)*$C$99</f>
        <v>2200</v>
      </c>
      <c r="E99" s="682">
        <f>+(5500*5)*$C$99</f>
        <v>2200</v>
      </c>
      <c r="F99" s="682">
        <f>+(5500*5)*$C$99</f>
        <v>2200</v>
      </c>
      <c r="G99" s="682">
        <f>+(5500*5)*$C$99</f>
        <v>2200</v>
      </c>
      <c r="H99" s="683">
        <f>+(H95)*$C$99</f>
        <v>1157.3370515399997</v>
      </c>
      <c r="I99" s="683">
        <f>+(I95)*$C$99</f>
        <v>1658.3196891800001</v>
      </c>
      <c r="J99" s="683">
        <f>+(J95)*$C$99</f>
        <v>1943.3720650344633</v>
      </c>
      <c r="K99" s="683">
        <f>+(K95)*$C$99</f>
        <v>-3080</v>
      </c>
      <c r="L99" s="683">
        <f t="shared" ref="L99" si="6">+(L95)*$C$99</f>
        <v>-3080</v>
      </c>
      <c r="M99" s="1076"/>
      <c r="N99" s="647">
        <f>SUM(D99:J99)</f>
        <v>13559.028805754464</v>
      </c>
      <c r="O99" s="650"/>
      <c r="Q99" s="650"/>
      <c r="W99" s="650">
        <f>5350*5</f>
        <v>26750</v>
      </c>
      <c r="X99" s="650">
        <f>+W99*8/100</f>
        <v>2140</v>
      </c>
    </row>
    <row r="100" spans="2:24" s="648" customFormat="1" ht="15">
      <c r="B100" s="684" t="s">
        <v>372</v>
      </c>
      <c r="C100" s="685">
        <v>0.14000000000000001</v>
      </c>
      <c r="D100" s="686">
        <f>+(110000-27500)*$C$100</f>
        <v>11550.000000000002</v>
      </c>
      <c r="E100" s="686">
        <f>+(+E95-27500)*$C$100</f>
        <v>21510.120672547222</v>
      </c>
      <c r="F100" s="686">
        <f>+(+F95-27500)*$C$100</f>
        <v>5653.4802586383366</v>
      </c>
      <c r="G100" s="686">
        <f>+(+G95-27500)*$C$100</f>
        <v>730.58092282573523</v>
      </c>
      <c r="H100" s="686"/>
      <c r="I100" s="686"/>
      <c r="J100" s="686"/>
      <c r="K100" s="686"/>
      <c r="L100" s="686"/>
      <c r="M100" s="686"/>
      <c r="N100" s="647">
        <f>SUM(D100:K100)</f>
        <v>39444.181854011294</v>
      </c>
      <c r="O100" s="650"/>
      <c r="Q100" s="650"/>
      <c r="W100" s="650">
        <f>107000-W99</f>
        <v>80250</v>
      </c>
      <c r="X100" s="650">
        <f>+W100*14/100</f>
        <v>11235</v>
      </c>
    </row>
    <row r="101" spans="2:24" s="648" customFormat="1" ht="15">
      <c r="B101" s="684" t="s">
        <v>373</v>
      </c>
      <c r="C101" s="688">
        <v>0.17</v>
      </c>
      <c r="D101" s="686">
        <f>+(D95-110000)*$C$101</f>
        <v>25071.806183395242</v>
      </c>
      <c r="E101" s="686">
        <f>+(+E95-110000)*$C$101</f>
        <v>12094.432245235908</v>
      </c>
      <c r="F101" s="686"/>
      <c r="G101" s="686"/>
      <c r="H101" s="686"/>
      <c r="I101" s="686"/>
      <c r="J101" s="686"/>
      <c r="K101" s="686"/>
      <c r="L101" s="686"/>
      <c r="M101" s="686"/>
      <c r="N101" s="647">
        <f>SUM(D101:K101)</f>
        <v>37166.23842863115</v>
      </c>
      <c r="O101" s="650"/>
      <c r="Q101" s="650"/>
      <c r="W101" s="650">
        <f>187250-107000</f>
        <v>80250</v>
      </c>
      <c r="X101" s="650">
        <f>+W101*17/100</f>
        <v>13642.5</v>
      </c>
    </row>
    <row r="102" spans="2:24" s="648" customFormat="1" ht="15">
      <c r="B102" s="684" t="s">
        <v>374</v>
      </c>
      <c r="C102" s="688">
        <v>0.2</v>
      </c>
      <c r="D102" s="686">
        <f>+(D95-192500)*$C$102</f>
        <v>12996.242568700283</v>
      </c>
      <c r="E102" s="686"/>
      <c r="F102" s="686"/>
      <c r="G102" s="686"/>
      <c r="H102" s="686"/>
      <c r="I102" s="686"/>
      <c r="J102" s="686"/>
      <c r="K102" s="686"/>
      <c r="L102" s="686"/>
      <c r="M102" s="686"/>
      <c r="N102" s="647"/>
      <c r="O102" s="650"/>
      <c r="Q102" s="650"/>
      <c r="W102" s="650">
        <f>205292.52-187250</f>
        <v>18042.51999999999</v>
      </c>
      <c r="X102" s="650">
        <f>+W102*0.2</f>
        <v>3608.5039999999981</v>
      </c>
    </row>
    <row r="103" spans="2:24" s="648" customFormat="1" ht="15">
      <c r="B103" s="684"/>
      <c r="C103" s="684"/>
      <c r="D103" s="689">
        <f>SUM(D99:D102)</f>
        <v>51818.048752095528</v>
      </c>
      <c r="E103" s="689">
        <f t="shared" ref="E103" si="7">SUM(E99:E101)</f>
        <v>35804.552917783134</v>
      </c>
      <c r="F103" s="689">
        <f>SUM(F99:F101)</f>
        <v>7853.4802586383366</v>
      </c>
      <c r="G103" s="689">
        <f>SUM(G99:G101)</f>
        <v>2930.5809228257353</v>
      </c>
      <c r="H103" s="689">
        <f t="shared" ref="H103:J103" si="8">SUM(H99:H101)</f>
        <v>1157.3370515399997</v>
      </c>
      <c r="I103" s="689">
        <f t="shared" si="8"/>
        <v>1658.3196891800001</v>
      </c>
      <c r="J103" s="689">
        <f t="shared" si="8"/>
        <v>1943.3720650344633</v>
      </c>
      <c r="K103" s="689">
        <f t="shared" ref="K103:L103" si="9">SUM(K99:K101)</f>
        <v>-3080</v>
      </c>
      <c r="L103" s="689">
        <f t="shared" si="9"/>
        <v>-3080</v>
      </c>
      <c r="M103" s="689"/>
      <c r="N103" s="689">
        <f t="shared" ref="N103" si="10">SUM(N99:N101)</f>
        <v>90169.449088396912</v>
      </c>
      <c r="O103" s="650"/>
      <c r="Q103" s="650"/>
      <c r="W103" s="650">
        <f>SUM(W99:W102)</f>
        <v>205292.52</v>
      </c>
      <c r="X103" s="650">
        <f>SUM(X99:X102)</f>
        <v>30626.003999999997</v>
      </c>
    </row>
    <row r="104" spans="2:24" s="648" customFormat="1" ht="15">
      <c r="B104" s="690" t="s">
        <v>375</v>
      </c>
      <c r="C104" s="684"/>
      <c r="D104" s="691"/>
      <c r="E104" s="692"/>
      <c r="F104" s="692"/>
      <c r="G104" s="692"/>
      <c r="H104" s="692"/>
      <c r="I104" s="692"/>
      <c r="J104" s="692"/>
      <c r="K104" s="692"/>
      <c r="L104" s="692"/>
      <c r="M104" s="692"/>
      <c r="N104" s="672"/>
      <c r="O104" s="650"/>
      <c r="Q104" s="650"/>
    </row>
    <row r="105" spans="2:24" s="648" customFormat="1" ht="15">
      <c r="B105" s="693" t="s">
        <v>319</v>
      </c>
      <c r="C105" s="684"/>
      <c r="D105" s="691">
        <v>1475.3831499999999</v>
      </c>
      <c r="E105" s="692">
        <v>323.13514546666664</v>
      </c>
      <c r="F105" s="692">
        <v>105.82263568888889</v>
      </c>
      <c r="G105" s="692">
        <v>27.878217909604476</v>
      </c>
      <c r="H105" s="692">
        <v>0</v>
      </c>
      <c r="I105" s="692">
        <v>0</v>
      </c>
      <c r="J105" s="692">
        <v>0</v>
      </c>
      <c r="K105" s="692">
        <v>138.81559999999999</v>
      </c>
      <c r="L105" s="692">
        <v>74.2</v>
      </c>
      <c r="M105" s="692"/>
      <c r="N105" s="647">
        <f t="shared" ref="N105:N115" si="11">SUM(D105:K105)</f>
        <v>2071.0347490651598</v>
      </c>
      <c r="O105" s="650"/>
      <c r="Q105" s="650"/>
    </row>
    <row r="106" spans="2:24" s="648" customFormat="1" ht="15">
      <c r="B106" s="684" t="s">
        <v>320</v>
      </c>
      <c r="C106" s="684"/>
      <c r="D106" s="999">
        <v>1630.7248227272701</v>
      </c>
      <c r="E106" s="692">
        <v>461.33904473939396</v>
      </c>
      <c r="F106" s="692">
        <v>124.72995459797984</v>
      </c>
      <c r="G106" s="692">
        <v>43.423256818695386</v>
      </c>
      <c r="H106" s="692">
        <v>0</v>
      </c>
      <c r="I106" s="692">
        <v>0</v>
      </c>
      <c r="J106" s="692">
        <v>0</v>
      </c>
      <c r="K106" s="692">
        <v>138.81559999999999</v>
      </c>
      <c r="L106" s="692"/>
      <c r="M106" s="692"/>
      <c r="N106" s="647">
        <f t="shared" si="11"/>
        <v>2399.032678883339</v>
      </c>
      <c r="O106" s="650"/>
      <c r="Q106" s="650"/>
    </row>
    <row r="107" spans="2:24" s="648" customFormat="1" ht="15">
      <c r="B107" s="684" t="s">
        <v>321</v>
      </c>
      <c r="C107" s="695"/>
      <c r="D107" s="1000">
        <v>2745.4285927719347</v>
      </c>
      <c r="E107" s="696">
        <v>1691.6358912009946</v>
      </c>
      <c r="F107" s="696">
        <v>547.37392176998003</v>
      </c>
      <c r="G107" s="696">
        <v>220.98459557828869</v>
      </c>
      <c r="H107" s="696">
        <v>39.560262320000035</v>
      </c>
      <c r="I107" s="696">
        <v>56.124163536135576</v>
      </c>
      <c r="J107" s="696">
        <v>88.709162195796608</v>
      </c>
      <c r="K107" s="696">
        <v>138.81559999999996</v>
      </c>
      <c r="L107" s="696"/>
      <c r="M107" s="696"/>
      <c r="N107" s="647">
        <f t="shared" si="11"/>
        <v>5528.632189373131</v>
      </c>
      <c r="O107" s="650"/>
    </row>
    <row r="108" spans="2:24" s="648" customFormat="1" ht="15">
      <c r="B108" s="684" t="s">
        <v>355</v>
      </c>
      <c r="C108" s="684"/>
      <c r="D108" s="868"/>
      <c r="E108" s="869"/>
      <c r="F108" s="869"/>
      <c r="G108" s="869"/>
      <c r="H108" s="869"/>
      <c r="I108" s="869"/>
      <c r="J108" s="869"/>
      <c r="K108" s="869"/>
      <c r="L108" s="869"/>
      <c r="M108" s="869"/>
      <c r="N108" s="647">
        <f t="shared" si="11"/>
        <v>0</v>
      </c>
      <c r="O108" s="650"/>
    </row>
    <row r="109" spans="2:24" s="648" customFormat="1" ht="15">
      <c r="B109" s="684" t="s">
        <v>322</v>
      </c>
      <c r="C109" s="684"/>
      <c r="D109" s="691">
        <v>3701.5990734808665</v>
      </c>
      <c r="E109" s="692">
        <v>2692.2650311712905</v>
      </c>
      <c r="F109" s="692">
        <v>545.53782694479446</v>
      </c>
      <c r="G109" s="692">
        <v>236.26380268834524</v>
      </c>
      <c r="H109" s="692">
        <v>105.62118224000012</v>
      </c>
      <c r="I109" s="694">
        <v>119.58777299316012</v>
      </c>
      <c r="J109" s="694">
        <v>106.77320119105083</v>
      </c>
      <c r="K109" s="694">
        <v>138.81559999999999</v>
      </c>
      <c r="L109" s="694"/>
      <c r="M109" s="694"/>
      <c r="N109" s="647">
        <f t="shared" si="11"/>
        <v>7646.4634907095078</v>
      </c>
      <c r="O109" s="650"/>
    </row>
    <row r="110" spans="2:24" s="648" customFormat="1" ht="15">
      <c r="B110" s="684" t="s">
        <v>376</v>
      </c>
      <c r="C110" s="684"/>
      <c r="D110" s="691">
        <v>4539.308771233771</v>
      </c>
      <c r="E110" s="692">
        <v>3164.0835621496826</v>
      </c>
      <c r="F110" s="692">
        <v>639.01232447729467</v>
      </c>
      <c r="G110" s="692">
        <v>182.60212505584533</v>
      </c>
      <c r="H110" s="692">
        <v>115.74770399000006</v>
      </c>
      <c r="I110" s="692">
        <v>198.864721273838</v>
      </c>
      <c r="J110" s="692">
        <v>152.65706709766113</v>
      </c>
      <c r="K110" s="692">
        <v>0</v>
      </c>
      <c r="L110" s="692">
        <v>0</v>
      </c>
      <c r="M110" s="692"/>
      <c r="N110" s="647">
        <f t="shared" si="11"/>
        <v>8992.2762752780945</v>
      </c>
      <c r="O110" s="650"/>
    </row>
    <row r="111" spans="2:24" s="648" customFormat="1" ht="15">
      <c r="B111" s="684" t="s">
        <v>324</v>
      </c>
      <c r="C111" s="684"/>
      <c r="D111" s="691">
        <v>4531.3471550565228</v>
      </c>
      <c r="E111" s="692">
        <v>3159.7490872668745</v>
      </c>
      <c r="F111" s="692">
        <v>709.06684819729469</v>
      </c>
      <c r="G111" s="692">
        <v>212.69257170703153</v>
      </c>
      <c r="H111" s="692">
        <v>145.7468037842857</v>
      </c>
      <c r="I111" s="692">
        <v>190.40969907083559</v>
      </c>
      <c r="J111" s="692">
        <v>83.718545874803937</v>
      </c>
      <c r="K111" s="692"/>
      <c r="L111" s="692"/>
      <c r="M111" s="692"/>
      <c r="N111" s="647">
        <f t="shared" si="11"/>
        <v>9032.7307109576504</v>
      </c>
      <c r="O111" s="650"/>
    </row>
    <row r="112" spans="2:24" s="648" customFormat="1" ht="15">
      <c r="B112" s="684" t="s">
        <v>325</v>
      </c>
      <c r="C112" s="684"/>
      <c r="D112" s="691"/>
      <c r="E112" s="692"/>
      <c r="F112" s="692"/>
      <c r="G112" s="692"/>
      <c r="H112" s="692"/>
      <c r="I112" s="692"/>
      <c r="J112" s="692"/>
      <c r="K112" s="692"/>
      <c r="L112" s="692"/>
      <c r="M112" s="692"/>
      <c r="N112" s="647">
        <f t="shared" si="11"/>
        <v>0</v>
      </c>
      <c r="O112" s="650"/>
    </row>
    <row r="113" spans="2:16" s="648" customFormat="1" ht="15">
      <c r="B113" s="684" t="s">
        <v>326</v>
      </c>
      <c r="C113" s="684"/>
      <c r="D113" s="691"/>
      <c r="E113" s="692"/>
      <c r="F113" s="692"/>
      <c r="G113" s="692"/>
      <c r="H113" s="692"/>
      <c r="I113" s="692"/>
      <c r="J113" s="692"/>
      <c r="K113" s="692"/>
      <c r="L113" s="692"/>
      <c r="M113" s="692"/>
      <c r="N113" s="647">
        <f t="shared" si="11"/>
        <v>0</v>
      </c>
      <c r="O113" s="650"/>
    </row>
    <row r="114" spans="2:16" s="648" customFormat="1" ht="15">
      <c r="B114" s="684" t="s">
        <v>327</v>
      </c>
      <c r="C114" s="684"/>
      <c r="D114" s="691"/>
      <c r="E114" s="692"/>
      <c r="F114" s="692"/>
      <c r="G114" s="692"/>
      <c r="H114" s="692"/>
      <c r="I114" s="692"/>
      <c r="J114" s="692"/>
      <c r="K114" s="692"/>
      <c r="L114" s="692"/>
      <c r="M114" s="692"/>
      <c r="N114" s="647">
        <f t="shared" si="11"/>
        <v>0</v>
      </c>
      <c r="O114" s="650"/>
    </row>
    <row r="115" spans="2:16" s="648" customFormat="1" ht="15">
      <c r="B115" s="684" t="s">
        <v>328</v>
      </c>
      <c r="C115" s="684"/>
      <c r="D115" s="691"/>
      <c r="E115" s="692"/>
      <c r="F115" s="692"/>
      <c r="G115" s="692"/>
      <c r="H115" s="692"/>
      <c r="I115" s="692"/>
      <c r="J115" s="692"/>
      <c r="K115" s="692"/>
      <c r="L115" s="692"/>
      <c r="M115" s="692"/>
      <c r="N115" s="647">
        <f t="shared" si="11"/>
        <v>0</v>
      </c>
      <c r="O115" s="650"/>
    </row>
    <row r="116" spans="2:16" s="648" customFormat="1" ht="15">
      <c r="B116" s="684" t="s">
        <v>329</v>
      </c>
      <c r="C116" s="684"/>
      <c r="D116" s="691"/>
      <c r="E116" s="692"/>
      <c r="F116" s="692"/>
      <c r="G116" s="692"/>
      <c r="H116" s="692"/>
      <c r="I116" s="692"/>
      <c r="J116" s="694"/>
      <c r="K116" s="694"/>
      <c r="L116" s="694"/>
      <c r="M116" s="694"/>
      <c r="N116" s="647">
        <f>SUM(D116:L116)</f>
        <v>0</v>
      </c>
      <c r="O116" s="650"/>
    </row>
    <row r="117" spans="2:16" s="648" customFormat="1" ht="15">
      <c r="B117" s="684"/>
      <c r="C117" s="684"/>
      <c r="D117" s="686"/>
      <c r="E117" s="698"/>
      <c r="F117" s="698"/>
      <c r="G117" s="698"/>
      <c r="H117" s="698"/>
      <c r="I117" s="698"/>
      <c r="J117" s="698"/>
      <c r="K117" s="698"/>
      <c r="L117" s="698"/>
      <c r="M117" s="698"/>
      <c r="N117" s="647">
        <f>SUM(D117:K117)</f>
        <v>0</v>
      </c>
      <c r="O117" s="650"/>
    </row>
    <row r="118" spans="2:16" ht="15">
      <c r="B118" s="699" t="s">
        <v>377</v>
      </c>
      <c r="C118" s="699"/>
      <c r="D118" s="700">
        <f>SUM(D105:D117)</f>
        <v>18623.791565270367</v>
      </c>
      <c r="E118" s="700">
        <f t="shared" ref="E118" si="12">SUM(E105:E117)</f>
        <v>11492.207761994903</v>
      </c>
      <c r="F118" s="700">
        <f>SUM(F105:F117)</f>
        <v>2671.5435116762324</v>
      </c>
      <c r="G118" s="700">
        <f>SUM(G105:G117)</f>
        <v>923.84456975781075</v>
      </c>
      <c r="H118" s="700">
        <f>SUM(H105:H117)</f>
        <v>406.67595233428591</v>
      </c>
      <c r="I118" s="700">
        <f>SUM(I105:I117)</f>
        <v>564.98635687396927</v>
      </c>
      <c r="J118" s="700">
        <f t="shared" ref="J118" si="13">SUM(J105:J117)</f>
        <v>431.85797635931249</v>
      </c>
      <c r="K118" s="700">
        <f>SUM(K105:K117)</f>
        <v>555.26239999999996</v>
      </c>
      <c r="L118" s="700"/>
      <c r="M118" s="700"/>
      <c r="N118" s="701">
        <f>SUM(N105:N117)</f>
        <v>35670.170094266883</v>
      </c>
      <c r="O118" s="702"/>
    </row>
    <row r="119" spans="2:16" ht="15">
      <c r="B119" s="699" t="s">
        <v>378</v>
      </c>
      <c r="C119" s="699"/>
      <c r="D119" s="700"/>
      <c r="E119" s="700"/>
      <c r="F119" s="700"/>
      <c r="G119" s="700"/>
      <c r="H119" s="700"/>
      <c r="I119" s="700"/>
      <c r="J119" s="700"/>
      <c r="K119" s="700"/>
      <c r="L119" s="700"/>
      <c r="M119" s="700"/>
      <c r="N119" s="649"/>
      <c r="O119" s="702"/>
    </row>
    <row r="120" spans="2:16" ht="15">
      <c r="B120" s="699" t="s">
        <v>379</v>
      </c>
      <c r="C120" s="699"/>
      <c r="D120" s="703">
        <f>+D103-D118</f>
        <v>33194.257186825162</v>
      </c>
      <c r="E120" s="703">
        <f t="shared" ref="E120:K120" si="14">+E103-E118</f>
        <v>24312.345155788229</v>
      </c>
      <c r="F120" s="703">
        <f t="shared" si="14"/>
        <v>5181.9367469621047</v>
      </c>
      <c r="G120" s="703">
        <f t="shared" si="14"/>
        <v>2006.7363530679245</v>
      </c>
      <c r="H120" s="703">
        <f t="shared" si="14"/>
        <v>750.66109920571375</v>
      </c>
      <c r="I120" s="703">
        <f t="shared" si="14"/>
        <v>1093.3333323060308</v>
      </c>
      <c r="J120" s="703">
        <f t="shared" si="14"/>
        <v>1511.5140886751508</v>
      </c>
      <c r="K120" s="703">
        <f t="shared" si="14"/>
        <v>-3635.2624000000001</v>
      </c>
      <c r="L120" s="703">
        <v>0</v>
      </c>
      <c r="M120" s="703"/>
      <c r="N120" s="700">
        <f>SUM(D120:K120)</f>
        <v>64415.521562830305</v>
      </c>
      <c r="O120" s="702"/>
    </row>
    <row r="121" spans="2:16" ht="15">
      <c r="B121" s="699" t="s">
        <v>380</v>
      </c>
      <c r="C121" s="699"/>
      <c r="D121" s="990">
        <f>+D120/7</f>
        <v>4742.0367409750233</v>
      </c>
      <c r="E121" s="990">
        <f t="shared" ref="E121:J121" si="15">+E120/7</f>
        <v>3473.192165112604</v>
      </c>
      <c r="F121" s="990">
        <f t="shared" si="15"/>
        <v>740.27667813744358</v>
      </c>
      <c r="G121" s="990">
        <f>+G120/7</f>
        <v>286.67662186684635</v>
      </c>
      <c r="H121" s="990">
        <f t="shared" si="15"/>
        <v>107.23729988653054</v>
      </c>
      <c r="I121" s="990">
        <f t="shared" si="15"/>
        <v>156.19047604371869</v>
      </c>
      <c r="J121" s="990">
        <f t="shared" si="15"/>
        <v>215.9305840964501</v>
      </c>
      <c r="K121" s="990">
        <v>0</v>
      </c>
      <c r="L121" s="990">
        <v>0</v>
      </c>
      <c r="M121" s="990"/>
      <c r="N121" s="700">
        <f>SUM(D121:L121)</f>
        <v>9721.5405661186178</v>
      </c>
      <c r="O121" s="1064">
        <f>+D121+E121+F121+G121+I121+J121+L121+K121+H121</f>
        <v>9721.5405661186178</v>
      </c>
      <c r="P121" s="708">
        <f>+N121-O121</f>
        <v>0</v>
      </c>
    </row>
    <row r="122" spans="2:16" ht="15">
      <c r="B122" s="699"/>
      <c r="C122" s="699"/>
      <c r="D122" s="699"/>
      <c r="E122" s="700"/>
      <c r="F122" s="700"/>
      <c r="G122" s="701"/>
      <c r="H122" s="701"/>
      <c r="I122" s="701"/>
      <c r="J122" s="701"/>
      <c r="K122" s="701"/>
      <c r="L122" s="701"/>
      <c r="M122" s="701"/>
      <c r="N122" s="701"/>
      <c r="O122" s="702"/>
    </row>
    <row r="123" spans="2:16" ht="15">
      <c r="D123" s="641"/>
      <c r="E123" s="704"/>
      <c r="F123" s="704"/>
      <c r="G123" s="641"/>
      <c r="O123" s="702"/>
    </row>
    <row r="124" spans="2:16" ht="15">
      <c r="D124" s="641"/>
      <c r="E124" s="641"/>
      <c r="F124" s="641"/>
      <c r="G124" s="641"/>
      <c r="N124" s="702"/>
      <c r="O124" s="702"/>
    </row>
    <row r="125" spans="2:16" ht="15">
      <c r="D125" s="641"/>
      <c r="E125" s="641"/>
      <c r="F125" s="641"/>
      <c r="G125" s="641"/>
      <c r="H125" s="706"/>
      <c r="I125" s="706"/>
      <c r="J125" s="706"/>
      <c r="K125" s="706"/>
      <c r="L125" s="706"/>
      <c r="M125" s="706"/>
      <c r="N125" s="702"/>
      <c r="O125" s="702"/>
    </row>
    <row r="126" spans="2:16" ht="15">
      <c r="N126" s="702"/>
      <c r="O126" s="702"/>
    </row>
    <row r="128" spans="2:16" ht="14.25">
      <c r="B128" s="638" t="s">
        <v>319</v>
      </c>
      <c r="C128" s="649"/>
      <c r="D128" s="1056">
        <v>5568.2823474576262</v>
      </c>
      <c r="E128" s="1056">
        <v>9122.3397000000004</v>
      </c>
      <c r="F128" s="1056">
        <v>2501.7108000000003</v>
      </c>
      <c r="G128" s="1056">
        <v>1375.3926864406781</v>
      </c>
      <c r="H128" s="1056">
        <v>404.14904999999999</v>
      </c>
      <c r="I128" s="1056">
        <v>2429.196355932203</v>
      </c>
      <c r="J128" s="1057">
        <v>872.05844999999999</v>
      </c>
      <c r="K128" s="1067"/>
      <c r="L128" s="1067"/>
      <c r="M128" s="1057"/>
    </row>
    <row r="129" spans="2:20" ht="14.25">
      <c r="B129" s="638" t="s">
        <v>320</v>
      </c>
      <c r="C129" s="649"/>
      <c r="D129" s="1056">
        <v>4483.2372220338984</v>
      </c>
      <c r="E129" s="1056">
        <v>6019.6636499999995</v>
      </c>
      <c r="F129" s="1056">
        <v>2599.7563500000001</v>
      </c>
      <c r="G129" s="1056">
        <v>2137.4428499999999</v>
      </c>
      <c r="H129" s="1056">
        <v>749.28030000000001</v>
      </c>
      <c r="I129" s="1056">
        <v>842.6241</v>
      </c>
      <c r="J129" s="1057">
        <v>1100.944416101695</v>
      </c>
      <c r="K129" s="1067"/>
      <c r="L129" s="1067"/>
      <c r="M129" s="1057"/>
      <c r="S129" s="708">
        <f>SUM(D129:R129)</f>
        <v>17932.94888813559</v>
      </c>
      <c r="T129" s="708">
        <f>+'RTA 5TA VTAS'!O121</f>
        <v>9721.5405661186178</v>
      </c>
    </row>
    <row r="130" spans="2:20" ht="14.25">
      <c r="B130" s="638" t="s">
        <v>321</v>
      </c>
      <c r="C130" s="649"/>
      <c r="D130" s="1057">
        <v>6098.9263499999997</v>
      </c>
      <c r="E130" s="1057">
        <v>8538.4968900000003</v>
      </c>
      <c r="F130" s="1057">
        <v>3287.0806499999999</v>
      </c>
      <c r="G130" s="1058">
        <v>1953.9544499999995</v>
      </c>
      <c r="H130" s="1058">
        <v>531.69464999999991</v>
      </c>
      <c r="I130" s="1058">
        <v>846.33224999999993</v>
      </c>
      <c r="J130" s="1058">
        <v>3369.7662</v>
      </c>
      <c r="K130" s="1067"/>
      <c r="L130" s="1067"/>
      <c r="M130" s="1058"/>
    </row>
    <row r="131" spans="2:20" ht="14.25">
      <c r="B131" s="638" t="s">
        <v>322</v>
      </c>
      <c r="C131" s="707"/>
      <c r="D131" s="1056">
        <v>9240.7809500000003</v>
      </c>
      <c r="E131" s="1057">
        <v>12937.093330000002</v>
      </c>
      <c r="F131" s="1057">
        <v>2509.8714</v>
      </c>
      <c r="G131" s="1058">
        <v>1486.9737000000002</v>
      </c>
      <c r="H131" s="1057">
        <v>2406.4389000000001</v>
      </c>
      <c r="I131" s="1057">
        <v>3286.2736500000001</v>
      </c>
      <c r="J131" s="1057">
        <v>937.36110000000019</v>
      </c>
      <c r="K131" s="1067"/>
      <c r="L131" s="1067"/>
      <c r="M131" s="1057"/>
    </row>
    <row r="132" spans="2:20" ht="14.25">
      <c r="B132" s="638" t="s">
        <v>323</v>
      </c>
      <c r="C132" s="707"/>
      <c r="D132" s="1056">
        <v>6044.9786771186446</v>
      </c>
      <c r="E132" s="1057">
        <v>8462.9701479661016</v>
      </c>
      <c r="F132" s="1057">
        <v>3359.0190000000002</v>
      </c>
      <c r="G132" s="1058">
        <v>1343.5632000000001</v>
      </c>
      <c r="H132" s="1057">
        <v>700.75905</v>
      </c>
      <c r="I132" s="1057">
        <v>1799.1558813559323</v>
      </c>
      <c r="J132" s="1057">
        <v>1449.1908000000001</v>
      </c>
      <c r="K132" s="1067"/>
      <c r="L132" s="1067"/>
      <c r="M132" s="1057"/>
    </row>
    <row r="133" spans="2:20" ht="14.25">
      <c r="B133" s="638" t="s">
        <v>324</v>
      </c>
      <c r="C133" s="707"/>
      <c r="D133" s="1056">
        <f>+[8]Resumen!$D$15</f>
        <v>6403.7056999999995</v>
      </c>
      <c r="E133" s="1057">
        <f>+[8]Resumen!$D$23</f>
        <v>8965.1879799999988</v>
      </c>
      <c r="F133" s="1057">
        <f>+[8]Resumen!$F$4</f>
        <v>4331.4262500000004</v>
      </c>
      <c r="G133" s="1058">
        <f>+[8]Resumen!$F$6</f>
        <v>1994.6995500000003</v>
      </c>
      <c r="H133" s="1057">
        <f>+[8]Resumen!$F$5</f>
        <v>1556.8993499999999</v>
      </c>
      <c r="I133" s="1057">
        <f>+[8]Resumen!$F$8</f>
        <v>662.76479999999992</v>
      </c>
      <c r="J133" s="1057">
        <f>+[8]Resumen!$F$7</f>
        <v>1482.3352499999996</v>
      </c>
      <c r="K133" s="1067"/>
      <c r="L133" s="1067"/>
      <c r="M133" s="1057">
        <f>+[8]Resumen!$F$11</f>
        <v>887.80799999999988</v>
      </c>
    </row>
    <row r="134" spans="2:20" ht="14.25">
      <c r="B134" s="638" t="s">
        <v>325</v>
      </c>
      <c r="C134" s="707"/>
      <c r="D134" s="1057">
        <f>COMISIONES!J6</f>
        <v>7965.7047500000008</v>
      </c>
      <c r="E134" s="1057">
        <f>COMISIONES!J3</f>
        <v>12745.127600000002</v>
      </c>
      <c r="F134" s="1057">
        <f>COMISIONES!J4</f>
        <v>1771.03755</v>
      </c>
      <c r="G134" s="1057">
        <f>COMISIONES!J5</f>
        <v>2048.7844500000001</v>
      </c>
      <c r="H134" s="1057">
        <f>COMISIONES!J7</f>
        <v>600.18254999999999</v>
      </c>
      <c r="I134" s="1057">
        <f>COMISIONES!J8</f>
        <v>1891.5045</v>
      </c>
      <c r="J134" s="1057">
        <f>COMISIONES!J9</f>
        <v>3142.0137</v>
      </c>
      <c r="K134" s="1067"/>
      <c r="L134" s="1067"/>
      <c r="M134" s="1057">
        <f>COMISIONES!J10</f>
        <v>1180.96785</v>
      </c>
    </row>
    <row r="135" spans="2:20" ht="14.25">
      <c r="B135" s="638" t="s">
        <v>326</v>
      </c>
      <c r="C135" s="707"/>
      <c r="D135" s="1057"/>
      <c r="E135" s="1057"/>
      <c r="F135" s="1057"/>
      <c r="G135" s="1057"/>
      <c r="H135" s="1057"/>
      <c r="I135" s="1057"/>
      <c r="J135" s="1057"/>
      <c r="K135" s="1067"/>
      <c r="L135" s="1067"/>
      <c r="M135" s="1057"/>
      <c r="O135" s="708"/>
    </row>
    <row r="136" spans="2:20" ht="14.25">
      <c r="B136" s="638" t="s">
        <v>327</v>
      </c>
      <c r="C136" s="707"/>
      <c r="D136" s="1057"/>
      <c r="E136" s="1057"/>
      <c r="F136" s="1057"/>
      <c r="G136" s="1057"/>
      <c r="H136" s="1057"/>
      <c r="I136" s="1057"/>
      <c r="J136" s="1057"/>
      <c r="K136" s="1067"/>
      <c r="L136" s="1067"/>
      <c r="M136" s="1057"/>
    </row>
    <row r="137" spans="2:20" ht="14.25">
      <c r="B137" s="638" t="s">
        <v>328</v>
      </c>
      <c r="C137" s="707"/>
      <c r="D137" s="1057"/>
      <c r="E137" s="1057"/>
      <c r="F137" s="1057"/>
      <c r="G137" s="1057"/>
      <c r="H137" s="1057"/>
      <c r="I137" s="1060"/>
      <c r="J137" s="1060"/>
      <c r="K137" s="1067"/>
      <c r="L137" s="1067"/>
      <c r="M137" s="1060"/>
    </row>
    <row r="138" spans="2:20" ht="14.25">
      <c r="B138" s="638" t="s">
        <v>329</v>
      </c>
      <c r="C138" s="707"/>
      <c r="D138" s="1057"/>
      <c r="E138" s="1057"/>
      <c r="F138" s="1057"/>
      <c r="G138" s="1057"/>
      <c r="H138" s="1057"/>
      <c r="I138" s="1057"/>
      <c r="J138" s="1057"/>
      <c r="K138" s="1067"/>
      <c r="L138" s="1067"/>
      <c r="M138" s="1057"/>
      <c r="O138" s="708"/>
      <c r="P138" s="708"/>
    </row>
    <row r="139" spans="2:20" ht="14.25">
      <c r="B139" s="638" t="s">
        <v>330</v>
      </c>
      <c r="C139" s="707"/>
      <c r="D139" s="1059"/>
      <c r="E139" s="1059"/>
      <c r="F139" s="1059"/>
      <c r="G139" s="1059"/>
      <c r="H139" s="1059"/>
      <c r="I139" s="1059"/>
      <c r="J139" s="1059"/>
      <c r="K139" s="1068"/>
      <c r="L139" s="1068"/>
      <c r="M139" s="1059"/>
      <c r="O139" s="708"/>
      <c r="P139" s="708"/>
    </row>
    <row r="140" spans="2:20">
      <c r="B140" s="709"/>
      <c r="C140" s="709"/>
      <c r="D140" s="709"/>
    </row>
    <row r="141" spans="2:20">
      <c r="B141" s="709" t="s">
        <v>381</v>
      </c>
      <c r="C141" s="709"/>
      <c r="D141" s="706">
        <v>13113</v>
      </c>
      <c r="E141" s="706">
        <v>4613</v>
      </c>
      <c r="F141" s="706">
        <v>3913</v>
      </c>
      <c r="G141" s="706">
        <f>2800+113</f>
        <v>2913</v>
      </c>
      <c r="H141" s="706">
        <v>2500</v>
      </c>
      <c r="I141" s="706">
        <v>2500</v>
      </c>
      <c r="J141" s="706">
        <v>2300</v>
      </c>
      <c r="K141" s="706"/>
      <c r="L141" s="706"/>
      <c r="M141" s="706"/>
    </row>
    <row r="142" spans="2:20">
      <c r="B142" s="709" t="s">
        <v>382</v>
      </c>
      <c r="C142" s="709"/>
      <c r="D142" s="706">
        <f t="shared" ref="D142:J142" si="16">SUM(D132:D134)/3</f>
        <v>6804.7963757062143</v>
      </c>
      <c r="E142" s="706">
        <f t="shared" si="16"/>
        <v>10057.761909322035</v>
      </c>
      <c r="F142" s="706">
        <f t="shared" si="16"/>
        <v>3153.8276000000005</v>
      </c>
      <c r="G142" s="706">
        <f t="shared" si="16"/>
        <v>1795.6824000000004</v>
      </c>
      <c r="H142" s="706">
        <f t="shared" si="16"/>
        <v>952.61364999999989</v>
      </c>
      <c r="I142" s="706">
        <f t="shared" si="16"/>
        <v>1451.141727118644</v>
      </c>
      <c r="J142" s="706">
        <f t="shared" si="16"/>
        <v>2024.51325</v>
      </c>
      <c r="K142" s="706"/>
      <c r="L142" s="706"/>
      <c r="M142" s="706"/>
    </row>
    <row r="143" spans="2:20">
      <c r="B143" s="709" t="s">
        <v>383</v>
      </c>
      <c r="C143" s="709"/>
      <c r="D143" s="706">
        <f>SUM(D141:D142)</f>
        <v>19917.796375706213</v>
      </c>
      <c r="E143" s="706">
        <f t="shared" ref="E143:G143" si="17">SUM(E141:E142)</f>
        <v>14670.761909322035</v>
      </c>
      <c r="F143" s="706">
        <f>SUM(F141:F142)</f>
        <v>7066.8276000000005</v>
      </c>
      <c r="G143" s="706">
        <f t="shared" si="17"/>
        <v>4708.6824000000006</v>
      </c>
      <c r="H143" s="706">
        <f t="shared" ref="H143:I143" si="18">SUM(H141:H142)</f>
        <v>3452.6136499999998</v>
      </c>
      <c r="I143" s="706">
        <f t="shared" si="18"/>
        <v>3951.1417271186438</v>
      </c>
      <c r="J143" s="706">
        <f>SUM(J141:J142)</f>
        <v>4324.51325</v>
      </c>
      <c r="K143" s="706"/>
      <c r="L143" s="706"/>
      <c r="M143" s="706"/>
    </row>
    <row r="144" spans="2:20">
      <c r="B144" s="710" t="s">
        <v>384</v>
      </c>
      <c r="C144" s="710" t="s">
        <v>384</v>
      </c>
      <c r="D144" s="988">
        <f>+((D143*6+(D143*1.09*1)+D92))</f>
        <v>295981.21284350142</v>
      </c>
      <c r="E144" s="988">
        <f t="shared" ref="E144:J144" si="19">+((E143*6+(E143*1.09*1)+E92))</f>
        <v>219643.71908962299</v>
      </c>
      <c r="F144" s="988">
        <f t="shared" si="19"/>
        <v>106382.00184741669</v>
      </c>
      <c r="G144" s="988">
        <f t="shared" si="19"/>
        <v>71218.435163040966</v>
      </c>
      <c r="H144" s="988">
        <f t="shared" si="19"/>
        <v>52966.713144249996</v>
      </c>
      <c r="I144" s="988">
        <f t="shared" si="19"/>
        <v>59228.99611475</v>
      </c>
      <c r="J144" s="988">
        <f t="shared" si="19"/>
        <v>62792.150812930791</v>
      </c>
      <c r="K144" s="988"/>
      <c r="L144" s="988"/>
      <c r="M144" s="988"/>
    </row>
    <row r="145" spans="2:15">
      <c r="D145" s="705"/>
      <c r="O145" s="711"/>
    </row>
    <row r="146" spans="2:15">
      <c r="D146" s="989">
        <f>+D143*6</f>
        <v>119506.77825423729</v>
      </c>
      <c r="E146" s="989">
        <f t="shared" ref="E146:J146" si="20">+E143*6</f>
        <v>88024.571455932208</v>
      </c>
      <c r="F146" s="989">
        <f t="shared" si="20"/>
        <v>42400.965600000003</v>
      </c>
      <c r="G146" s="989">
        <f t="shared" si="20"/>
        <v>28252.094400000002</v>
      </c>
      <c r="H146" s="989">
        <f t="shared" si="20"/>
        <v>20715.6819</v>
      </c>
      <c r="I146" s="989">
        <f t="shared" si="20"/>
        <v>23706.850362711863</v>
      </c>
      <c r="J146" s="989">
        <f t="shared" si="20"/>
        <v>25947.0795</v>
      </c>
      <c r="K146" s="989"/>
      <c r="L146" s="989"/>
      <c r="M146" s="989"/>
    </row>
    <row r="147" spans="2:15">
      <c r="D147" s="705">
        <f>(+D143*1.09)*1</f>
        <v>21710.398049519776</v>
      </c>
      <c r="E147" s="705">
        <f t="shared" ref="E147:J147" si="21">(+E143*1.09)*1</f>
        <v>15991.130481161019</v>
      </c>
      <c r="F147" s="705">
        <f t="shared" si="21"/>
        <v>7702.8420840000008</v>
      </c>
      <c r="G147" s="705">
        <f t="shared" si="21"/>
        <v>5132.4638160000013</v>
      </c>
      <c r="H147" s="705">
        <f t="shared" si="21"/>
        <v>3763.3488785</v>
      </c>
      <c r="I147" s="705">
        <f t="shared" si="21"/>
        <v>4306.744482559322</v>
      </c>
      <c r="J147" s="705">
        <f t="shared" si="21"/>
        <v>4713.7194425000007</v>
      </c>
      <c r="N147" s="705"/>
    </row>
    <row r="148" spans="2:15">
      <c r="D148" s="705">
        <f>+D92</f>
        <v>154764.03653974435</v>
      </c>
      <c r="E148" s="705">
        <f t="shared" ref="E148:J148" si="22">+E92</f>
        <v>115628.01715252976</v>
      </c>
      <c r="F148" s="705">
        <f t="shared" si="22"/>
        <v>56278.19416341668</v>
      </c>
      <c r="G148" s="705">
        <f t="shared" si="22"/>
        <v>37833.876947040961</v>
      </c>
      <c r="H148" s="705">
        <f t="shared" si="22"/>
        <v>28487.682365749999</v>
      </c>
      <c r="I148" s="705">
        <f t="shared" si="22"/>
        <v>31215.401269478818</v>
      </c>
      <c r="J148" s="705">
        <f t="shared" si="22"/>
        <v>32131.351870430786</v>
      </c>
    </row>
    <row r="149" spans="2:15">
      <c r="D149" s="705">
        <f>SUM(D146:D148)</f>
        <v>295981.21284350142</v>
      </c>
      <c r="E149" s="705">
        <f t="shared" ref="E149:J149" si="23">SUM(E146:E148)</f>
        <v>219643.71908962299</v>
      </c>
      <c r="F149" s="705">
        <f t="shared" si="23"/>
        <v>106382.00184741669</v>
      </c>
      <c r="G149" s="705">
        <f t="shared" si="23"/>
        <v>71218.435163040966</v>
      </c>
      <c r="H149" s="705">
        <f t="shared" si="23"/>
        <v>52966.713144249996</v>
      </c>
      <c r="I149" s="705">
        <f t="shared" si="23"/>
        <v>59228.99611475</v>
      </c>
      <c r="J149" s="705">
        <f t="shared" si="23"/>
        <v>62792.150812930791</v>
      </c>
    </row>
    <row r="150" spans="2:15">
      <c r="D150" s="705">
        <f>+D149-D144</f>
        <v>0</v>
      </c>
      <c r="E150" s="705">
        <f>+E149-E144</f>
        <v>0</v>
      </c>
      <c r="F150" s="705">
        <f t="shared" ref="F150:G150" si="24">+F149-F144</f>
        <v>0</v>
      </c>
      <c r="G150" s="705">
        <f t="shared" si="24"/>
        <v>0</v>
      </c>
      <c r="H150" s="705">
        <f t="shared" ref="H150:J150" si="25">+H149-H144</f>
        <v>0</v>
      </c>
      <c r="I150" s="705">
        <f t="shared" si="25"/>
        <v>0</v>
      </c>
      <c r="J150" s="705">
        <f t="shared" si="25"/>
        <v>0</v>
      </c>
    </row>
    <row r="157" spans="2:15" ht="15">
      <c r="B157" s="1166" t="s">
        <v>385</v>
      </c>
      <c r="C157" s="1164"/>
      <c r="D157" s="1165">
        <v>3863.56</v>
      </c>
      <c r="E157" s="1165">
        <v>2944.79</v>
      </c>
      <c r="F157" s="1165">
        <v>1503.58</v>
      </c>
      <c r="G157" s="1165">
        <v>697.88</v>
      </c>
      <c r="H157" s="1165">
        <v>582.95000000000005</v>
      </c>
      <c r="I157" s="1165">
        <v>540.19000000000005</v>
      </c>
      <c r="J157" s="1165">
        <v>355.57</v>
      </c>
      <c r="K157" s="1165">
        <v>0</v>
      </c>
      <c r="L157" s="1165"/>
      <c r="M157" s="1165"/>
      <c r="N157" s="649">
        <f>SUM(D157:K157)</f>
        <v>10488.52</v>
      </c>
    </row>
    <row r="178" spans="6:13">
      <c r="F178" s="712" t="s">
        <v>386</v>
      </c>
      <c r="G178" s="712"/>
      <c r="H178" s="712"/>
      <c r="I178" s="712"/>
      <c r="J178" s="712"/>
      <c r="K178" s="712"/>
      <c r="L178" s="712"/>
      <c r="M178" s="712"/>
    </row>
    <row r="179" spans="6:13">
      <c r="F179" s="712" t="s">
        <v>387</v>
      </c>
      <c r="G179" s="712"/>
      <c r="H179" s="712"/>
      <c r="I179" s="712"/>
      <c r="J179" s="712"/>
      <c r="K179" s="712"/>
      <c r="L179" s="712"/>
      <c r="M179" s="712"/>
    </row>
    <row r="180" spans="6:13">
      <c r="F180" s="712" t="s">
        <v>388</v>
      </c>
      <c r="G180" s="712"/>
      <c r="H180" s="712"/>
      <c r="I180" s="712"/>
      <c r="J180" s="712"/>
      <c r="K180" s="712"/>
      <c r="L180" s="712"/>
      <c r="M180" s="712"/>
    </row>
    <row r="181" spans="6:13">
      <c r="F181" s="712" t="s">
        <v>389</v>
      </c>
      <c r="G181" s="712"/>
      <c r="H181" s="712"/>
      <c r="I181" s="712"/>
      <c r="J181" s="712"/>
      <c r="K181" s="712"/>
      <c r="L181" s="712"/>
      <c r="M181" s="712"/>
    </row>
  </sheetData>
  <mergeCells count="3">
    <mergeCell ref="B4:B5"/>
    <mergeCell ref="C4:C5"/>
    <mergeCell ref="N4:N5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5504-11B9-440B-B472-81798827911A}">
  <dimension ref="B2:AC136"/>
  <sheetViews>
    <sheetView topLeftCell="A4" zoomScale="75" zoomScaleNormal="75" workbookViewId="0">
      <pane xSplit="5" ySplit="2" topLeftCell="F14" activePane="bottomRight" state="frozen"/>
      <selection activeCell="K110" sqref="K110"/>
      <selection pane="topRight" activeCell="K110" sqref="K110"/>
      <selection pane="bottomLeft" activeCell="K110" sqref="K110"/>
      <selection pane="bottomRight" activeCell="D115" sqref="D115"/>
    </sheetView>
  </sheetViews>
  <sheetFormatPr baseColWidth="10" defaultColWidth="12.85546875" defaultRowHeight="12.75"/>
  <cols>
    <col min="1" max="1" width="2.7109375" style="638" customWidth="1"/>
    <col min="2" max="2" width="51.140625" style="638" customWidth="1"/>
    <col min="3" max="3" width="5.140625" style="638" bestFit="1" customWidth="1"/>
    <col min="4" max="4" width="13.42578125" style="709" customWidth="1"/>
    <col min="5" max="5" width="15.5703125" style="709" customWidth="1"/>
    <col min="6" max="6" width="13.7109375" style="709" customWidth="1"/>
    <col min="7" max="7" width="17" style="734" customWidth="1"/>
    <col min="8" max="18" width="13.42578125" style="734" customWidth="1"/>
    <col min="19" max="19" width="15.140625" style="638" customWidth="1"/>
    <col min="20" max="20" width="12.140625" style="638" customWidth="1"/>
    <col min="21" max="21" width="12.5703125" style="638" customWidth="1"/>
    <col min="22" max="236" width="11.42578125" style="638" customWidth="1"/>
    <col min="237" max="237" width="2.7109375" style="638" customWidth="1"/>
    <col min="238" max="238" width="31.5703125" style="638" customWidth="1"/>
    <col min="239" max="239" width="12.42578125" style="638" customWidth="1"/>
    <col min="240" max="240" width="13.42578125" style="638" bestFit="1" customWidth="1"/>
    <col min="241" max="241" width="12.140625" style="638" bestFit="1" customWidth="1"/>
    <col min="242" max="242" width="13.28515625" style="638" customWidth="1"/>
    <col min="243" max="245" width="12.140625" style="638" bestFit="1" customWidth="1"/>
    <col min="246" max="247" width="13.28515625" style="638" customWidth="1"/>
    <col min="248" max="248" width="14.42578125" style="638" customWidth="1"/>
    <col min="249" max="16384" width="12.85546875" style="638"/>
  </cols>
  <sheetData>
    <row r="2" spans="2:19" s="635" customFormat="1" ht="15.75">
      <c r="B2" s="635" t="s">
        <v>334</v>
      </c>
      <c r="G2" s="714"/>
      <c r="H2" s="714"/>
      <c r="I2" s="714"/>
      <c r="J2" s="714"/>
      <c r="K2" s="714"/>
      <c r="L2" s="714"/>
      <c r="M2" s="714"/>
      <c r="N2" s="714"/>
      <c r="O2" s="714"/>
      <c r="P2" s="714"/>
      <c r="Q2" s="714"/>
      <c r="R2" s="714"/>
    </row>
    <row r="3" spans="2:19" ht="13.5" thickBot="1">
      <c r="D3" s="639">
        <v>1</v>
      </c>
      <c r="E3" s="639">
        <f t="shared" ref="E3:H3" si="0">+D3+1</f>
        <v>2</v>
      </c>
      <c r="F3" s="639">
        <f t="shared" si="0"/>
        <v>3</v>
      </c>
      <c r="G3" s="639">
        <f t="shared" si="0"/>
        <v>4</v>
      </c>
      <c r="H3" s="639">
        <f t="shared" si="0"/>
        <v>5</v>
      </c>
      <c r="I3" s="639"/>
      <c r="J3" s="639"/>
      <c r="K3" s="639"/>
      <c r="L3" s="639"/>
      <c r="M3" s="639"/>
      <c r="N3" s="639"/>
      <c r="O3" s="639"/>
      <c r="P3" s="639"/>
      <c r="Q3" s="639"/>
      <c r="R3" s="639"/>
    </row>
    <row r="4" spans="2:19" ht="15">
      <c r="B4" s="715"/>
      <c r="C4" s="716"/>
      <c r="D4" s="717" t="s">
        <v>390</v>
      </c>
      <c r="E4" s="642" t="s">
        <v>391</v>
      </c>
      <c r="F4" s="717" t="s">
        <v>392</v>
      </c>
      <c r="G4" s="642" t="s">
        <v>393</v>
      </c>
      <c r="H4" s="642" t="s">
        <v>394</v>
      </c>
      <c r="I4" s="642" t="s">
        <v>395</v>
      </c>
      <c r="J4" s="642" t="s">
        <v>396</v>
      </c>
      <c r="K4" s="642" t="s">
        <v>397</v>
      </c>
      <c r="L4" s="642" t="s">
        <v>398</v>
      </c>
      <c r="M4" s="642" t="s">
        <v>399</v>
      </c>
      <c r="N4" s="642" t="s">
        <v>338</v>
      </c>
      <c r="O4" s="642" t="s">
        <v>400</v>
      </c>
      <c r="P4" s="642" t="s">
        <v>401</v>
      </c>
      <c r="Q4" s="642" t="s">
        <v>760</v>
      </c>
      <c r="R4" s="642" t="s">
        <v>762</v>
      </c>
      <c r="S4" s="1465" t="s">
        <v>292</v>
      </c>
    </row>
    <row r="5" spans="2:19" ht="15">
      <c r="B5" s="718" t="s">
        <v>193</v>
      </c>
      <c r="C5" s="718"/>
      <c r="D5" s="719" t="s">
        <v>402</v>
      </c>
      <c r="E5" s="720" t="s">
        <v>403</v>
      </c>
      <c r="F5" s="719" t="s">
        <v>404</v>
      </c>
      <c r="G5" s="720" t="s">
        <v>405</v>
      </c>
      <c r="H5" s="720" t="s">
        <v>406</v>
      </c>
      <c r="I5" s="720" t="s">
        <v>407</v>
      </c>
      <c r="J5" s="720" t="s">
        <v>408</v>
      </c>
      <c r="K5" s="720" t="s">
        <v>349</v>
      </c>
      <c r="L5" s="720" t="s">
        <v>409</v>
      </c>
      <c r="M5" s="720" t="s">
        <v>410</v>
      </c>
      <c r="N5" s="720" t="s">
        <v>411</v>
      </c>
      <c r="O5" s="720" t="s">
        <v>412</v>
      </c>
      <c r="P5" s="720" t="s">
        <v>413</v>
      </c>
      <c r="Q5" s="720" t="s">
        <v>761</v>
      </c>
      <c r="R5" s="720" t="s">
        <v>763</v>
      </c>
      <c r="S5" s="1466"/>
    </row>
    <row r="6" spans="2:19" s="648" customFormat="1" ht="15">
      <c r="B6" s="840" t="s">
        <v>319</v>
      </c>
      <c r="C6" s="657"/>
      <c r="D6" s="649"/>
      <c r="E6" s="649"/>
      <c r="F6" s="649"/>
      <c r="G6" s="649"/>
      <c r="H6" s="649"/>
      <c r="I6" s="649"/>
      <c r="J6" s="649"/>
      <c r="K6" s="653"/>
      <c r="L6" s="653"/>
      <c r="M6" s="653"/>
      <c r="N6" s="653"/>
      <c r="O6" s="653"/>
      <c r="P6" s="653"/>
      <c r="Q6" s="653"/>
      <c r="R6" s="653"/>
      <c r="S6" s="653">
        <f>SUM(D6:P6)</f>
        <v>0</v>
      </c>
    </row>
    <row r="7" spans="2:19" s="648" customFormat="1" ht="14.25">
      <c r="B7" s="657" t="s">
        <v>352</v>
      </c>
      <c r="C7" s="657"/>
      <c r="D7" s="649">
        <f>6000+113</f>
        <v>6113</v>
      </c>
      <c r="E7" s="649">
        <f>4000+113</f>
        <v>4113</v>
      </c>
      <c r="F7" s="649">
        <v>3360</v>
      </c>
      <c r="G7" s="649">
        <f>6000+113</f>
        <v>6113</v>
      </c>
      <c r="H7" s="649">
        <f>4000+113</f>
        <v>4113</v>
      </c>
      <c r="I7" s="649">
        <v>2500</v>
      </c>
      <c r="J7" s="649">
        <v>3000</v>
      </c>
      <c r="K7" s="653">
        <v>2800</v>
      </c>
      <c r="L7" s="653">
        <v>2800</v>
      </c>
      <c r="M7" s="653">
        <v>2800</v>
      </c>
      <c r="N7" s="653">
        <v>2800</v>
      </c>
      <c r="O7" s="653">
        <v>2100</v>
      </c>
      <c r="P7" s="653">
        <v>2500</v>
      </c>
      <c r="Q7" s="653">
        <v>2613</v>
      </c>
      <c r="R7" s="653">
        <v>2500</v>
      </c>
      <c r="S7" s="653">
        <f>SUM(D7:P7)</f>
        <v>45112</v>
      </c>
    </row>
    <row r="8" spans="2:19" s="648" customFormat="1" ht="14.25">
      <c r="B8" s="657" t="s">
        <v>141</v>
      </c>
      <c r="C8" s="657"/>
      <c r="D8" s="649"/>
      <c r="E8" s="649"/>
      <c r="F8" s="649">
        <v>640</v>
      </c>
      <c r="G8" s="649"/>
      <c r="H8" s="649"/>
      <c r="I8" s="649"/>
      <c r="J8" s="649"/>
      <c r="K8" s="653"/>
      <c r="L8" s="653"/>
      <c r="M8" s="653"/>
      <c r="N8" s="653"/>
      <c r="O8" s="653">
        <v>800</v>
      </c>
      <c r="P8" s="653"/>
      <c r="Q8" s="653"/>
      <c r="R8" s="653"/>
      <c r="S8" s="653">
        <f>SUM(D8:P8)</f>
        <v>1440</v>
      </c>
    </row>
    <row r="9" spans="2:19" s="648" customFormat="1" ht="14.25">
      <c r="B9" s="657" t="s">
        <v>19</v>
      </c>
      <c r="C9" s="657"/>
      <c r="D9" s="649">
        <v>95.238095238095241</v>
      </c>
      <c r="E9" s="649">
        <v>76.19047619047619</v>
      </c>
      <c r="F9" s="649">
        <v>53.333333333333336</v>
      </c>
      <c r="G9" s="649"/>
      <c r="H9" s="649">
        <v>66.666666666666671</v>
      </c>
      <c r="I9" s="649"/>
      <c r="J9" s="649">
        <v>90.476190476190482</v>
      </c>
      <c r="K9" s="653">
        <v>95.238095238095241</v>
      </c>
      <c r="L9" s="653"/>
      <c r="M9" s="653"/>
      <c r="N9" s="653"/>
      <c r="O9" s="653"/>
      <c r="P9" s="653"/>
      <c r="Q9" s="653"/>
      <c r="R9" s="653"/>
      <c r="S9" s="653">
        <f t="shared" ref="S9:S76" si="1">SUM(D9:P9)</f>
        <v>477.14285714285717</v>
      </c>
    </row>
    <row r="10" spans="2:19" s="648" customFormat="1" ht="14.25">
      <c r="B10" s="657" t="s">
        <v>308</v>
      </c>
      <c r="C10" s="657"/>
      <c r="D10" s="649"/>
      <c r="E10" s="649">
        <v>290.48062500000003</v>
      </c>
      <c r="F10" s="649"/>
      <c r="G10" s="649"/>
      <c r="H10" s="649">
        <v>1311.0187500000002</v>
      </c>
      <c r="I10" s="649"/>
      <c r="J10" s="649"/>
      <c r="K10" s="653"/>
      <c r="L10" s="653">
        <f>+'[1]PLANILLA MENSUAL'!U25</f>
        <v>397.83333333333331</v>
      </c>
      <c r="M10" s="653">
        <f>+'[1]PLANILLA MENSUAL'!U27</f>
        <v>197.75</v>
      </c>
      <c r="N10" s="653"/>
      <c r="O10" s="653"/>
      <c r="P10" s="653">
        <v>786.97916666666663</v>
      </c>
      <c r="Q10" s="653"/>
      <c r="R10" s="653"/>
      <c r="S10" s="653"/>
    </row>
    <row r="11" spans="2:19" s="648" customFormat="1" ht="14.25">
      <c r="B11" s="657"/>
      <c r="C11" s="657"/>
      <c r="D11" s="649"/>
      <c r="E11" s="649"/>
      <c r="F11" s="649"/>
      <c r="G11" s="649"/>
      <c r="H11" s="649"/>
      <c r="I11" s="649"/>
      <c r="J11" s="649"/>
      <c r="K11" s="653"/>
      <c r="L11" s="653"/>
      <c r="M11" s="653"/>
      <c r="N11" s="653"/>
      <c r="O11" s="653"/>
      <c r="P11" s="653"/>
      <c r="Q11" s="653"/>
      <c r="R11" s="653"/>
      <c r="S11" s="653">
        <f t="shared" si="1"/>
        <v>0</v>
      </c>
    </row>
    <row r="12" spans="2:19" s="648" customFormat="1" ht="15">
      <c r="B12" s="840" t="s">
        <v>320</v>
      </c>
      <c r="C12" s="657"/>
      <c r="D12" s="649"/>
      <c r="E12" s="649"/>
      <c r="F12" s="649"/>
      <c r="G12" s="649"/>
      <c r="H12" s="649"/>
      <c r="I12" s="649"/>
      <c r="J12" s="649"/>
      <c r="K12" s="653"/>
      <c r="L12" s="653"/>
      <c r="M12" s="653"/>
      <c r="N12" s="653"/>
      <c r="O12" s="653"/>
      <c r="P12" s="653"/>
      <c r="Q12" s="653"/>
      <c r="R12" s="653"/>
      <c r="S12" s="653">
        <f t="shared" si="1"/>
        <v>0</v>
      </c>
    </row>
    <row r="13" spans="2:19" s="648" customFormat="1" ht="14.25">
      <c r="B13" s="657" t="s">
        <v>352</v>
      </c>
      <c r="C13" s="657"/>
      <c r="D13" s="649">
        <f>6000+113</f>
        <v>6113</v>
      </c>
      <c r="E13" s="649">
        <f>4000+113</f>
        <v>4113</v>
      </c>
      <c r="F13" s="649">
        <v>3360</v>
      </c>
      <c r="G13" s="649">
        <f>6000+113</f>
        <v>6113</v>
      </c>
      <c r="H13" s="649">
        <f>4000+113</f>
        <v>4113</v>
      </c>
      <c r="I13" s="649">
        <v>2500</v>
      </c>
      <c r="J13" s="649">
        <v>3000</v>
      </c>
      <c r="K13" s="653">
        <v>2800</v>
      </c>
      <c r="L13" s="653">
        <v>2800</v>
      </c>
      <c r="M13" s="653">
        <v>2800</v>
      </c>
      <c r="N13" s="653">
        <v>2800</v>
      </c>
      <c r="O13" s="653">
        <v>2100</v>
      </c>
      <c r="P13" s="653">
        <v>2500</v>
      </c>
      <c r="Q13" s="653">
        <v>2613</v>
      </c>
      <c r="R13" s="653">
        <v>2500</v>
      </c>
      <c r="S13" s="653">
        <f>SUM(D13:P13)</f>
        <v>45112</v>
      </c>
    </row>
    <row r="14" spans="2:19" s="648" customFormat="1" ht="14.25">
      <c r="B14" s="657" t="s">
        <v>141</v>
      </c>
      <c r="C14" s="657"/>
      <c r="D14" s="649"/>
      <c r="E14" s="649"/>
      <c r="F14" s="649">
        <v>640</v>
      </c>
      <c r="G14" s="649"/>
      <c r="H14" s="649"/>
      <c r="I14" s="649"/>
      <c r="J14" s="649"/>
      <c r="K14" s="653"/>
      <c r="L14" s="653"/>
      <c r="M14" s="653"/>
      <c r="N14" s="653"/>
      <c r="O14" s="653">
        <v>800</v>
      </c>
      <c r="P14" s="653"/>
      <c r="Q14" s="653"/>
      <c r="R14" s="653"/>
      <c r="S14" s="653">
        <f>SUM(D14:P14)</f>
        <v>1440</v>
      </c>
    </row>
    <row r="15" spans="2:19" s="648" customFormat="1" ht="14.25">
      <c r="B15" s="657" t="s">
        <v>19</v>
      </c>
      <c r="C15" s="657"/>
      <c r="D15" s="649">
        <v>100</v>
      </c>
      <c r="E15" s="649">
        <v>100</v>
      </c>
      <c r="F15" s="649">
        <v>100</v>
      </c>
      <c r="G15" s="649"/>
      <c r="H15" s="649">
        <v>65</v>
      </c>
      <c r="I15" s="649"/>
      <c r="J15" s="649">
        <v>60</v>
      </c>
      <c r="K15" s="653">
        <v>100</v>
      </c>
      <c r="L15" s="653"/>
      <c r="M15" s="653"/>
      <c r="N15" s="653"/>
      <c r="O15" s="653"/>
      <c r="P15" s="653"/>
      <c r="Q15" s="653"/>
      <c r="R15" s="653"/>
      <c r="S15" s="653">
        <f t="shared" si="1"/>
        <v>525</v>
      </c>
    </row>
    <row r="16" spans="2:19" s="648" customFormat="1" ht="14.25">
      <c r="B16" s="657"/>
      <c r="C16" s="657"/>
      <c r="D16" s="649"/>
      <c r="E16" s="649"/>
      <c r="F16" s="649"/>
      <c r="G16" s="649"/>
      <c r="H16" s="649"/>
      <c r="I16" s="649"/>
      <c r="J16" s="649"/>
      <c r="K16" s="653"/>
      <c r="L16" s="653"/>
      <c r="M16" s="653"/>
      <c r="N16" s="653"/>
      <c r="O16" s="653"/>
      <c r="P16" s="653"/>
      <c r="Q16" s="653"/>
      <c r="R16" s="653"/>
      <c r="S16" s="653">
        <f t="shared" si="1"/>
        <v>0</v>
      </c>
    </row>
    <row r="17" spans="2:20" s="648" customFormat="1" ht="15">
      <c r="B17" s="840" t="s">
        <v>321</v>
      </c>
      <c r="C17" s="657"/>
      <c r="D17" s="649"/>
      <c r="E17" s="649"/>
      <c r="F17" s="649"/>
      <c r="G17" s="649"/>
      <c r="H17" s="649"/>
      <c r="I17" s="649"/>
      <c r="J17" s="649"/>
      <c r="K17" s="653"/>
      <c r="L17" s="653"/>
      <c r="M17" s="653"/>
      <c r="N17" s="653"/>
      <c r="O17" s="653"/>
      <c r="P17" s="653"/>
      <c r="Q17" s="653"/>
      <c r="R17" s="653"/>
      <c r="S17" s="653">
        <f t="shared" si="1"/>
        <v>0</v>
      </c>
    </row>
    <row r="18" spans="2:20" s="648" customFormat="1" ht="14.25">
      <c r="B18" s="657" t="s">
        <v>352</v>
      </c>
      <c r="C18" s="657"/>
      <c r="D18" s="649">
        <f>6000+113</f>
        <v>6113</v>
      </c>
      <c r="E18" s="649">
        <f>4000+113</f>
        <v>4113</v>
      </c>
      <c r="F18" s="649">
        <v>3360</v>
      </c>
      <c r="G18" s="649">
        <f>6000+113</f>
        <v>6113</v>
      </c>
      <c r="H18" s="649">
        <f>4000+113</f>
        <v>4113</v>
      </c>
      <c r="I18" s="649">
        <v>2500</v>
      </c>
      <c r="J18" s="649">
        <v>3000</v>
      </c>
      <c r="K18" s="653">
        <v>2800</v>
      </c>
      <c r="L18" s="653">
        <v>2800</v>
      </c>
      <c r="M18" s="653">
        <v>2800</v>
      </c>
      <c r="N18" s="653">
        <v>2800</v>
      </c>
      <c r="O18" s="653">
        <v>2100</v>
      </c>
      <c r="P18" s="653">
        <v>2500</v>
      </c>
      <c r="Q18" s="653">
        <v>2613</v>
      </c>
      <c r="R18" s="653">
        <v>2500</v>
      </c>
      <c r="S18" s="653">
        <f t="shared" si="1"/>
        <v>45112</v>
      </c>
    </row>
    <row r="19" spans="2:20" s="648" customFormat="1" ht="14.25">
      <c r="B19" s="657" t="s">
        <v>141</v>
      </c>
      <c r="C19" s="657"/>
      <c r="D19" s="649"/>
      <c r="E19" s="649"/>
      <c r="F19" s="649">
        <v>640</v>
      </c>
      <c r="G19" s="649"/>
      <c r="H19" s="649"/>
      <c r="I19" s="649"/>
      <c r="J19" s="649"/>
      <c r="K19" s="653"/>
      <c r="L19" s="653"/>
      <c r="M19" s="653"/>
      <c r="N19" s="653"/>
      <c r="O19" s="653">
        <v>800</v>
      </c>
      <c r="P19" s="653"/>
      <c r="Q19" s="653"/>
      <c r="R19" s="653"/>
      <c r="S19" s="653">
        <f t="shared" si="1"/>
        <v>1440</v>
      </c>
    </row>
    <row r="20" spans="2:20" s="648" customFormat="1" ht="14.25">
      <c r="B20" s="657" t="s">
        <v>19</v>
      </c>
      <c r="C20" s="657"/>
      <c r="D20" s="649">
        <v>100</v>
      </c>
      <c r="E20" s="649">
        <v>100</v>
      </c>
      <c r="F20" s="655">
        <v>90</v>
      </c>
      <c r="G20" s="655"/>
      <c r="H20" s="655">
        <v>75</v>
      </c>
      <c r="I20" s="649"/>
      <c r="J20" s="649">
        <v>100</v>
      </c>
      <c r="K20" s="653">
        <v>100</v>
      </c>
      <c r="L20" s="653"/>
      <c r="M20" s="653"/>
      <c r="N20" s="653"/>
      <c r="O20" s="653"/>
      <c r="P20" s="653"/>
      <c r="Q20" s="653"/>
      <c r="R20" s="653"/>
      <c r="S20" s="653">
        <f t="shared" si="1"/>
        <v>565</v>
      </c>
    </row>
    <row r="21" spans="2:20" s="648" customFormat="1" ht="14.25">
      <c r="B21" s="657" t="s">
        <v>308</v>
      </c>
      <c r="C21" s="657"/>
      <c r="D21" s="649">
        <v>407.53</v>
      </c>
      <c r="E21" s="649"/>
      <c r="F21" s="649"/>
      <c r="G21" s="649"/>
      <c r="H21" s="649"/>
      <c r="I21" s="649"/>
      <c r="J21" s="655">
        <v>331.14</v>
      </c>
      <c r="K21" s="654">
        <v>309.41000000000003</v>
      </c>
      <c r="L21" s="653"/>
      <c r="M21" s="653"/>
      <c r="N21" s="653"/>
      <c r="O21" s="653"/>
      <c r="P21" s="653"/>
      <c r="Q21" s="653"/>
      <c r="R21" s="653"/>
      <c r="S21" s="653">
        <f t="shared" si="1"/>
        <v>1048.08</v>
      </c>
    </row>
    <row r="22" spans="2:20" s="1155" customFormat="1" ht="14.25">
      <c r="B22" s="1154" t="s">
        <v>355</v>
      </c>
      <c r="C22" s="1154"/>
      <c r="D22" s="1152">
        <v>10984.79</v>
      </c>
      <c r="E22" s="1152">
        <v>8491.98</v>
      </c>
      <c r="F22" s="1152">
        <v>7025.49</v>
      </c>
      <c r="G22" s="1152">
        <v>10355.57</v>
      </c>
      <c r="H22" s="1152">
        <v>7080.15</v>
      </c>
      <c r="I22" s="1152">
        <v>5958.32</v>
      </c>
      <c r="J22" s="1152">
        <v>7005.9</v>
      </c>
      <c r="K22" s="1153">
        <v>6931.75</v>
      </c>
      <c r="L22" s="1153">
        <v>6122</v>
      </c>
      <c r="M22" s="1153">
        <v>6432.12</v>
      </c>
      <c r="N22" s="1153">
        <v>5954.52</v>
      </c>
      <c r="O22" s="1153">
        <v>5918.4</v>
      </c>
      <c r="P22" s="1153">
        <v>6391.45</v>
      </c>
      <c r="Q22" s="1188"/>
      <c r="R22" s="1188"/>
      <c r="S22" s="1153">
        <f t="shared" si="1"/>
        <v>94652.44</v>
      </c>
      <c r="T22" s="1155" t="s">
        <v>414</v>
      </c>
    </row>
    <row r="23" spans="2:20" s="648" customFormat="1" ht="14.25">
      <c r="B23" s="657"/>
      <c r="C23" s="657"/>
      <c r="D23" s="649"/>
      <c r="E23" s="649"/>
      <c r="F23" s="649"/>
      <c r="G23" s="649"/>
      <c r="H23" s="649"/>
      <c r="I23" s="649"/>
      <c r="J23" s="649"/>
      <c r="K23" s="653"/>
      <c r="L23" s="653"/>
      <c r="M23" s="653"/>
      <c r="N23" s="653"/>
      <c r="O23" s="653"/>
      <c r="P23" s="653"/>
      <c r="Q23" s="653"/>
      <c r="R23" s="653"/>
      <c r="S23" s="653">
        <f t="shared" si="1"/>
        <v>0</v>
      </c>
    </row>
    <row r="24" spans="2:20" s="648" customFormat="1" ht="15">
      <c r="B24" s="840" t="s">
        <v>322</v>
      </c>
      <c r="C24" s="657"/>
      <c r="D24" s="649"/>
      <c r="E24" s="649"/>
      <c r="F24" s="649"/>
      <c r="G24" s="649"/>
      <c r="H24" s="649"/>
      <c r="I24" s="649"/>
      <c r="J24" s="649"/>
      <c r="K24" s="653"/>
      <c r="L24" s="653"/>
      <c r="M24" s="653"/>
      <c r="N24" s="653"/>
      <c r="O24" s="653"/>
      <c r="P24" s="653"/>
      <c r="Q24" s="653"/>
      <c r="R24" s="653"/>
      <c r="S24" s="653">
        <f t="shared" si="1"/>
        <v>0</v>
      </c>
    </row>
    <row r="25" spans="2:20" s="648" customFormat="1" ht="14.25">
      <c r="B25" s="657" t="s">
        <v>352</v>
      </c>
      <c r="C25" s="657"/>
      <c r="D25" s="649">
        <f>6000+113</f>
        <v>6113</v>
      </c>
      <c r="E25" s="649">
        <f>4000+113</f>
        <v>4113</v>
      </c>
      <c r="F25" s="649">
        <v>3360</v>
      </c>
      <c r="G25" s="649">
        <f>6000+113</f>
        <v>6113</v>
      </c>
      <c r="H25" s="649">
        <f>4000+113</f>
        <v>4113</v>
      </c>
      <c r="I25" s="649">
        <v>2500</v>
      </c>
      <c r="J25" s="649">
        <v>3000</v>
      </c>
      <c r="K25" s="653">
        <v>2800</v>
      </c>
      <c r="L25" s="653">
        <v>2800</v>
      </c>
      <c r="M25" s="653">
        <v>2800</v>
      </c>
      <c r="N25" s="653">
        <v>2800</v>
      </c>
      <c r="O25" s="653">
        <v>2100</v>
      </c>
      <c r="P25" s="653">
        <v>2500</v>
      </c>
      <c r="Q25" s="653">
        <v>2613</v>
      </c>
      <c r="R25" s="653">
        <v>2500</v>
      </c>
      <c r="S25" s="653">
        <f t="shared" si="1"/>
        <v>45112</v>
      </c>
    </row>
    <row r="26" spans="2:20" s="648" customFormat="1" ht="14.25">
      <c r="B26" s="657" t="s">
        <v>141</v>
      </c>
      <c r="C26" s="657"/>
      <c r="D26" s="649"/>
      <c r="E26" s="649"/>
      <c r="F26" s="649">
        <v>640</v>
      </c>
      <c r="G26" s="649"/>
      <c r="H26" s="649"/>
      <c r="I26" s="649"/>
      <c r="J26" s="649"/>
      <c r="K26" s="653"/>
      <c r="L26" s="653"/>
      <c r="M26" s="653"/>
      <c r="N26" s="653"/>
      <c r="O26" s="653">
        <v>800</v>
      </c>
      <c r="P26" s="653"/>
      <c r="Q26" s="653"/>
      <c r="R26" s="653"/>
      <c r="S26" s="653">
        <f t="shared" ref="S26" si="2">SUM(D26:P26)</f>
        <v>1440</v>
      </c>
    </row>
    <row r="27" spans="2:20" s="648" customFormat="1" ht="14.25">
      <c r="B27" s="657" t="s">
        <v>19</v>
      </c>
      <c r="C27" s="657"/>
      <c r="D27" s="649">
        <v>55</v>
      </c>
      <c r="E27" s="649">
        <v>45</v>
      </c>
      <c r="F27" s="649">
        <v>90</v>
      </c>
      <c r="G27" s="649"/>
      <c r="H27" s="649">
        <v>90</v>
      </c>
      <c r="I27" s="649"/>
      <c r="J27" s="649">
        <v>90</v>
      </c>
      <c r="K27" s="649">
        <v>90</v>
      </c>
      <c r="L27" s="653"/>
      <c r="M27" s="653"/>
      <c r="N27" s="653"/>
      <c r="O27" s="653"/>
      <c r="P27" s="653"/>
      <c r="Q27" s="653"/>
      <c r="R27" s="653"/>
      <c r="S27" s="653">
        <f t="shared" si="1"/>
        <v>460</v>
      </c>
    </row>
    <row r="28" spans="2:20" s="648" customFormat="1" ht="14.25">
      <c r="B28" s="657"/>
      <c r="C28" s="657"/>
      <c r="D28" s="649"/>
      <c r="E28" s="649"/>
      <c r="F28" s="649"/>
      <c r="G28" s="649"/>
      <c r="H28" s="649"/>
      <c r="I28" s="649"/>
      <c r="J28" s="649"/>
      <c r="K28" s="653"/>
      <c r="L28" s="653"/>
      <c r="M28" s="653"/>
      <c r="N28" s="653"/>
      <c r="O28" s="653"/>
      <c r="P28" s="653"/>
      <c r="Q28" s="653"/>
      <c r="R28" s="653"/>
      <c r="S28" s="653">
        <f t="shared" si="1"/>
        <v>0</v>
      </c>
    </row>
    <row r="29" spans="2:20" s="648" customFormat="1" ht="15">
      <c r="B29" s="840" t="s">
        <v>323</v>
      </c>
      <c r="C29" s="657"/>
      <c r="D29" s="649"/>
      <c r="E29" s="649"/>
      <c r="F29" s="649"/>
      <c r="G29" s="649"/>
      <c r="H29" s="649"/>
      <c r="I29" s="649"/>
      <c r="J29" s="649"/>
      <c r="K29" s="653"/>
      <c r="L29" s="653"/>
      <c r="M29" s="653"/>
      <c r="N29" s="653"/>
      <c r="O29" s="653"/>
      <c r="P29" s="653"/>
      <c r="Q29" s="653"/>
      <c r="R29" s="653"/>
      <c r="S29" s="653">
        <f>SUM(D29:R29)</f>
        <v>0</v>
      </c>
    </row>
    <row r="30" spans="2:20" s="648" customFormat="1" ht="14.25">
      <c r="B30" s="657" t="s">
        <v>352</v>
      </c>
      <c r="C30" s="657"/>
      <c r="D30" s="649">
        <v>6613</v>
      </c>
      <c r="E30" s="649">
        <v>4113</v>
      </c>
      <c r="F30" s="649">
        <v>3600</v>
      </c>
      <c r="G30" s="649">
        <v>6613</v>
      </c>
      <c r="H30" s="649">
        <v>4113</v>
      </c>
      <c r="I30" s="649">
        <v>2600</v>
      </c>
      <c r="J30" s="649">
        <v>3000</v>
      </c>
      <c r="K30" s="653">
        <v>2800</v>
      </c>
      <c r="L30" s="653"/>
      <c r="M30" s="653">
        <v>3200</v>
      </c>
      <c r="N30" s="653">
        <v>2800</v>
      </c>
      <c r="O30" s="653">
        <v>2800</v>
      </c>
      <c r="P30" s="653">
        <v>2800</v>
      </c>
      <c r="Q30" s="653">
        <v>2913</v>
      </c>
      <c r="R30" s="653">
        <v>2800</v>
      </c>
      <c r="S30" s="653">
        <f t="shared" si="1"/>
        <v>45052</v>
      </c>
    </row>
    <row r="31" spans="2:20" s="648" customFormat="1" ht="14.25">
      <c r="B31" s="657" t="s">
        <v>141</v>
      </c>
      <c r="C31" s="657"/>
      <c r="D31" s="649"/>
      <c r="E31" s="649"/>
      <c r="F31" s="649">
        <v>640</v>
      </c>
      <c r="G31" s="649"/>
      <c r="H31" s="649"/>
      <c r="I31" s="649"/>
      <c r="J31" s="649"/>
      <c r="K31" s="653"/>
      <c r="L31" s="653"/>
      <c r="M31" s="653"/>
      <c r="N31" s="653"/>
      <c r="O31" s="653">
        <v>800</v>
      </c>
      <c r="P31" s="653"/>
      <c r="Q31" s="653"/>
      <c r="R31" s="653"/>
      <c r="S31" s="653"/>
    </row>
    <row r="32" spans="2:20" s="648" customFormat="1" ht="14.25">
      <c r="B32" s="657" t="s">
        <v>19</v>
      </c>
      <c r="C32" s="657"/>
      <c r="D32" s="649">
        <v>100</v>
      </c>
      <c r="E32" s="649">
        <v>100</v>
      </c>
      <c r="F32" s="649">
        <v>76.190476190476161</v>
      </c>
      <c r="G32" s="649"/>
      <c r="H32" s="649"/>
      <c r="I32" s="649"/>
      <c r="J32" s="649">
        <v>100</v>
      </c>
      <c r="K32" s="649"/>
      <c r="L32" s="653"/>
      <c r="M32" s="653"/>
      <c r="N32" s="653"/>
      <c r="O32" s="653"/>
      <c r="P32" s="653"/>
      <c r="Q32" s="653"/>
      <c r="R32" s="653"/>
      <c r="S32" s="653">
        <f t="shared" si="1"/>
        <v>376.19047619047615</v>
      </c>
    </row>
    <row r="33" spans="2:19" s="648" customFormat="1" ht="14.25">
      <c r="B33" s="657" t="s">
        <v>308</v>
      </c>
      <c r="C33" s="657"/>
      <c r="D33" s="649"/>
      <c r="E33" s="649"/>
      <c r="F33" s="649"/>
      <c r="G33" s="649"/>
      <c r="H33" s="649"/>
      <c r="I33" s="649"/>
      <c r="J33" s="649"/>
      <c r="K33" s="653"/>
      <c r="L33" s="653"/>
      <c r="M33" s="653"/>
      <c r="N33" s="653"/>
      <c r="O33" s="653"/>
      <c r="P33" s="653"/>
      <c r="Q33" s="653"/>
      <c r="R33" s="653"/>
      <c r="S33" s="653">
        <f t="shared" si="1"/>
        <v>0</v>
      </c>
    </row>
    <row r="34" spans="2:19" s="648" customFormat="1" ht="14.25">
      <c r="B34" s="657"/>
      <c r="C34" s="657"/>
      <c r="D34" s="649"/>
      <c r="E34" s="649"/>
      <c r="F34" s="649"/>
      <c r="G34" s="649"/>
      <c r="H34" s="649"/>
      <c r="I34" s="649"/>
      <c r="J34" s="649"/>
      <c r="K34" s="653"/>
      <c r="L34" s="653"/>
      <c r="M34" s="653"/>
      <c r="N34" s="653"/>
      <c r="O34" s="653"/>
      <c r="P34" s="653"/>
      <c r="Q34" s="653"/>
      <c r="R34" s="653"/>
      <c r="S34" s="653">
        <f t="shared" si="1"/>
        <v>0</v>
      </c>
    </row>
    <row r="35" spans="2:19" s="648" customFormat="1" ht="15">
      <c r="B35" s="840" t="s">
        <v>324</v>
      </c>
      <c r="C35" s="657"/>
      <c r="D35" s="649"/>
      <c r="E35" s="649"/>
      <c r="F35" s="649"/>
      <c r="G35" s="649"/>
      <c r="H35" s="649"/>
      <c r="I35" s="649"/>
      <c r="J35" s="649"/>
      <c r="K35" s="653"/>
      <c r="L35" s="653"/>
      <c r="M35" s="653"/>
      <c r="N35" s="653"/>
      <c r="O35" s="653"/>
      <c r="P35" s="653"/>
      <c r="Q35" s="653"/>
      <c r="R35" s="653"/>
      <c r="S35" s="653">
        <f>SUM(D35:R35)</f>
        <v>0</v>
      </c>
    </row>
    <row r="36" spans="2:19" s="648" customFormat="1" ht="14.25">
      <c r="B36" s="657" t="s">
        <v>352</v>
      </c>
      <c r="C36" s="657"/>
      <c r="D36" s="649">
        <v>6613</v>
      </c>
      <c r="E36" s="649">
        <v>4113</v>
      </c>
      <c r="F36" s="649">
        <v>3600</v>
      </c>
      <c r="G36" s="649">
        <v>6613</v>
      </c>
      <c r="H36" s="649">
        <v>4113</v>
      </c>
      <c r="I36" s="649">
        <v>2600</v>
      </c>
      <c r="J36" s="649">
        <v>3000</v>
      </c>
      <c r="K36" s="653">
        <v>2800</v>
      </c>
      <c r="L36" s="653"/>
      <c r="M36" s="653">
        <v>3200</v>
      </c>
      <c r="N36" s="653">
        <v>2800</v>
      </c>
      <c r="O36" s="653">
        <v>2800</v>
      </c>
      <c r="P36" s="653">
        <v>2800</v>
      </c>
      <c r="Q36" s="653">
        <v>2913</v>
      </c>
      <c r="R36" s="653">
        <v>2800</v>
      </c>
      <c r="S36" s="653">
        <f t="shared" si="1"/>
        <v>45052</v>
      </c>
    </row>
    <row r="37" spans="2:19" s="648" customFormat="1" ht="14.25">
      <c r="B37" s="657" t="s">
        <v>141</v>
      </c>
      <c r="C37" s="657"/>
      <c r="D37" s="649"/>
      <c r="E37" s="649"/>
      <c r="F37" s="649">
        <v>640</v>
      </c>
      <c r="G37" s="649"/>
      <c r="H37" s="649"/>
      <c r="I37" s="649"/>
      <c r="J37" s="649"/>
      <c r="K37" s="649"/>
      <c r="L37" s="653"/>
      <c r="M37" s="653"/>
      <c r="N37" s="653"/>
      <c r="O37" s="653">
        <v>800</v>
      </c>
      <c r="P37" s="653"/>
      <c r="Q37" s="653"/>
      <c r="R37" s="653"/>
      <c r="S37" s="653"/>
    </row>
    <row r="38" spans="2:19" s="648" customFormat="1" ht="14.25">
      <c r="B38" s="657" t="s">
        <v>19</v>
      </c>
      <c r="C38" s="657"/>
      <c r="D38" s="649">
        <v>100</v>
      </c>
      <c r="E38" s="649">
        <v>100</v>
      </c>
      <c r="F38" s="649">
        <v>100</v>
      </c>
      <c r="G38" s="649"/>
      <c r="H38" s="655"/>
      <c r="I38" s="649"/>
      <c r="J38" s="649">
        <v>100</v>
      </c>
      <c r="K38" s="649">
        <v>200</v>
      </c>
      <c r="L38" s="653"/>
      <c r="M38" s="653"/>
      <c r="N38" s="653"/>
      <c r="O38" s="653"/>
      <c r="P38" s="653"/>
      <c r="Q38" s="653"/>
      <c r="R38" s="653"/>
      <c r="S38" s="653">
        <f t="shared" si="1"/>
        <v>600</v>
      </c>
    </row>
    <row r="39" spans="2:19" s="648" customFormat="1" ht="14.25">
      <c r="B39" s="657" t="s">
        <v>308</v>
      </c>
      <c r="C39" s="657"/>
      <c r="D39" s="649"/>
      <c r="E39" s="649"/>
      <c r="F39" s="649"/>
      <c r="G39" s="649"/>
      <c r="H39" s="649">
        <f>HH.EE!I3</f>
        <v>1406.5603125</v>
      </c>
      <c r="I39" s="649"/>
      <c r="J39" s="649"/>
      <c r="K39" s="653"/>
      <c r="L39" s="653"/>
      <c r="M39" s="653"/>
      <c r="N39" s="653"/>
      <c r="O39" s="653"/>
      <c r="P39" s="653">
        <f>HH.EE!I8</f>
        <v>1102.5</v>
      </c>
      <c r="Q39" s="653"/>
      <c r="R39" s="653"/>
      <c r="S39" s="653">
        <f t="shared" si="1"/>
        <v>2509.0603124999998</v>
      </c>
    </row>
    <row r="40" spans="2:19" s="648" customFormat="1" ht="14.25">
      <c r="B40" s="657"/>
      <c r="C40" s="657"/>
      <c r="D40" s="649"/>
      <c r="E40" s="649"/>
      <c r="F40" s="649"/>
      <c r="G40" s="649"/>
      <c r="H40" s="649"/>
      <c r="I40" s="649"/>
      <c r="J40" s="649"/>
      <c r="K40" s="653"/>
      <c r="L40" s="653"/>
      <c r="M40" s="653"/>
      <c r="N40" s="653"/>
      <c r="O40" s="653"/>
      <c r="P40" s="653"/>
      <c r="Q40" s="653"/>
      <c r="R40" s="653"/>
      <c r="S40" s="653"/>
    </row>
    <row r="41" spans="2:19" s="648" customFormat="1" ht="15" hidden="1">
      <c r="B41" s="840" t="s">
        <v>325</v>
      </c>
      <c r="C41" s="657"/>
      <c r="D41" s="649"/>
      <c r="E41" s="649"/>
      <c r="F41" s="649"/>
      <c r="G41" s="649"/>
      <c r="H41" s="649"/>
      <c r="I41" s="649"/>
      <c r="J41" s="649"/>
      <c r="K41" s="653"/>
      <c r="L41" s="653"/>
      <c r="M41" s="653"/>
      <c r="N41" s="653"/>
      <c r="O41" s="653"/>
      <c r="P41" s="653"/>
      <c r="Q41" s="653"/>
      <c r="R41" s="653"/>
      <c r="S41" s="653">
        <f t="shared" si="1"/>
        <v>0</v>
      </c>
    </row>
    <row r="42" spans="2:19" s="648" customFormat="1" ht="14.25" hidden="1">
      <c r="B42" s="657" t="s">
        <v>352</v>
      </c>
      <c r="C42" s="657"/>
      <c r="D42" s="649"/>
      <c r="E42" s="649"/>
      <c r="F42" s="649"/>
      <c r="G42" s="649"/>
      <c r="H42" s="649"/>
      <c r="I42" s="649"/>
      <c r="J42" s="649"/>
      <c r="K42" s="653"/>
      <c r="L42" s="653"/>
      <c r="M42" s="653"/>
      <c r="N42" s="653"/>
      <c r="O42" s="653"/>
      <c r="P42" s="653"/>
      <c r="Q42" s="653"/>
      <c r="R42" s="653"/>
      <c r="S42" s="653">
        <f t="shared" si="1"/>
        <v>0</v>
      </c>
    </row>
    <row r="43" spans="2:19" s="648" customFormat="1" ht="14.25" hidden="1">
      <c r="B43" s="657" t="s">
        <v>19</v>
      </c>
      <c r="C43" s="657"/>
      <c r="D43" s="649"/>
      <c r="E43" s="649"/>
      <c r="F43" s="649"/>
      <c r="G43" s="649"/>
      <c r="H43" s="649"/>
      <c r="I43" s="649"/>
      <c r="J43" s="649"/>
      <c r="K43" s="653"/>
      <c r="L43" s="653"/>
      <c r="M43" s="653"/>
      <c r="N43" s="653"/>
      <c r="O43" s="653"/>
      <c r="P43" s="653"/>
      <c r="Q43" s="653"/>
      <c r="R43" s="653"/>
      <c r="S43" s="653">
        <f t="shared" si="1"/>
        <v>0</v>
      </c>
    </row>
    <row r="44" spans="2:19" s="652" customFormat="1" ht="14.25" hidden="1">
      <c r="B44" s="657" t="s">
        <v>358</v>
      </c>
      <c r="C44" s="657"/>
      <c r="D44" s="649"/>
      <c r="E44" s="649"/>
      <c r="F44" s="649"/>
      <c r="G44" s="707"/>
      <c r="H44" s="649"/>
      <c r="I44" s="649"/>
      <c r="J44" s="649"/>
      <c r="K44" s="653"/>
      <c r="L44" s="653"/>
      <c r="M44" s="653"/>
      <c r="N44" s="653"/>
      <c r="O44" s="653"/>
      <c r="P44" s="653"/>
      <c r="Q44" s="653"/>
      <c r="R44" s="653"/>
      <c r="S44" s="653">
        <f t="shared" si="1"/>
        <v>0</v>
      </c>
    </row>
    <row r="45" spans="2:19" s="652" customFormat="1" ht="14.25" hidden="1">
      <c r="B45" s="657"/>
      <c r="C45" s="657"/>
      <c r="D45" s="649"/>
      <c r="E45" s="649"/>
      <c r="F45" s="649"/>
      <c r="G45" s="649"/>
      <c r="H45" s="649"/>
      <c r="I45" s="649"/>
      <c r="J45" s="649"/>
      <c r="K45" s="653"/>
      <c r="L45" s="653"/>
      <c r="M45" s="653"/>
      <c r="N45" s="653"/>
      <c r="O45" s="653"/>
      <c r="P45" s="653"/>
      <c r="Q45" s="653"/>
      <c r="R45" s="653"/>
      <c r="S45" s="653">
        <f t="shared" si="1"/>
        <v>0</v>
      </c>
    </row>
    <row r="46" spans="2:19" s="648" customFormat="1" ht="14.25" hidden="1">
      <c r="B46" s="657" t="s">
        <v>326</v>
      </c>
      <c r="C46" s="657"/>
      <c r="D46" s="649"/>
      <c r="E46" s="649"/>
      <c r="F46" s="649"/>
      <c r="G46" s="649"/>
      <c r="H46" s="649"/>
      <c r="I46" s="649"/>
      <c r="J46" s="649"/>
      <c r="K46" s="653"/>
      <c r="L46" s="653"/>
      <c r="M46" s="653"/>
      <c r="N46" s="653"/>
      <c r="O46" s="653"/>
      <c r="P46" s="653"/>
      <c r="Q46" s="653"/>
      <c r="R46" s="653"/>
      <c r="S46" s="653">
        <f t="shared" si="1"/>
        <v>0</v>
      </c>
    </row>
    <row r="47" spans="2:19" s="648" customFormat="1" ht="14.25" hidden="1">
      <c r="B47" s="657" t="s">
        <v>352</v>
      </c>
      <c r="C47" s="657"/>
      <c r="D47" s="649"/>
      <c r="E47" s="649"/>
      <c r="F47" s="649"/>
      <c r="G47" s="649"/>
      <c r="H47" s="649"/>
      <c r="I47" s="649"/>
      <c r="J47" s="649"/>
      <c r="K47" s="653"/>
      <c r="L47" s="653"/>
      <c r="M47" s="653"/>
      <c r="N47" s="653"/>
      <c r="O47" s="653"/>
      <c r="P47" s="653"/>
      <c r="Q47" s="653"/>
      <c r="R47" s="653"/>
      <c r="S47" s="653">
        <f t="shared" si="1"/>
        <v>0</v>
      </c>
    </row>
    <row r="48" spans="2:19" s="648" customFormat="1" ht="14.25" hidden="1">
      <c r="B48" s="657" t="s">
        <v>19</v>
      </c>
      <c r="C48" s="657"/>
      <c r="D48" s="649"/>
      <c r="E48" s="649"/>
      <c r="F48" s="649"/>
      <c r="G48" s="649"/>
      <c r="H48" s="649"/>
      <c r="I48" s="649"/>
      <c r="J48" s="649"/>
      <c r="K48" s="653"/>
      <c r="L48" s="653"/>
      <c r="M48" s="653"/>
      <c r="N48" s="653"/>
      <c r="O48" s="653"/>
      <c r="P48" s="653"/>
      <c r="Q48" s="653"/>
      <c r="R48" s="653"/>
      <c r="S48" s="653">
        <f t="shared" si="1"/>
        <v>0</v>
      </c>
    </row>
    <row r="49" spans="2:19" s="648" customFormat="1" ht="14.25" hidden="1">
      <c r="B49" s="657"/>
      <c r="C49" s="657"/>
      <c r="D49" s="649"/>
      <c r="E49" s="649"/>
      <c r="F49" s="649"/>
      <c r="G49" s="649"/>
      <c r="H49" s="649"/>
      <c r="I49" s="649"/>
      <c r="J49" s="649"/>
      <c r="K49" s="653"/>
      <c r="L49" s="653"/>
      <c r="M49" s="653"/>
      <c r="N49" s="653"/>
      <c r="O49" s="653"/>
      <c r="P49" s="653"/>
      <c r="Q49" s="653"/>
      <c r="R49" s="653"/>
      <c r="S49" s="653">
        <f t="shared" si="1"/>
        <v>0</v>
      </c>
    </row>
    <row r="50" spans="2:19" s="648" customFormat="1" ht="14.25" hidden="1">
      <c r="B50" s="657" t="s">
        <v>359</v>
      </c>
      <c r="C50" s="657"/>
      <c r="D50" s="649"/>
      <c r="E50" s="649"/>
      <c r="F50" s="649"/>
      <c r="G50" s="649"/>
      <c r="H50" s="649"/>
      <c r="I50" s="649"/>
      <c r="J50" s="649"/>
      <c r="K50" s="653"/>
      <c r="L50" s="653"/>
      <c r="M50" s="653"/>
      <c r="N50" s="653"/>
      <c r="O50" s="653"/>
      <c r="P50" s="653"/>
      <c r="Q50" s="653"/>
      <c r="R50" s="653"/>
      <c r="S50" s="653">
        <f t="shared" si="1"/>
        <v>0</v>
      </c>
    </row>
    <row r="51" spans="2:19" s="648" customFormat="1" ht="14.25" hidden="1">
      <c r="B51" s="657" t="s">
        <v>352</v>
      </c>
      <c r="C51" s="657"/>
      <c r="D51" s="649"/>
      <c r="E51" s="649"/>
      <c r="F51" s="649"/>
      <c r="G51" s="649"/>
      <c r="H51" s="649"/>
      <c r="I51" s="649"/>
      <c r="J51" s="649"/>
      <c r="K51" s="653"/>
      <c r="L51" s="653"/>
      <c r="M51" s="653"/>
      <c r="N51" s="653"/>
      <c r="O51" s="653"/>
      <c r="P51" s="653"/>
      <c r="Q51" s="653"/>
      <c r="R51" s="653"/>
      <c r="S51" s="653">
        <f t="shared" si="1"/>
        <v>0</v>
      </c>
    </row>
    <row r="52" spans="2:19" s="648" customFormat="1" ht="14.25" hidden="1">
      <c r="B52" s="657" t="s">
        <v>19</v>
      </c>
      <c r="C52" s="657"/>
      <c r="D52" s="649"/>
      <c r="E52" s="649"/>
      <c r="F52" s="649"/>
      <c r="G52" s="649"/>
      <c r="H52" s="649"/>
      <c r="I52" s="649"/>
      <c r="J52" s="649"/>
      <c r="K52" s="653"/>
      <c r="L52" s="653"/>
      <c r="M52" s="653"/>
      <c r="N52" s="653"/>
      <c r="O52" s="653"/>
      <c r="P52" s="653"/>
      <c r="Q52" s="653"/>
      <c r="R52" s="653"/>
      <c r="S52" s="653">
        <f t="shared" si="1"/>
        <v>0</v>
      </c>
    </row>
    <row r="53" spans="2:19" s="648" customFormat="1" ht="14.25" hidden="1">
      <c r="B53" s="657" t="s">
        <v>141</v>
      </c>
      <c r="C53" s="657"/>
      <c r="D53" s="649"/>
      <c r="E53" s="649"/>
      <c r="F53" s="707"/>
      <c r="G53" s="649"/>
      <c r="H53" s="649"/>
      <c r="I53" s="649"/>
      <c r="J53" s="649"/>
      <c r="K53" s="653"/>
      <c r="L53" s="653"/>
      <c r="M53" s="653"/>
      <c r="N53" s="653"/>
      <c r="O53" s="653"/>
      <c r="P53" s="653"/>
      <c r="Q53" s="653"/>
      <c r="R53" s="653"/>
      <c r="S53" s="653">
        <f t="shared" si="1"/>
        <v>0</v>
      </c>
    </row>
    <row r="54" spans="2:19" s="648" customFormat="1" ht="14.25" hidden="1">
      <c r="B54" s="657" t="s">
        <v>415</v>
      </c>
      <c r="C54" s="657"/>
      <c r="D54" s="649"/>
      <c r="E54" s="649"/>
      <c r="F54" s="649"/>
      <c r="G54" s="649"/>
      <c r="H54" s="649"/>
      <c r="I54" s="649"/>
      <c r="J54" s="649"/>
      <c r="K54" s="653"/>
      <c r="L54" s="653"/>
      <c r="M54" s="653"/>
      <c r="N54" s="653"/>
      <c r="O54" s="653"/>
      <c r="P54" s="653"/>
      <c r="Q54" s="653"/>
      <c r="R54" s="653"/>
      <c r="S54" s="653">
        <f t="shared" si="1"/>
        <v>0</v>
      </c>
    </row>
    <row r="55" spans="2:19" s="648" customFormat="1" ht="14.25" hidden="1">
      <c r="B55" s="657"/>
      <c r="C55" s="657"/>
      <c r="D55" s="649"/>
      <c r="E55" s="649"/>
      <c r="F55" s="649"/>
      <c r="G55" s="649"/>
      <c r="H55" s="649"/>
      <c r="I55" s="649"/>
      <c r="J55" s="649"/>
      <c r="K55" s="653"/>
      <c r="L55" s="653"/>
      <c r="M55" s="653"/>
      <c r="N55" s="653"/>
      <c r="O55" s="653"/>
      <c r="P55" s="653"/>
      <c r="Q55" s="653"/>
      <c r="R55" s="653"/>
      <c r="S55" s="653">
        <f t="shared" si="1"/>
        <v>0</v>
      </c>
    </row>
    <row r="56" spans="2:19" s="648" customFormat="1" ht="14.25" hidden="1">
      <c r="B56" s="657" t="s">
        <v>328</v>
      </c>
      <c r="C56" s="657"/>
      <c r="D56" s="649"/>
      <c r="E56" s="649"/>
      <c r="F56" s="649"/>
      <c r="G56" s="649"/>
      <c r="H56" s="649"/>
      <c r="I56" s="649"/>
      <c r="J56" s="649"/>
      <c r="K56" s="653"/>
      <c r="L56" s="653"/>
      <c r="M56" s="653"/>
      <c r="N56" s="653"/>
      <c r="O56" s="653"/>
      <c r="P56" s="653"/>
      <c r="Q56" s="653"/>
      <c r="R56" s="653"/>
      <c r="S56" s="653">
        <f t="shared" si="1"/>
        <v>0</v>
      </c>
    </row>
    <row r="57" spans="2:19" s="648" customFormat="1" ht="14.25" hidden="1">
      <c r="B57" s="657" t="s">
        <v>352</v>
      </c>
      <c r="C57" s="657"/>
      <c r="D57" s="649"/>
      <c r="E57" s="649"/>
      <c r="F57" s="649"/>
      <c r="G57" s="649"/>
      <c r="H57" s="649"/>
      <c r="I57" s="649"/>
      <c r="J57" s="649"/>
      <c r="K57" s="653"/>
      <c r="L57" s="653"/>
      <c r="M57" s="653"/>
      <c r="N57" s="653"/>
      <c r="O57" s="653"/>
      <c r="P57" s="653"/>
      <c r="Q57" s="653"/>
      <c r="R57" s="653"/>
      <c r="S57" s="653">
        <f t="shared" si="1"/>
        <v>0</v>
      </c>
    </row>
    <row r="58" spans="2:19" s="648" customFormat="1" ht="14.25" hidden="1">
      <c r="B58" s="657" t="s">
        <v>19</v>
      </c>
      <c r="C58" s="657"/>
      <c r="D58" s="649"/>
      <c r="E58" s="649"/>
      <c r="F58" s="649"/>
      <c r="G58" s="649"/>
      <c r="H58" s="649"/>
      <c r="I58" s="649"/>
      <c r="J58" s="649"/>
      <c r="K58" s="653"/>
      <c r="L58" s="653"/>
      <c r="M58" s="653"/>
      <c r="N58" s="653"/>
      <c r="O58" s="653"/>
      <c r="P58" s="653"/>
      <c r="Q58" s="653"/>
      <c r="R58" s="653"/>
      <c r="S58" s="653">
        <f t="shared" si="1"/>
        <v>0</v>
      </c>
    </row>
    <row r="59" spans="2:19" s="648" customFormat="1" ht="14.25" hidden="1">
      <c r="B59" s="657" t="s">
        <v>141</v>
      </c>
      <c r="C59" s="657"/>
      <c r="D59" s="649"/>
      <c r="E59" s="649"/>
      <c r="F59" s="707"/>
      <c r="G59" s="649"/>
      <c r="H59" s="649"/>
      <c r="I59" s="649"/>
      <c r="J59" s="649"/>
      <c r="K59" s="653"/>
      <c r="L59" s="653"/>
      <c r="M59" s="653"/>
      <c r="N59" s="653"/>
      <c r="O59" s="653"/>
      <c r="P59" s="653"/>
      <c r="Q59" s="653"/>
      <c r="R59" s="653"/>
      <c r="S59" s="653">
        <f t="shared" si="1"/>
        <v>0</v>
      </c>
    </row>
    <row r="60" spans="2:19" s="648" customFormat="1" ht="14.25" hidden="1">
      <c r="B60" s="657"/>
      <c r="C60" s="657"/>
      <c r="D60" s="649"/>
      <c r="E60" s="649"/>
      <c r="F60" s="649"/>
      <c r="G60" s="649"/>
      <c r="H60" s="649"/>
      <c r="I60" s="649"/>
      <c r="J60" s="649"/>
      <c r="K60" s="653"/>
      <c r="L60" s="653"/>
      <c r="M60" s="653"/>
      <c r="N60" s="653"/>
      <c r="O60" s="653"/>
      <c r="P60" s="653"/>
      <c r="Q60" s="653"/>
      <c r="R60" s="653"/>
      <c r="S60" s="653">
        <f t="shared" si="1"/>
        <v>0</v>
      </c>
    </row>
    <row r="61" spans="2:19" s="648" customFormat="1" ht="14.25" hidden="1">
      <c r="B61" s="657" t="s">
        <v>329</v>
      </c>
      <c r="C61" s="657"/>
      <c r="D61" s="649"/>
      <c r="E61" s="649"/>
      <c r="F61" s="649"/>
      <c r="G61" s="649"/>
      <c r="H61" s="649"/>
      <c r="I61" s="649"/>
      <c r="J61" s="649"/>
      <c r="K61" s="653"/>
      <c r="L61" s="653"/>
      <c r="M61" s="653"/>
      <c r="N61" s="653"/>
      <c r="O61" s="653"/>
      <c r="P61" s="653"/>
      <c r="Q61" s="653"/>
      <c r="R61" s="653"/>
      <c r="S61" s="653">
        <f t="shared" si="1"/>
        <v>0</v>
      </c>
    </row>
    <row r="62" spans="2:19" s="648" customFormat="1" ht="14.25" hidden="1">
      <c r="B62" s="657" t="s">
        <v>352</v>
      </c>
      <c r="C62" s="657"/>
      <c r="D62" s="649"/>
      <c r="E62" s="649"/>
      <c r="F62" s="649"/>
      <c r="G62" s="649"/>
      <c r="H62" s="649"/>
      <c r="I62" s="649"/>
      <c r="J62" s="649"/>
      <c r="K62" s="653"/>
      <c r="L62" s="653"/>
      <c r="M62" s="653"/>
      <c r="N62" s="653"/>
      <c r="O62" s="653"/>
      <c r="P62" s="653"/>
      <c r="Q62" s="653"/>
      <c r="R62" s="653"/>
      <c r="S62" s="653">
        <f t="shared" si="1"/>
        <v>0</v>
      </c>
    </row>
    <row r="63" spans="2:19" s="648" customFormat="1" ht="14.25" hidden="1">
      <c r="B63" s="657" t="s">
        <v>19</v>
      </c>
      <c r="C63" s="657"/>
      <c r="D63" s="649"/>
      <c r="E63" s="649"/>
      <c r="F63" s="649"/>
      <c r="G63" s="649"/>
      <c r="H63" s="649"/>
      <c r="I63" s="649"/>
      <c r="J63" s="649"/>
      <c r="K63" s="653"/>
      <c r="L63" s="653"/>
      <c r="M63" s="653"/>
      <c r="N63" s="653"/>
      <c r="O63" s="653"/>
      <c r="P63" s="649"/>
      <c r="Q63" s="653"/>
      <c r="R63" s="653"/>
      <c r="S63" s="653">
        <f t="shared" si="1"/>
        <v>0</v>
      </c>
    </row>
    <row r="64" spans="2:19" s="648" customFormat="1" ht="14.25" hidden="1">
      <c r="B64" s="657" t="s">
        <v>141</v>
      </c>
      <c r="C64" s="657"/>
      <c r="D64" s="649"/>
      <c r="E64" s="649"/>
      <c r="F64" s="707"/>
      <c r="G64" s="649"/>
      <c r="H64" s="649"/>
      <c r="I64" s="649"/>
      <c r="J64" s="649"/>
      <c r="K64" s="653"/>
      <c r="L64" s="653"/>
      <c r="M64" s="653"/>
      <c r="N64" s="653"/>
      <c r="O64" s="653"/>
      <c r="P64" s="653"/>
      <c r="Q64" s="653"/>
      <c r="R64" s="653"/>
      <c r="S64" s="653">
        <f t="shared" si="1"/>
        <v>0</v>
      </c>
    </row>
    <row r="65" spans="2:29" s="648" customFormat="1" ht="14.25" hidden="1">
      <c r="B65" s="657" t="s">
        <v>308</v>
      </c>
      <c r="C65" s="657"/>
      <c r="D65" s="649"/>
      <c r="E65" s="649"/>
      <c r="F65" s="649"/>
      <c r="G65" s="649"/>
      <c r="H65" s="649"/>
      <c r="I65" s="649"/>
      <c r="J65" s="653"/>
      <c r="K65" s="653"/>
      <c r="L65" s="653"/>
      <c r="M65" s="653"/>
      <c r="N65" s="653"/>
      <c r="O65" s="653"/>
      <c r="P65" s="653"/>
      <c r="Q65" s="653"/>
      <c r="R65" s="653"/>
      <c r="S65" s="653">
        <f t="shared" si="1"/>
        <v>0</v>
      </c>
    </row>
    <row r="66" spans="2:29" s="648" customFormat="1" ht="14.25" hidden="1">
      <c r="B66" s="657"/>
      <c r="C66" s="657"/>
      <c r="D66" s="649"/>
      <c r="E66" s="649"/>
      <c r="F66" s="649"/>
      <c r="G66" s="649"/>
      <c r="H66" s="649"/>
      <c r="I66" s="649"/>
      <c r="J66" s="649"/>
      <c r="K66" s="653"/>
      <c r="L66" s="653"/>
      <c r="M66" s="653"/>
      <c r="N66" s="653"/>
      <c r="O66" s="653"/>
      <c r="P66" s="653"/>
      <c r="Q66" s="653"/>
      <c r="R66" s="653"/>
      <c r="S66" s="653">
        <f t="shared" si="1"/>
        <v>0</v>
      </c>
    </row>
    <row r="67" spans="2:29" s="648" customFormat="1" ht="14.25" hidden="1">
      <c r="B67" s="657" t="s">
        <v>330</v>
      </c>
      <c r="C67" s="657"/>
      <c r="D67" s="649"/>
      <c r="E67" s="649"/>
      <c r="F67" s="707"/>
      <c r="G67" s="649"/>
      <c r="H67" s="649"/>
      <c r="I67" s="649"/>
      <c r="J67" s="649"/>
      <c r="K67" s="653"/>
      <c r="L67" s="653"/>
      <c r="M67" s="653"/>
      <c r="N67" s="653"/>
      <c r="O67" s="653"/>
      <c r="P67" s="653"/>
      <c r="Q67" s="653"/>
      <c r="R67" s="653"/>
      <c r="S67" s="653">
        <f t="shared" si="1"/>
        <v>0</v>
      </c>
    </row>
    <row r="68" spans="2:29" s="648" customFormat="1" ht="14.25" hidden="1">
      <c r="B68" s="657" t="s">
        <v>352</v>
      </c>
      <c r="C68" s="657"/>
      <c r="D68" s="649"/>
      <c r="E68" s="649"/>
      <c r="F68" s="649"/>
      <c r="G68" s="649"/>
      <c r="H68" s="649"/>
      <c r="I68" s="649"/>
      <c r="J68" s="649"/>
      <c r="K68" s="653"/>
      <c r="L68" s="653"/>
      <c r="M68" s="653"/>
      <c r="N68" s="653"/>
      <c r="O68" s="653"/>
      <c r="P68" s="653"/>
      <c r="Q68" s="653"/>
      <c r="R68" s="653"/>
      <c r="S68" s="653">
        <f t="shared" si="1"/>
        <v>0</v>
      </c>
    </row>
    <row r="69" spans="2:29" s="648" customFormat="1" ht="14.25" hidden="1">
      <c r="B69" s="657" t="s">
        <v>361</v>
      </c>
      <c r="C69" s="657"/>
      <c r="D69" s="649"/>
      <c r="E69" s="649"/>
      <c r="F69" s="649"/>
      <c r="G69" s="649"/>
      <c r="H69" s="649"/>
      <c r="I69" s="649"/>
      <c r="J69" s="649"/>
      <c r="K69" s="653"/>
      <c r="L69" s="653"/>
      <c r="M69" s="653"/>
      <c r="N69" s="653"/>
      <c r="O69" s="653"/>
      <c r="P69" s="653"/>
      <c r="Q69" s="653"/>
      <c r="R69" s="653"/>
      <c r="S69" s="653">
        <f t="shared" si="1"/>
        <v>0</v>
      </c>
    </row>
    <row r="70" spans="2:29" s="648" customFormat="1" ht="14.25" hidden="1">
      <c r="B70" s="657" t="s">
        <v>308</v>
      </c>
      <c r="C70" s="657"/>
      <c r="D70" s="649"/>
      <c r="E70" s="649"/>
      <c r="F70" s="649"/>
      <c r="G70" s="649"/>
      <c r="H70" s="649"/>
      <c r="I70" s="649"/>
      <c r="J70" s="649"/>
      <c r="K70" s="653"/>
      <c r="L70" s="653"/>
      <c r="M70" s="653"/>
      <c r="N70" s="653"/>
      <c r="O70" s="653"/>
      <c r="P70" s="653"/>
      <c r="Q70" s="653"/>
      <c r="R70" s="653"/>
      <c r="S70" s="653">
        <f t="shared" si="1"/>
        <v>0</v>
      </c>
    </row>
    <row r="71" spans="2:29" s="648" customFormat="1" ht="14.25" hidden="1">
      <c r="B71" s="657" t="s">
        <v>141</v>
      </c>
      <c r="C71" s="657"/>
      <c r="D71" s="649"/>
      <c r="E71" s="649"/>
      <c r="F71" s="649"/>
      <c r="G71" s="649"/>
      <c r="H71" s="649"/>
      <c r="I71" s="649"/>
      <c r="J71" s="649"/>
      <c r="K71" s="653"/>
      <c r="L71" s="653"/>
      <c r="M71" s="653"/>
      <c r="N71" s="653"/>
      <c r="O71" s="653"/>
      <c r="P71" s="653"/>
      <c r="Q71" s="653"/>
      <c r="R71" s="653"/>
      <c r="S71" s="653">
        <f t="shared" si="1"/>
        <v>0</v>
      </c>
    </row>
    <row r="72" spans="2:29" s="648" customFormat="1" ht="14.25" hidden="1">
      <c r="B72" s="657" t="s">
        <v>19</v>
      </c>
      <c r="C72" s="657"/>
      <c r="D72" s="649"/>
      <c r="E72" s="649"/>
      <c r="F72" s="649"/>
      <c r="G72" s="649"/>
      <c r="H72" s="649"/>
      <c r="I72" s="649"/>
      <c r="J72" s="649"/>
      <c r="K72" s="653"/>
      <c r="L72" s="653"/>
      <c r="M72" s="653"/>
      <c r="N72" s="653"/>
      <c r="O72" s="653"/>
      <c r="P72" s="653"/>
      <c r="Q72" s="653"/>
      <c r="R72" s="653"/>
      <c r="S72" s="653">
        <f t="shared" si="1"/>
        <v>0</v>
      </c>
      <c r="Y72" s="648" t="s">
        <v>416</v>
      </c>
    </row>
    <row r="73" spans="2:29" s="648" customFormat="1" ht="14.25" hidden="1">
      <c r="B73" s="657" t="s">
        <v>417</v>
      </c>
      <c r="C73" s="657"/>
      <c r="D73" s="649"/>
      <c r="E73" s="649"/>
      <c r="F73" s="649"/>
      <c r="G73" s="649"/>
      <c r="H73" s="649"/>
      <c r="I73" s="649"/>
      <c r="J73" s="649"/>
      <c r="K73" s="649"/>
      <c r="L73" s="649"/>
      <c r="M73" s="649"/>
      <c r="N73" s="649"/>
      <c r="O73" s="649"/>
      <c r="P73" s="649"/>
      <c r="Q73" s="653"/>
      <c r="R73" s="653"/>
      <c r="S73" s="653">
        <f t="shared" si="1"/>
        <v>0</v>
      </c>
    </row>
    <row r="74" spans="2:29" s="652" customFormat="1" ht="14.25" hidden="1">
      <c r="B74" s="657"/>
      <c r="C74" s="657"/>
      <c r="D74" s="649"/>
      <c r="E74" s="649"/>
      <c r="F74" s="649"/>
      <c r="G74" s="649"/>
      <c r="H74" s="649"/>
      <c r="I74" s="649"/>
      <c r="J74" s="649"/>
      <c r="K74" s="653"/>
      <c r="L74" s="653"/>
      <c r="M74" s="653"/>
      <c r="N74" s="653"/>
      <c r="O74" s="653"/>
      <c r="P74" s="653"/>
      <c r="Q74" s="653"/>
      <c r="R74" s="653"/>
      <c r="S74" s="653">
        <f t="shared" si="1"/>
        <v>0</v>
      </c>
      <c r="X74" s="648"/>
      <c r="Y74" s="648" t="s">
        <v>418</v>
      </c>
      <c r="Z74" s="650">
        <f>+(1130+113)*12</f>
        <v>14916</v>
      </c>
      <c r="AA74" s="648" t="s">
        <v>419</v>
      </c>
      <c r="AB74" s="648"/>
      <c r="AC74" s="648"/>
    </row>
    <row r="75" spans="2:29" s="652" customFormat="1" ht="14.25" hidden="1">
      <c r="B75" s="657" t="s">
        <v>420</v>
      </c>
      <c r="C75" s="657"/>
      <c r="D75" s="649"/>
      <c r="E75" s="649"/>
      <c r="F75" s="649"/>
      <c r="G75" s="707"/>
      <c r="H75" s="649"/>
      <c r="I75" s="649"/>
      <c r="J75" s="649"/>
      <c r="K75" s="653"/>
      <c r="L75" s="653"/>
      <c r="M75" s="653"/>
      <c r="N75" s="653"/>
      <c r="O75" s="653"/>
      <c r="P75" s="653"/>
      <c r="Q75" s="653"/>
      <c r="R75" s="653"/>
      <c r="S75" s="653">
        <f t="shared" si="1"/>
        <v>0</v>
      </c>
      <c r="X75" s="648"/>
      <c r="Y75" s="648"/>
      <c r="Z75" s="650">
        <f>+(1243*1.09)*2</f>
        <v>2709.7400000000002</v>
      </c>
      <c r="AA75" s="648" t="s">
        <v>421</v>
      </c>
      <c r="AB75" s="648"/>
      <c r="AC75" s="648"/>
    </row>
    <row r="76" spans="2:29" s="721" customFormat="1" ht="15" hidden="1" thickBot="1">
      <c r="B76" s="657"/>
      <c r="C76" s="657"/>
      <c r="D76" s="649"/>
      <c r="E76" s="649"/>
      <c r="F76" s="649"/>
      <c r="G76" s="652"/>
      <c r="H76" s="649"/>
      <c r="I76" s="649"/>
      <c r="J76" s="649"/>
      <c r="K76" s="649"/>
      <c r="L76" s="649"/>
      <c r="M76" s="649"/>
      <c r="N76" s="649"/>
      <c r="O76" s="649"/>
      <c r="P76" s="649"/>
      <c r="Q76" s="653"/>
      <c r="R76" s="653"/>
      <c r="S76" s="653">
        <f t="shared" si="1"/>
        <v>0</v>
      </c>
      <c r="T76" s="652"/>
      <c r="U76" s="652"/>
      <c r="V76" s="652"/>
      <c r="W76" s="652"/>
      <c r="X76" s="648"/>
      <c r="Y76" s="648"/>
      <c r="Z76" s="1066">
        <f>SUM(Z74:Z75)</f>
        <v>17625.740000000002</v>
      </c>
      <c r="AA76" s="664"/>
      <c r="AB76" s="664"/>
      <c r="AC76" s="664"/>
    </row>
    <row r="77" spans="2:29" s="648" customFormat="1" ht="15">
      <c r="B77" s="840" t="s">
        <v>325</v>
      </c>
      <c r="C77" s="657"/>
      <c r="D77" s="649"/>
      <c r="E77" s="649"/>
      <c r="F77" s="649"/>
      <c r="G77" s="649"/>
      <c r="H77" s="649"/>
      <c r="I77" s="649"/>
      <c r="J77" s="649"/>
      <c r="K77" s="653"/>
      <c r="L77" s="653"/>
      <c r="M77" s="653"/>
      <c r="N77" s="653"/>
      <c r="O77" s="653"/>
      <c r="P77" s="653"/>
      <c r="Q77" s="653"/>
      <c r="R77" s="653"/>
      <c r="S77" s="653">
        <f>SUM(D77:R77)</f>
        <v>0</v>
      </c>
      <c r="Z77" s="650"/>
    </row>
    <row r="78" spans="2:29" s="648" customFormat="1" ht="14.25">
      <c r="B78" s="657" t="s">
        <v>352</v>
      </c>
      <c r="C78" s="657"/>
      <c r="D78" s="649">
        <v>6613</v>
      </c>
      <c r="E78" s="649">
        <v>4113</v>
      </c>
      <c r="F78" s="649">
        <v>3600</v>
      </c>
      <c r="G78" s="649">
        <v>6613</v>
      </c>
      <c r="H78" s="649">
        <v>4113</v>
      </c>
      <c r="I78" s="649">
        <v>2600</v>
      </c>
      <c r="J78" s="649">
        <v>3000</v>
      </c>
      <c r="K78" s="653"/>
      <c r="L78" s="653"/>
      <c r="M78" s="653">
        <v>3200</v>
      </c>
      <c r="N78" s="653">
        <v>2800</v>
      </c>
      <c r="O78" s="653">
        <v>2800</v>
      </c>
      <c r="P78" s="653">
        <v>2800</v>
      </c>
      <c r="Q78" s="653">
        <v>2913</v>
      </c>
      <c r="R78" s="653">
        <v>2800</v>
      </c>
      <c r="S78" s="653">
        <f t="shared" ref="S78" si="3">SUM(D78:P78)</f>
        <v>42252</v>
      </c>
      <c r="Y78" s="648" t="s">
        <v>304</v>
      </c>
      <c r="Z78" s="650">
        <f>+(3113*12)</f>
        <v>37356</v>
      </c>
      <c r="AA78" s="648" t="s">
        <v>419</v>
      </c>
    </row>
    <row r="79" spans="2:29" s="648" customFormat="1" ht="14.25">
      <c r="B79" s="657" t="s">
        <v>141</v>
      </c>
      <c r="C79" s="657"/>
      <c r="D79" s="649"/>
      <c r="E79" s="649"/>
      <c r="F79" s="649">
        <v>640</v>
      </c>
      <c r="G79" s="649"/>
      <c r="H79" s="649"/>
      <c r="I79" s="649"/>
      <c r="J79" s="649"/>
      <c r="K79" s="649"/>
      <c r="L79" s="653"/>
      <c r="M79" s="653"/>
      <c r="N79" s="653"/>
      <c r="O79" s="653">
        <v>800</v>
      </c>
      <c r="P79" s="653"/>
      <c r="Q79" s="653"/>
      <c r="R79" s="653"/>
      <c r="S79" s="653"/>
      <c r="Z79" s="650">
        <f>+(3113*1.09)*2</f>
        <v>6786.34</v>
      </c>
      <c r="AA79" s="648" t="s">
        <v>421</v>
      </c>
    </row>
    <row r="80" spans="2:29" s="648" customFormat="1" ht="15" thickBot="1">
      <c r="B80" s="657" t="s">
        <v>19</v>
      </c>
      <c r="C80" s="657"/>
      <c r="D80" s="649">
        <v>100</v>
      </c>
      <c r="E80" s="649">
        <v>100</v>
      </c>
      <c r="F80" s="649">
        <f>'PLANILLA MENSUAL'!Z16</f>
        <v>73.91304347826086</v>
      </c>
      <c r="G80" s="649"/>
      <c r="H80" s="655">
        <v>100</v>
      </c>
      <c r="I80" s="649"/>
      <c r="J80" s="649">
        <v>100</v>
      </c>
      <c r="K80" s="649"/>
      <c r="L80" s="653"/>
      <c r="M80" s="653"/>
      <c r="N80" s="653"/>
      <c r="O80" s="653"/>
      <c r="P80" s="653"/>
      <c r="Q80" s="653"/>
      <c r="R80" s="653"/>
      <c r="S80" s="653">
        <f t="shared" ref="S80:S81" si="4">SUM(D80:P80)</f>
        <v>473.91304347826087</v>
      </c>
      <c r="Z80" s="1066">
        <f>SUM(Z78:Z79)</f>
        <v>44142.34</v>
      </c>
    </row>
    <row r="81" spans="2:26" s="648" customFormat="1" ht="15" thickTop="1">
      <c r="B81" s="657" t="s">
        <v>308</v>
      </c>
      <c r="C81" s="657"/>
      <c r="D81" s="649"/>
      <c r="E81" s="649"/>
      <c r="F81" s="649">
        <v>240</v>
      </c>
      <c r="G81" s="649"/>
      <c r="H81" s="649">
        <f>HH.EE!I45</f>
        <v>0</v>
      </c>
      <c r="I81" s="649"/>
      <c r="J81" s="649"/>
      <c r="K81" s="653"/>
      <c r="L81" s="653"/>
      <c r="M81" s="653"/>
      <c r="N81" s="653"/>
      <c r="O81" s="653"/>
      <c r="P81" s="653">
        <f>HH.EE!I50</f>
        <v>0</v>
      </c>
      <c r="Q81" s="653"/>
      <c r="R81" s="653"/>
      <c r="S81" s="653">
        <f t="shared" si="4"/>
        <v>240</v>
      </c>
    </row>
    <row r="82" spans="2:26" s="664" customFormat="1" ht="15" thickBot="1">
      <c r="B82" s="661"/>
      <c r="C82" s="661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5"/>
      <c r="P82" s="655"/>
      <c r="Q82" s="654"/>
      <c r="R82" s="654"/>
      <c r="S82" s="654">
        <f t="shared" ref="S82:S87" si="5">SUM(D82:P82)</f>
        <v>0</v>
      </c>
      <c r="T82" s="648"/>
      <c r="U82" s="648"/>
      <c r="V82" s="648"/>
      <c r="W82" s="648"/>
      <c r="X82" s="648"/>
      <c r="Y82" s="648"/>
      <c r="Z82" s="1065">
        <f>+Z80+Z76</f>
        <v>61768.08</v>
      </c>
    </row>
    <row r="83" spans="2:26" s="648" customFormat="1" ht="15" thickTop="1">
      <c r="B83" s="657"/>
      <c r="C83" s="657"/>
      <c r="D83" s="649"/>
      <c r="E83" s="649"/>
      <c r="F83" s="649"/>
      <c r="G83" s="649"/>
      <c r="H83" s="649"/>
      <c r="I83" s="649"/>
      <c r="J83" s="649"/>
      <c r="K83" s="649"/>
      <c r="L83" s="649"/>
      <c r="M83" s="649"/>
      <c r="N83" s="649"/>
      <c r="O83" s="649"/>
      <c r="P83" s="649"/>
      <c r="Q83" s="653"/>
      <c r="R83" s="653"/>
      <c r="S83" s="653">
        <f t="shared" si="5"/>
        <v>0</v>
      </c>
    </row>
    <row r="84" spans="2:26" s="648" customFormat="1" ht="14.25">
      <c r="B84" s="657"/>
      <c r="C84" s="657"/>
      <c r="D84" s="649"/>
      <c r="E84" s="649"/>
      <c r="F84" s="649"/>
      <c r="H84" s="707"/>
      <c r="I84" s="707"/>
      <c r="J84" s="707"/>
      <c r="K84" s="707"/>
      <c r="L84" s="707"/>
      <c r="M84" s="707"/>
      <c r="N84" s="707"/>
      <c r="O84" s="707"/>
      <c r="P84" s="707"/>
      <c r="Q84" s="737"/>
      <c r="R84" s="737"/>
      <c r="S84" s="653">
        <f t="shared" si="5"/>
        <v>0</v>
      </c>
    </row>
    <row r="85" spans="2:26" s="648" customFormat="1" ht="14.25">
      <c r="B85" s="657"/>
      <c r="C85" s="657"/>
      <c r="D85" s="649"/>
      <c r="E85" s="649"/>
      <c r="F85" s="649"/>
      <c r="G85" s="649"/>
      <c r="H85" s="649"/>
      <c r="I85" s="649"/>
      <c r="J85" s="649"/>
      <c r="K85" s="649"/>
      <c r="L85" s="649"/>
      <c r="M85" s="649"/>
      <c r="N85" s="649"/>
      <c r="O85" s="649"/>
      <c r="P85" s="649"/>
      <c r="Q85" s="653"/>
      <c r="R85" s="653"/>
      <c r="S85" s="653">
        <f t="shared" si="5"/>
        <v>0</v>
      </c>
    </row>
    <row r="86" spans="2:26" s="648" customFormat="1" ht="14.25">
      <c r="B86" s="657"/>
      <c r="C86" s="657"/>
      <c r="D86" s="649"/>
      <c r="E86" s="655"/>
      <c r="F86" s="655"/>
      <c r="G86" s="655"/>
      <c r="H86" s="655"/>
      <c r="I86" s="649"/>
      <c r="J86" s="649"/>
      <c r="K86" s="649"/>
      <c r="L86" s="649"/>
      <c r="M86" s="649"/>
      <c r="N86" s="649"/>
      <c r="O86" s="649"/>
      <c r="P86" s="649"/>
      <c r="Q86" s="653"/>
      <c r="R86" s="653"/>
      <c r="S86" s="653">
        <f t="shared" si="5"/>
        <v>0</v>
      </c>
    </row>
    <row r="87" spans="2:26" s="648" customFormat="1" ht="15" thickBot="1">
      <c r="B87" s="646"/>
      <c r="C87" s="722"/>
      <c r="D87" s="723"/>
      <c r="E87" s="724"/>
      <c r="F87" s="724"/>
      <c r="G87" s="724"/>
      <c r="H87" s="724"/>
      <c r="I87" s="723"/>
      <c r="J87" s="723"/>
      <c r="K87" s="723"/>
      <c r="L87" s="723"/>
      <c r="M87" s="723"/>
      <c r="N87" s="723"/>
      <c r="O87" s="723"/>
      <c r="P87" s="723"/>
      <c r="Q87" s="647"/>
      <c r="R87" s="647"/>
      <c r="S87" s="653">
        <f t="shared" si="5"/>
        <v>0</v>
      </c>
    </row>
    <row r="88" spans="2:26" s="648" customFormat="1" ht="15.75" thickBot="1">
      <c r="B88" s="657" t="s">
        <v>367</v>
      </c>
      <c r="C88" s="725"/>
      <c r="D88" s="658">
        <f>+(6113*4)+(6613*8)+7208.17+7208.17+D9+D15+D20+D21+D27+D32+D38+D80</f>
        <v>92830.108095238087</v>
      </c>
      <c r="E88" s="658">
        <f>+(4113*12)+4483.17+4483.17+E10+E15+E8+E9+E20+E27+E32+E38+E80</f>
        <v>59234.011101190466</v>
      </c>
      <c r="F88" s="658">
        <f>+((3360*4)+(640*12)+(3600*8))+4621.6+4621.6+F9+F15+F20+F27+F32+F38+F80+F81</f>
        <v>59986.63685300207</v>
      </c>
      <c r="G88" s="658">
        <f>+((6113*4)+(6613*8))+7208.17+7208.17+$Z$82</f>
        <v>153540.41999999998</v>
      </c>
      <c r="H88" s="658">
        <f>+(4113*12)+4483.17+4483.17+H10+H9+H15+H20+H27+H39+H32+H37+H80</f>
        <v>61436.585729166662</v>
      </c>
      <c r="I88" s="1151">
        <f>+((2500*4)+(2600*8))+2834+2834</f>
        <v>36468</v>
      </c>
      <c r="J88" s="658">
        <f>+(3000*12)+3270+3270+J9+J15+J20+J21+J27+J32+J38+J80</f>
        <v>43511.61619047619</v>
      </c>
      <c r="K88" s="658">
        <f>+(2800*12)+3052+3052+K9+K15+K20+K21+K27+K32+K38</f>
        <v>40598.648095238095</v>
      </c>
      <c r="L88" s="658">
        <f>+(2800*12)+3052+3052+L10</f>
        <v>40101.833333333336</v>
      </c>
      <c r="M88" s="658">
        <f>+((2800*4)+(3200*8))+3488+3488+M10</f>
        <v>43973.75</v>
      </c>
      <c r="N88" s="658">
        <f>+(2800*12)+3052+3052</f>
        <v>39704</v>
      </c>
      <c r="O88" s="658">
        <f>+((2100*4)+(2800*8))+3052+3052+O8+O14+O19+O26+O31+O37+O79</f>
        <v>42504</v>
      </c>
      <c r="P88" s="1151">
        <f>+((2500*4)+(2800*8))+3052+3052+P10+P39</f>
        <v>40393.479166666664</v>
      </c>
      <c r="Q88" s="1151">
        <f>+((2500*4)+(2913*8))+3175.17+3175.17</f>
        <v>39654.339999999997</v>
      </c>
      <c r="R88" s="1151">
        <f>+((2500*4)+(2800*8))+3052+3052</f>
        <v>38504</v>
      </c>
      <c r="S88" s="653">
        <f>SUM(D88:R88)</f>
        <v>832441.42856431147</v>
      </c>
      <c r="U88" s="648">
        <f>2850*6+2850*1.09</f>
        <v>20206.5</v>
      </c>
      <c r="W88" s="1195"/>
    </row>
    <row r="89" spans="2:26" s="648" customFormat="1" ht="15" thickBot="1">
      <c r="B89" s="657" t="s">
        <v>368</v>
      </c>
      <c r="C89" s="725"/>
      <c r="D89" s="659">
        <f>5500*7</f>
        <v>38500</v>
      </c>
      <c r="E89" s="659">
        <f t="shared" ref="E89:R89" si="6">5500*7</f>
        <v>38500</v>
      </c>
      <c r="F89" s="659">
        <f t="shared" si="6"/>
        <v>38500</v>
      </c>
      <c r="G89" s="659">
        <f t="shared" si="6"/>
        <v>38500</v>
      </c>
      <c r="H89" s="659">
        <f t="shared" si="6"/>
        <v>38500</v>
      </c>
      <c r="I89" s="1159">
        <f>5500*7</f>
        <v>38500</v>
      </c>
      <c r="J89" s="659">
        <f t="shared" si="6"/>
        <v>38500</v>
      </c>
      <c r="K89" s="659">
        <f t="shared" si="6"/>
        <v>38500</v>
      </c>
      <c r="L89" s="659">
        <f t="shared" si="6"/>
        <v>38500</v>
      </c>
      <c r="M89" s="659">
        <f t="shared" si="6"/>
        <v>38500</v>
      </c>
      <c r="N89" s="659">
        <f t="shared" si="6"/>
        <v>38500</v>
      </c>
      <c r="O89" s="659">
        <f t="shared" si="6"/>
        <v>38500</v>
      </c>
      <c r="P89" s="1159">
        <f t="shared" si="6"/>
        <v>38500</v>
      </c>
      <c r="Q89" s="1159">
        <f t="shared" si="6"/>
        <v>38500</v>
      </c>
      <c r="R89" s="1159">
        <f t="shared" si="6"/>
        <v>38500</v>
      </c>
      <c r="S89" s="653">
        <f>SUM(D89:R89)</f>
        <v>577500</v>
      </c>
    </row>
    <row r="90" spans="2:26" s="664" customFormat="1" ht="15" thickBot="1">
      <c r="B90" s="661" t="s">
        <v>369</v>
      </c>
      <c r="C90" s="726"/>
      <c r="D90" s="663">
        <f>+D88-D89</f>
        <v>54330.108095238087</v>
      </c>
      <c r="E90" s="663">
        <f t="shared" ref="E90:I90" si="7">+E88-E89</f>
        <v>20734.011101190466</v>
      </c>
      <c r="F90" s="663">
        <f t="shared" si="7"/>
        <v>21486.63685300207</v>
      </c>
      <c r="G90" s="663">
        <f t="shared" si="7"/>
        <v>115040.41999999998</v>
      </c>
      <c r="H90" s="663">
        <f t="shared" si="7"/>
        <v>22936.585729166662</v>
      </c>
      <c r="I90" s="1160">
        <f t="shared" si="7"/>
        <v>-2032</v>
      </c>
      <c r="J90" s="663">
        <f>+J88-J89</f>
        <v>5011.6161904761902</v>
      </c>
      <c r="K90" s="660">
        <f>+K88-K89</f>
        <v>2098.6480952380953</v>
      </c>
      <c r="L90" s="660">
        <f t="shared" ref="L90:N90" si="8">+L88-L89</f>
        <v>1601.8333333333358</v>
      </c>
      <c r="M90" s="660">
        <f t="shared" si="8"/>
        <v>5473.75</v>
      </c>
      <c r="N90" s="660">
        <f t="shared" si="8"/>
        <v>1204</v>
      </c>
      <c r="O90" s="660">
        <f t="shared" ref="O90" si="9">+O88-O89</f>
        <v>4004</v>
      </c>
      <c r="P90" s="1160">
        <f>+P88-P89</f>
        <v>1893.4791666666642</v>
      </c>
      <c r="Q90" s="1160">
        <f>+Q88-Q89</f>
        <v>1154.3399999999965</v>
      </c>
      <c r="R90" s="1160">
        <f>+R88-R89</f>
        <v>4</v>
      </c>
      <c r="S90" s="653">
        <f>SUM(D90:R90)</f>
        <v>254941.42856431156</v>
      </c>
      <c r="T90" s="648"/>
      <c r="U90" s="648"/>
      <c r="V90" s="648"/>
      <c r="W90" s="648"/>
      <c r="X90" s="648"/>
      <c r="Y90" s="648"/>
      <c r="Z90" s="648"/>
    </row>
    <row r="91" spans="2:26" s="648" customFormat="1" ht="14.25" customHeight="1">
      <c r="B91" s="666"/>
      <c r="C91" s="666"/>
      <c r="D91" s="671"/>
      <c r="E91" s="671"/>
      <c r="F91" s="671"/>
      <c r="G91" s="671"/>
      <c r="H91" s="671"/>
      <c r="I91" s="671"/>
      <c r="J91" s="671"/>
      <c r="K91" s="671"/>
      <c r="L91" s="671"/>
      <c r="M91" s="671"/>
      <c r="N91" s="671"/>
      <c r="O91" s="671"/>
      <c r="P91" s="671"/>
      <c r="Q91" s="671"/>
      <c r="R91" s="671"/>
      <c r="S91" s="672"/>
    </row>
    <row r="92" spans="2:26" s="648" customFormat="1" ht="14.25" customHeight="1">
      <c r="C92" s="666"/>
      <c r="D92" s="666"/>
      <c r="E92" s="666"/>
      <c r="F92" s="666"/>
      <c r="G92" s="666"/>
      <c r="H92" s="666"/>
      <c r="S92" s="672"/>
    </row>
    <row r="93" spans="2:26" s="679" customFormat="1" ht="15">
      <c r="B93" s="673" t="s">
        <v>370</v>
      </c>
      <c r="C93" s="674"/>
      <c r="D93" s="676"/>
      <c r="E93" s="676"/>
      <c r="F93" s="676"/>
      <c r="G93" s="676"/>
      <c r="H93" s="676"/>
      <c r="I93" s="676"/>
      <c r="J93" s="676"/>
      <c r="K93" s="676"/>
      <c r="L93" s="676"/>
      <c r="M93" s="676"/>
      <c r="N93" s="676"/>
      <c r="O93" s="676"/>
      <c r="P93" s="676"/>
      <c r="Q93" s="676"/>
      <c r="R93" s="676"/>
      <c r="S93" s="677"/>
    </row>
    <row r="94" spans="2:26" s="648" customFormat="1" ht="15">
      <c r="B94" s="680" t="s">
        <v>371</v>
      </c>
      <c r="C94" s="681">
        <v>0.08</v>
      </c>
      <c r="D94" s="682">
        <f>+(5500*5)*$C$94</f>
        <v>2200</v>
      </c>
      <c r="E94" s="683">
        <f>+(E90)*$C$94</f>
        <v>1658.7208880952373</v>
      </c>
      <c r="F94" s="683">
        <f>+(F90)*$C$94</f>
        <v>1718.9309482401657</v>
      </c>
      <c r="G94" s="682">
        <f>+(5500*5)*$C$94</f>
        <v>2200</v>
      </c>
      <c r="H94" s="683">
        <f>+(H90)*$C$94</f>
        <v>1834.926858333333</v>
      </c>
      <c r="I94" s="683"/>
      <c r="J94" s="683">
        <f t="shared" ref="J94:P94" si="10">+(J90)*$C$94</f>
        <v>400.92929523809522</v>
      </c>
      <c r="K94" s="683">
        <f t="shared" si="10"/>
        <v>167.89184761904764</v>
      </c>
      <c r="L94" s="683">
        <f t="shared" si="10"/>
        <v>128.14666666666687</v>
      </c>
      <c r="M94" s="683">
        <f t="shared" si="10"/>
        <v>437.90000000000003</v>
      </c>
      <c r="N94" s="683">
        <f t="shared" si="10"/>
        <v>96.320000000000007</v>
      </c>
      <c r="O94" s="683">
        <f t="shared" si="10"/>
        <v>320.32</v>
      </c>
      <c r="P94" s="683">
        <f t="shared" si="10"/>
        <v>151.47833333333315</v>
      </c>
      <c r="Q94" s="683">
        <f t="shared" ref="Q94:R94" si="11">+(Q90)*$C$94</f>
        <v>92.347199999999717</v>
      </c>
      <c r="R94" s="683">
        <f t="shared" si="11"/>
        <v>0.32</v>
      </c>
      <c r="S94" s="653">
        <f>SUM(D94:P94)</f>
        <v>11315.564837525879</v>
      </c>
    </row>
    <row r="95" spans="2:26" s="648" customFormat="1" ht="15">
      <c r="B95" s="684" t="s">
        <v>372</v>
      </c>
      <c r="C95" s="685">
        <v>0.14000000000000001</v>
      </c>
      <c r="D95" s="687">
        <f>+(+D90-27500)*$C$95</f>
        <v>3756.2151333333327</v>
      </c>
      <c r="E95" s="686"/>
      <c r="F95" s="686"/>
      <c r="G95" s="686">
        <f>+(+G90-27500)*$C$95</f>
        <v>12255.658799999999</v>
      </c>
      <c r="H95" s="698"/>
      <c r="I95" s="698"/>
      <c r="J95" s="698"/>
      <c r="K95" s="698"/>
      <c r="L95" s="698"/>
      <c r="M95" s="698"/>
      <c r="N95" s="698"/>
      <c r="O95" s="698"/>
      <c r="P95" s="698"/>
      <c r="Q95" s="698"/>
      <c r="R95" s="698"/>
      <c r="S95" s="653">
        <f>SUM(D95:P95)</f>
        <v>16011.873933333332</v>
      </c>
    </row>
    <row r="96" spans="2:26" s="648" customFormat="1" ht="15">
      <c r="B96" s="684" t="s">
        <v>373</v>
      </c>
      <c r="C96" s="688">
        <v>0.17</v>
      </c>
      <c r="D96" s="686"/>
      <c r="E96" s="686"/>
      <c r="F96" s="686"/>
      <c r="G96" s="686">
        <f>+(+G90-110000)*$C$96</f>
        <v>856.87139999999727</v>
      </c>
      <c r="H96" s="727"/>
      <c r="I96" s="686"/>
      <c r="J96" s="686"/>
      <c r="K96" s="686"/>
      <c r="L96" s="686"/>
      <c r="M96" s="686"/>
      <c r="N96" s="686"/>
      <c r="O96" s="686"/>
      <c r="P96" s="686"/>
      <c r="Q96" s="686"/>
      <c r="R96" s="686"/>
      <c r="S96" s="653">
        <f>SUM(D96:P96)</f>
        <v>856.87139999999727</v>
      </c>
    </row>
    <row r="97" spans="2:19" s="648" customFormat="1" ht="15">
      <c r="B97" s="684"/>
      <c r="C97" s="684"/>
      <c r="D97" s="689">
        <f>SUM(D94:D96)</f>
        <v>5956.2151333333331</v>
      </c>
      <c r="E97" s="689">
        <f>SUM(E94:E96)</f>
        <v>1658.7208880952373</v>
      </c>
      <c r="F97" s="689">
        <f>SUM(F94:F96)</f>
        <v>1718.9309482401657</v>
      </c>
      <c r="G97" s="689">
        <f t="shared" ref="G97:J97" si="12">SUM(G94:G96)</f>
        <v>15312.530199999997</v>
      </c>
      <c r="H97" s="689">
        <f t="shared" si="12"/>
        <v>1834.926858333333</v>
      </c>
      <c r="I97" s="689"/>
      <c r="J97" s="689">
        <f t="shared" si="12"/>
        <v>400.92929523809522</v>
      </c>
      <c r="K97" s="689">
        <f>SUM(K94:K96)</f>
        <v>167.89184761904764</v>
      </c>
      <c r="L97" s="689">
        <f t="shared" ref="L97:N97" si="13">SUM(L94:L96)</f>
        <v>128.14666666666687</v>
      </c>
      <c r="M97" s="689">
        <f t="shared" si="13"/>
        <v>437.90000000000003</v>
      </c>
      <c r="N97" s="689">
        <f t="shared" si="13"/>
        <v>96.320000000000007</v>
      </c>
      <c r="O97" s="689">
        <f>SUM(O94:O96)</f>
        <v>320.32</v>
      </c>
      <c r="P97" s="689">
        <f>SUM(P94:P96)</f>
        <v>151.47833333333315</v>
      </c>
      <c r="Q97" s="689">
        <f>SUM(Q94:Q96)</f>
        <v>92.347199999999717</v>
      </c>
      <c r="R97" s="689">
        <f>SUM(R94:R96)</f>
        <v>0.32</v>
      </c>
      <c r="S97" s="653">
        <f>SUM(S94:S96)</f>
        <v>28184.310170859208</v>
      </c>
    </row>
    <row r="98" spans="2:19" s="648" customFormat="1" ht="15">
      <c r="B98" s="690" t="s">
        <v>375</v>
      </c>
      <c r="C98" s="684"/>
      <c r="D98" s="691"/>
      <c r="E98" s="691"/>
      <c r="F98" s="691"/>
      <c r="G98" s="728"/>
      <c r="H98" s="692"/>
      <c r="I98" s="692"/>
      <c r="J98" s="692"/>
      <c r="K98" s="692"/>
      <c r="L98" s="692"/>
      <c r="M98" s="692"/>
      <c r="N98" s="692"/>
      <c r="O98" s="692"/>
      <c r="P98" s="692"/>
      <c r="Q98" s="692"/>
      <c r="R98" s="692"/>
      <c r="S98" s="653">
        <f t="shared" ref="S98:S111" si="14">SUM(D98:P98)</f>
        <v>0</v>
      </c>
    </row>
    <row r="99" spans="2:19" s="648" customFormat="1" ht="15">
      <c r="B99" s="693" t="s">
        <v>319</v>
      </c>
      <c r="C99" s="684"/>
      <c r="D99" s="999">
        <v>428.01624062499997</v>
      </c>
      <c r="E99" s="691">
        <v>134.08547083333329</v>
      </c>
      <c r="F99" s="691">
        <v>125.73333333333333</v>
      </c>
      <c r="G99" s="691">
        <v>1145.2548999999999</v>
      </c>
      <c r="H99" s="692">
        <v>140.88905833333334</v>
      </c>
      <c r="I99" s="692">
        <v>0</v>
      </c>
      <c r="J99" s="692">
        <v>26.933333333333334</v>
      </c>
      <c r="K99" s="692">
        <v>8.0266666666666673</v>
      </c>
      <c r="L99" s="692">
        <v>10.678888888888906</v>
      </c>
      <c r="M99" s="692">
        <v>9.3450000000000006</v>
      </c>
      <c r="N99" s="692">
        <v>8.0266666666666673</v>
      </c>
      <c r="O99" s="692">
        <v>0</v>
      </c>
      <c r="P99" s="692">
        <v>0</v>
      </c>
      <c r="Q99" s="692">
        <v>0</v>
      </c>
      <c r="R99" s="692">
        <v>0</v>
      </c>
      <c r="S99" s="653">
        <f>SUM(D99:P99)</f>
        <v>2036.9895586805555</v>
      </c>
    </row>
    <row r="100" spans="2:19" s="648" customFormat="1" ht="15">
      <c r="B100" s="684" t="s">
        <v>320</v>
      </c>
      <c r="C100" s="684"/>
      <c r="D100" s="999">
        <v>426.80406297348475</v>
      </c>
      <c r="E100" s="999">
        <v>135.36685611471856</v>
      </c>
      <c r="F100" s="999">
        <v>131.50303030303033</v>
      </c>
      <c r="G100" s="999">
        <v>1145.2548999999999</v>
      </c>
      <c r="H100" s="999">
        <v>141.84663409090905</v>
      </c>
      <c r="I100" s="692">
        <v>0</v>
      </c>
      <c r="J100" s="692">
        <v>28.027705627705632</v>
      </c>
      <c r="K100" s="692">
        <v>9.4465800865800613</v>
      </c>
      <c r="L100" s="692">
        <v>10.678888888888906</v>
      </c>
      <c r="M100" s="692">
        <v>9.3450000000000006</v>
      </c>
      <c r="N100" s="692">
        <v>8.0266666666666673</v>
      </c>
      <c r="O100" s="692">
        <v>19.069090909090907</v>
      </c>
      <c r="P100" s="692"/>
      <c r="Q100" s="692"/>
      <c r="R100" s="692"/>
      <c r="S100" s="653">
        <f t="shared" si="14"/>
        <v>2065.369415661075</v>
      </c>
    </row>
    <row r="101" spans="2:19" s="648" customFormat="1" ht="15">
      <c r="B101" s="684" t="s">
        <v>321</v>
      </c>
      <c r="C101" s="684"/>
      <c r="D101" s="691">
        <v>433.90948297348478</v>
      </c>
      <c r="E101" s="691">
        <v>136.16685611471854</v>
      </c>
      <c r="F101" s="691">
        <v>137.34303030303033</v>
      </c>
      <c r="G101" s="691">
        <v>1145.2548999999999</v>
      </c>
      <c r="H101" s="692">
        <v>142.44663409090907</v>
      </c>
      <c r="I101" s="692">
        <v>0</v>
      </c>
      <c r="J101" s="692">
        <v>31.476825627705626</v>
      </c>
      <c r="K101" s="692">
        <v>12.72186008658009</v>
      </c>
      <c r="L101" s="692">
        <v>10.678888888888906</v>
      </c>
      <c r="M101" s="692">
        <v>9.3450000000000006</v>
      </c>
      <c r="N101" s="692">
        <v>8.0266666666666673</v>
      </c>
      <c r="O101" s="692">
        <v>38.269090909090906</v>
      </c>
      <c r="P101" s="692"/>
      <c r="Q101" s="692"/>
      <c r="R101" s="692"/>
      <c r="S101" s="653">
        <f t="shared" si="14"/>
        <v>2105.639235661075</v>
      </c>
    </row>
    <row r="102" spans="2:19" s="648" customFormat="1" ht="15">
      <c r="B102" s="684" t="s">
        <v>422</v>
      </c>
      <c r="C102" s="684"/>
      <c r="D102" s="1156"/>
      <c r="E102" s="1156"/>
      <c r="F102" s="1156"/>
      <c r="G102" s="1156"/>
      <c r="H102" s="1157"/>
      <c r="I102" s="1157"/>
      <c r="J102" s="1157"/>
      <c r="K102" s="1157"/>
      <c r="L102" s="1157"/>
      <c r="M102" s="1157"/>
      <c r="N102" s="1157"/>
      <c r="O102" s="1157"/>
      <c r="P102" s="1157">
        <v>0</v>
      </c>
      <c r="Q102" s="1157">
        <v>0</v>
      </c>
      <c r="R102" s="1157">
        <v>0</v>
      </c>
      <c r="S102" s="1158">
        <f t="shared" si="14"/>
        <v>0</v>
      </c>
    </row>
    <row r="103" spans="2:19" s="648" customFormat="1" ht="15">
      <c r="B103" s="684" t="s">
        <v>322</v>
      </c>
      <c r="C103" s="684"/>
      <c r="D103" s="691">
        <v>433.90948297348473</v>
      </c>
      <c r="E103" s="691">
        <v>136.16685611471857</v>
      </c>
      <c r="F103" s="691">
        <v>137.34303030303033</v>
      </c>
      <c r="G103" s="691">
        <v>1145.2548999999999</v>
      </c>
      <c r="H103" s="692">
        <v>142.44663409090904</v>
      </c>
      <c r="I103" s="692">
        <v>0</v>
      </c>
      <c r="J103" s="692">
        <v>31.47682562770563</v>
      </c>
      <c r="K103" s="692">
        <v>12.721860086580088</v>
      </c>
      <c r="L103" s="692"/>
      <c r="M103" s="692">
        <v>9.3449999999999989</v>
      </c>
      <c r="N103" s="692">
        <v>8.0266666666666673</v>
      </c>
      <c r="O103" s="692">
        <v>38.269090909090913</v>
      </c>
      <c r="P103" s="692">
        <v>0</v>
      </c>
      <c r="Q103" s="692">
        <v>0</v>
      </c>
      <c r="R103" s="692">
        <v>0</v>
      </c>
      <c r="S103" s="653">
        <f t="shared" si="14"/>
        <v>2094.9603467721863</v>
      </c>
    </row>
    <row r="104" spans="2:19" s="648" customFormat="1" ht="15">
      <c r="B104" s="684" t="s">
        <v>376</v>
      </c>
      <c r="C104" s="684"/>
      <c r="D104" s="691">
        <v>525.69698297348486</v>
      </c>
      <c r="E104" s="691">
        <v>137.61685611471853</v>
      </c>
      <c r="F104" s="691">
        <v>144.23693506493504</v>
      </c>
      <c r="G104" s="691">
        <v>1341.4388249999997</v>
      </c>
      <c r="H104" s="692">
        <v>143.34663409090905</v>
      </c>
      <c r="I104" s="692">
        <v>0</v>
      </c>
      <c r="J104" s="692">
        <v>33.376825627705628</v>
      </c>
      <c r="K104" s="692">
        <v>14.621860086580092</v>
      </c>
      <c r="L104" s="692">
        <v>0</v>
      </c>
      <c r="M104" s="692">
        <v>50.065000000000005</v>
      </c>
      <c r="N104" s="692">
        <v>8.0266666666666673</v>
      </c>
      <c r="O104" s="692">
        <v>12.08909090909091</v>
      </c>
      <c r="P104" s="692">
        <v>7.909791666666643</v>
      </c>
      <c r="Q104" s="692">
        <v>11.543399999999965</v>
      </c>
      <c r="R104" s="692">
        <v>0.04</v>
      </c>
      <c r="S104" s="653">
        <f>SUM(D104:R104)</f>
        <v>2430.0088682007572</v>
      </c>
    </row>
    <row r="105" spans="2:19" s="648" customFormat="1" ht="15">
      <c r="B105" s="684" t="s">
        <v>324</v>
      </c>
      <c r="C105" s="684"/>
      <c r="D105" s="691">
        <v>527.69698297348486</v>
      </c>
      <c r="E105" s="691">
        <v>138.7597132575757</v>
      </c>
      <c r="F105" s="691">
        <v>145.37979220779218</v>
      </c>
      <c r="G105" s="691">
        <v>1341.4388249999997</v>
      </c>
      <c r="H105" s="692">
        <v>159.42160909090904</v>
      </c>
      <c r="I105" s="692">
        <v>0</v>
      </c>
      <c r="J105" s="692">
        <v>34.519682770562767</v>
      </c>
      <c r="K105" s="692"/>
      <c r="L105" s="692">
        <v>0</v>
      </c>
      <c r="M105" s="692">
        <v>50.065000000000005</v>
      </c>
      <c r="N105" s="692">
        <v>8.0266666666666673</v>
      </c>
      <c r="O105" s="692">
        <v>21.231948051948052</v>
      </c>
      <c r="P105" s="692">
        <v>20.509791666666644</v>
      </c>
      <c r="Q105" s="692">
        <v>11.543399999999965</v>
      </c>
      <c r="R105" s="692">
        <v>0.04</v>
      </c>
      <c r="S105" s="653">
        <f t="shared" si="14"/>
        <v>2447.0500116856056</v>
      </c>
    </row>
    <row r="106" spans="2:19" s="648" customFormat="1" ht="15">
      <c r="B106" s="684" t="s">
        <v>325</v>
      </c>
      <c r="C106" s="684"/>
      <c r="D106" s="691"/>
      <c r="E106" s="691"/>
      <c r="F106" s="691"/>
      <c r="G106" s="691"/>
      <c r="H106" s="692"/>
      <c r="I106" s="692"/>
      <c r="J106" s="692"/>
      <c r="K106" s="692"/>
      <c r="L106" s="692"/>
      <c r="M106" s="692"/>
      <c r="N106" s="692"/>
      <c r="O106" s="692"/>
      <c r="P106" s="692"/>
      <c r="Q106" s="692"/>
      <c r="R106" s="692"/>
      <c r="S106" s="653">
        <f t="shared" si="14"/>
        <v>0</v>
      </c>
    </row>
    <row r="107" spans="2:19" s="648" customFormat="1" ht="15">
      <c r="B107" s="684" t="s">
        <v>326</v>
      </c>
      <c r="C107" s="684"/>
      <c r="D107" s="691"/>
      <c r="E107" s="691"/>
      <c r="F107" s="691"/>
      <c r="G107" s="691"/>
      <c r="H107" s="692"/>
      <c r="I107" s="692"/>
      <c r="J107" s="692"/>
      <c r="K107" s="692"/>
      <c r="L107" s="692"/>
      <c r="M107" s="692"/>
      <c r="N107" s="692"/>
      <c r="O107" s="692">
        <f>+D107+E107+F107+G107+I107+J107+L107+K107+H107</f>
        <v>0</v>
      </c>
      <c r="P107" s="692"/>
      <c r="Q107" s="692"/>
      <c r="R107" s="692"/>
      <c r="S107" s="653">
        <f t="shared" si="14"/>
        <v>0</v>
      </c>
    </row>
    <row r="108" spans="2:19" s="648" customFormat="1" ht="15">
      <c r="B108" s="684" t="s">
        <v>327</v>
      </c>
      <c r="C108" s="684"/>
      <c r="D108" s="691"/>
      <c r="E108" s="691"/>
      <c r="F108" s="691"/>
      <c r="G108" s="691"/>
      <c r="H108" s="692"/>
      <c r="I108" s="692"/>
      <c r="J108" s="692"/>
      <c r="K108" s="692"/>
      <c r="L108" s="692"/>
      <c r="M108" s="692"/>
      <c r="N108" s="692"/>
      <c r="O108" s="692"/>
      <c r="P108" s="692"/>
      <c r="Q108" s="692"/>
      <c r="R108" s="692"/>
      <c r="S108" s="653">
        <f t="shared" si="14"/>
        <v>0</v>
      </c>
    </row>
    <row r="109" spans="2:19" s="648" customFormat="1" ht="15">
      <c r="B109" s="684" t="s">
        <v>328</v>
      </c>
      <c r="C109" s="684"/>
      <c r="D109" s="691"/>
      <c r="E109" s="691"/>
      <c r="F109" s="691"/>
      <c r="G109" s="691"/>
      <c r="H109" s="692"/>
      <c r="I109" s="692"/>
      <c r="J109" s="692"/>
      <c r="K109" s="692"/>
      <c r="L109" s="692"/>
      <c r="M109" s="692"/>
      <c r="N109" s="692"/>
      <c r="O109" s="692"/>
      <c r="P109" s="692"/>
      <c r="Q109" s="692"/>
      <c r="R109" s="692"/>
      <c r="S109" s="653">
        <f t="shared" si="14"/>
        <v>0</v>
      </c>
    </row>
    <row r="110" spans="2:19" s="648" customFormat="1" ht="15">
      <c r="B110" s="684" t="s">
        <v>329</v>
      </c>
      <c r="C110" s="684"/>
      <c r="D110" s="691"/>
      <c r="E110" s="691"/>
      <c r="F110" s="691"/>
      <c r="G110" s="691"/>
      <c r="H110" s="692"/>
      <c r="I110" s="692"/>
      <c r="J110" s="692"/>
      <c r="K110" s="692"/>
      <c r="L110" s="692"/>
      <c r="M110" s="692"/>
      <c r="N110" s="692"/>
      <c r="O110" s="692"/>
      <c r="P110" s="692"/>
      <c r="Q110" s="692"/>
      <c r="R110" s="692"/>
      <c r="S110" s="653">
        <f t="shared" si="14"/>
        <v>0</v>
      </c>
    </row>
    <row r="111" spans="2:19" s="648" customFormat="1" ht="15">
      <c r="B111" s="684" t="s">
        <v>330</v>
      </c>
      <c r="C111" s="684"/>
      <c r="D111" s="686"/>
      <c r="E111" s="686"/>
      <c r="F111" s="686"/>
      <c r="G111" s="729"/>
      <c r="H111" s="730"/>
      <c r="I111" s="730"/>
      <c r="J111" s="730"/>
      <c r="K111" s="730"/>
      <c r="L111" s="730"/>
      <c r="M111" s="730"/>
      <c r="N111" s="730"/>
      <c r="O111" s="730"/>
      <c r="P111" s="730"/>
      <c r="Q111" s="730"/>
      <c r="R111" s="730"/>
      <c r="S111" s="653">
        <f t="shared" si="14"/>
        <v>0</v>
      </c>
    </row>
    <row r="112" spans="2:19" ht="15">
      <c r="B112" s="699" t="s">
        <v>377</v>
      </c>
      <c r="C112" s="699"/>
      <c r="D112" s="700">
        <f>SUM(D99:D111)</f>
        <v>2776.033235492424</v>
      </c>
      <c r="E112" s="700">
        <f t="shared" ref="E112:S112" si="15">SUM(E99:E111)</f>
        <v>818.16260854978327</v>
      </c>
      <c r="F112" s="700">
        <f t="shared" si="15"/>
        <v>821.53915151515162</v>
      </c>
      <c r="G112" s="700">
        <f t="shared" si="15"/>
        <v>7263.8972499999982</v>
      </c>
      <c r="H112" s="700">
        <f t="shared" si="15"/>
        <v>870.39720378787865</v>
      </c>
      <c r="I112" s="700">
        <f t="shared" si="15"/>
        <v>0</v>
      </c>
      <c r="J112" s="700">
        <f t="shared" si="15"/>
        <v>185.81119861471865</v>
      </c>
      <c r="K112" s="700">
        <f t="shared" si="15"/>
        <v>57.538827012986999</v>
      </c>
      <c r="L112" s="700"/>
      <c r="M112" s="700">
        <f t="shared" si="15"/>
        <v>137.51000000000002</v>
      </c>
      <c r="N112" s="700">
        <f t="shared" si="15"/>
        <v>48.160000000000011</v>
      </c>
      <c r="O112" s="700">
        <f>SUM(O99:O111)</f>
        <v>128.92831168831168</v>
      </c>
      <c r="P112" s="700">
        <f>SUM(P99:P111)</f>
        <v>28.419583333333286</v>
      </c>
      <c r="Q112" s="700">
        <f>SUM(Q99:Q111)</f>
        <v>23.086799999999929</v>
      </c>
      <c r="R112" s="700">
        <f>SUM(R99:R111)</f>
        <v>0.08</v>
      </c>
      <c r="S112" s="700">
        <f t="shared" si="15"/>
        <v>13180.017436661254</v>
      </c>
    </row>
    <row r="113" spans="2:21" ht="15">
      <c r="B113" s="699" t="s">
        <v>378</v>
      </c>
      <c r="C113" s="699"/>
      <c r="D113" s="700"/>
      <c r="E113" s="700"/>
      <c r="F113" s="700"/>
      <c r="G113" s="700"/>
      <c r="H113" s="700"/>
      <c r="I113" s="700"/>
      <c r="J113" s="705"/>
      <c r="K113" s="705"/>
      <c r="L113" s="705"/>
      <c r="M113" s="705"/>
      <c r="N113" s="705"/>
      <c r="O113" s="705"/>
      <c r="P113" s="705"/>
      <c r="Q113" s="705"/>
      <c r="R113" s="705"/>
      <c r="S113" s="653"/>
    </row>
    <row r="114" spans="2:21" ht="14.25">
      <c r="B114" s="699" t="s">
        <v>379</v>
      </c>
      <c r="C114" s="699"/>
      <c r="D114" s="703">
        <f>+D97-D112</f>
        <v>3180.1818978409092</v>
      </c>
      <c r="E114" s="703">
        <f t="shared" ref="E114:P114" si="16">+E97-E112</f>
        <v>840.55827954545407</v>
      </c>
      <c r="F114" s="703">
        <f t="shared" si="16"/>
        <v>897.39179672501405</v>
      </c>
      <c r="G114" s="703">
        <f t="shared" si="16"/>
        <v>8048.6329499999993</v>
      </c>
      <c r="H114" s="703">
        <f t="shared" si="16"/>
        <v>964.52965454545438</v>
      </c>
      <c r="I114" s="703">
        <f t="shared" si="16"/>
        <v>0</v>
      </c>
      <c r="J114" s="703">
        <f t="shared" si="16"/>
        <v>215.11809662337657</v>
      </c>
      <c r="K114" s="703">
        <f t="shared" si="16"/>
        <v>110.35302060606064</v>
      </c>
      <c r="L114" s="703"/>
      <c r="M114" s="703">
        <f t="shared" si="16"/>
        <v>300.39</v>
      </c>
      <c r="N114" s="703">
        <f t="shared" si="16"/>
        <v>48.16</v>
      </c>
      <c r="O114" s="703">
        <f>+O97-O112</f>
        <v>191.39168831168831</v>
      </c>
      <c r="P114" s="703">
        <f t="shared" si="16"/>
        <v>123.05874999999986</v>
      </c>
      <c r="Q114" s="703">
        <f t="shared" ref="Q114:R114" si="17">+Q97-Q112</f>
        <v>69.260399999999791</v>
      </c>
      <c r="R114" s="703">
        <f t="shared" si="17"/>
        <v>0.24</v>
      </c>
      <c r="S114" s="653">
        <f>SUM(D114:P114)</f>
        <v>14919.766134197956</v>
      </c>
    </row>
    <row r="115" spans="2:21" ht="15">
      <c r="B115" s="699" t="s">
        <v>380</v>
      </c>
      <c r="C115" s="699"/>
      <c r="D115" s="990">
        <f t="shared" ref="D115:J115" si="18">+D114/6</f>
        <v>530.03031630681824</v>
      </c>
      <c r="E115" s="990">
        <f t="shared" si="18"/>
        <v>140.09304659090901</v>
      </c>
      <c r="F115" s="990">
        <f t="shared" si="18"/>
        <v>149.56529945416901</v>
      </c>
      <c r="G115" s="990">
        <f t="shared" si="18"/>
        <v>1341.438825</v>
      </c>
      <c r="H115" s="990">
        <f t="shared" si="18"/>
        <v>160.75494242424239</v>
      </c>
      <c r="I115" s="990">
        <f t="shared" si="18"/>
        <v>0</v>
      </c>
      <c r="J115" s="990">
        <f t="shared" si="18"/>
        <v>35.853016103896096</v>
      </c>
      <c r="K115" s="990">
        <v>0</v>
      </c>
      <c r="L115" s="990">
        <f>+L114/6</f>
        <v>0</v>
      </c>
      <c r="M115" s="990">
        <f>+M114/6</f>
        <v>50.064999999999998</v>
      </c>
      <c r="N115" s="990">
        <f>+N114/6</f>
        <v>8.0266666666666655</v>
      </c>
      <c r="O115" s="990">
        <f>+O114/6</f>
        <v>31.89861471861472</v>
      </c>
      <c r="P115" s="990">
        <f>+P114/6</f>
        <v>20.509791666666644</v>
      </c>
      <c r="Q115" s="990"/>
      <c r="R115" s="990">
        <f>+R114/6</f>
        <v>0.04</v>
      </c>
      <c r="S115" s="1001">
        <f>SUM(D115:R115)</f>
        <v>2468.2755189319828</v>
      </c>
      <c r="T115" s="1002">
        <f>+'RTA 5TA VTAS'!O121</f>
        <v>9721.5405661186178</v>
      </c>
      <c r="U115" s="1002">
        <f>+S115+T115</f>
        <v>12189.816085050601</v>
      </c>
    </row>
    <row r="116" spans="2:21" ht="14.25">
      <c r="B116" s="699"/>
      <c r="C116" s="699"/>
      <c r="D116" s="731"/>
      <c r="E116" s="731"/>
      <c r="F116" s="731"/>
      <c r="G116" s="731"/>
      <c r="H116" s="731"/>
      <c r="I116" s="731"/>
      <c r="J116" s="731"/>
      <c r="K116" s="731"/>
      <c r="L116" s="731"/>
      <c r="M116" s="731"/>
      <c r="N116" s="731"/>
      <c r="O116" s="731"/>
      <c r="P116" s="731"/>
      <c r="Q116" s="731"/>
      <c r="R116" s="731"/>
      <c r="S116" s="649"/>
    </row>
    <row r="117" spans="2:21">
      <c r="D117" s="732"/>
      <c r="E117" s="710"/>
      <c r="G117" s="733"/>
      <c r="H117" s="733"/>
      <c r="I117" s="733"/>
      <c r="J117" s="733"/>
      <c r="K117" s="733"/>
      <c r="L117" s="733"/>
      <c r="M117" s="733"/>
      <c r="N117" s="733"/>
      <c r="O117" s="733"/>
      <c r="P117" s="733"/>
      <c r="Q117" s="733"/>
      <c r="R117" s="733"/>
      <c r="S117" s="708">
        <f>SUM(D115:P115)-I115</f>
        <v>2468.2355189319828</v>
      </c>
    </row>
    <row r="118" spans="2:21">
      <c r="D118" s="641"/>
      <c r="E118" s="641"/>
      <c r="F118" s="641"/>
      <c r="G118" s="641"/>
      <c r="H118" s="641"/>
      <c r="I118" s="641"/>
      <c r="J118" s="641"/>
      <c r="K118" s="641"/>
      <c r="L118" s="641"/>
      <c r="M118" s="641"/>
      <c r="N118" s="641"/>
      <c r="O118" s="641"/>
      <c r="P118" s="641"/>
      <c r="Q118" s="641"/>
      <c r="R118" s="641"/>
    </row>
    <row r="119" spans="2:21" ht="15">
      <c r="B119" s="699" t="s">
        <v>385</v>
      </c>
      <c r="C119" s="699"/>
      <c r="D119" s="1161">
        <v>1537.87</v>
      </c>
      <c r="E119" s="1161">
        <v>679.36</v>
      </c>
      <c r="F119" s="1161">
        <v>562.04</v>
      </c>
      <c r="G119" s="1161">
        <v>1449.78</v>
      </c>
      <c r="H119" s="1161">
        <v>566.41</v>
      </c>
      <c r="I119" s="1161">
        <v>476.67</v>
      </c>
      <c r="J119" s="1161">
        <v>560.47</v>
      </c>
      <c r="K119" s="1161">
        <v>554.54</v>
      </c>
      <c r="L119" s="1161">
        <v>489.76</v>
      </c>
      <c r="M119" s="1161">
        <v>514.57000000000005</v>
      </c>
      <c r="N119" s="1161">
        <v>476.36</v>
      </c>
      <c r="O119" s="1161">
        <v>473.47</v>
      </c>
      <c r="P119" s="1162"/>
      <c r="Q119" s="1162"/>
      <c r="R119" s="1162"/>
      <c r="S119" s="1163">
        <f>SUM(D119:P119)</f>
        <v>8341.2999999999993</v>
      </c>
      <c r="T119" s="708">
        <f>+'RTA 5TA VTAS'!N157</f>
        <v>10488.52</v>
      </c>
      <c r="U119" s="1002">
        <f>+S119+T119</f>
        <v>18829.82</v>
      </c>
    </row>
    <row r="120" spans="2:21">
      <c r="E120" s="641"/>
      <c r="F120" s="641"/>
      <c r="G120" s="641"/>
      <c r="H120" s="641"/>
    </row>
    <row r="121" spans="2:21" ht="15.75" thickBot="1">
      <c r="E121" s="641"/>
      <c r="F121" s="641"/>
      <c r="G121" s="641"/>
      <c r="H121" s="641"/>
      <c r="J121" s="735"/>
      <c r="K121" s="735"/>
      <c r="L121" s="735"/>
      <c r="M121" s="735"/>
      <c r="N121" s="735"/>
      <c r="O121" s="735"/>
      <c r="P121" s="735"/>
      <c r="Q121" s="735"/>
      <c r="R121" s="735"/>
      <c r="U121" s="1174">
        <f>+U115+U119</f>
        <v>31019.636085050603</v>
      </c>
    </row>
    <row r="122" spans="2:21" ht="13.5" thickTop="1">
      <c r="E122" s="641"/>
      <c r="F122" s="641"/>
      <c r="G122" s="641"/>
      <c r="H122" s="641"/>
    </row>
    <row r="123" spans="2:21">
      <c r="D123" s="706"/>
      <c r="E123" s="641"/>
      <c r="F123" s="641"/>
      <c r="G123" s="641"/>
      <c r="H123" s="641"/>
      <c r="J123" s="705"/>
      <c r="K123" s="705"/>
      <c r="L123" s="705"/>
      <c r="M123" s="705"/>
      <c r="N123" s="705"/>
      <c r="O123" s="705"/>
      <c r="P123" s="705"/>
      <c r="Q123" s="705"/>
      <c r="R123" s="705"/>
      <c r="S123" s="641"/>
    </row>
    <row r="124" spans="2:21">
      <c r="D124" s="736"/>
      <c r="E124" s="641"/>
      <c r="F124" s="641"/>
      <c r="G124" s="641"/>
      <c r="H124" s="641"/>
    </row>
    <row r="125" spans="2:21">
      <c r="E125" s="641"/>
      <c r="F125" s="641"/>
      <c r="G125" s="641"/>
      <c r="H125" s="641"/>
    </row>
    <row r="126" spans="2:21">
      <c r="E126" s="641"/>
      <c r="F126" s="641"/>
      <c r="G126" s="641"/>
      <c r="H126" s="641"/>
    </row>
    <row r="127" spans="2:21">
      <c r="E127" s="641"/>
      <c r="F127" s="641"/>
      <c r="G127" s="641"/>
      <c r="H127" s="641"/>
    </row>
    <row r="128" spans="2:21">
      <c r="E128" s="641"/>
      <c r="F128" s="641"/>
      <c r="G128" s="641"/>
      <c r="H128" s="641"/>
    </row>
    <row r="129" spans="5:8">
      <c r="E129" s="641"/>
      <c r="F129" s="641"/>
      <c r="G129" s="641"/>
      <c r="H129" s="641"/>
    </row>
    <row r="130" spans="5:8">
      <c r="E130" s="641"/>
      <c r="F130" s="641"/>
      <c r="G130" s="641"/>
      <c r="H130" s="641"/>
    </row>
    <row r="131" spans="5:8">
      <c r="E131" s="641"/>
      <c r="F131" s="641"/>
      <c r="G131" s="641"/>
      <c r="H131" s="641"/>
    </row>
    <row r="132" spans="5:8">
      <c r="E132" s="641"/>
      <c r="F132" s="641"/>
      <c r="G132" s="641"/>
      <c r="H132" s="641"/>
    </row>
    <row r="133" spans="5:8">
      <c r="E133" s="641"/>
      <c r="F133" s="641"/>
      <c r="G133" s="641"/>
      <c r="H133" s="641"/>
    </row>
    <row r="134" spans="5:8">
      <c r="E134" s="641"/>
      <c r="F134" s="641"/>
      <c r="G134" s="641"/>
      <c r="H134" s="641"/>
    </row>
    <row r="135" spans="5:8">
      <c r="E135" s="641"/>
      <c r="F135" s="641"/>
      <c r="G135" s="641"/>
      <c r="H135" s="641"/>
    </row>
    <row r="136" spans="5:8">
      <c r="E136" s="641"/>
      <c r="F136" s="641"/>
      <c r="G136" s="641"/>
      <c r="H136" s="641"/>
    </row>
  </sheetData>
  <mergeCells count="1">
    <mergeCell ref="S4:S5"/>
  </mergeCells>
  <pageMargins left="0.7" right="0.7" top="0.75" bottom="0.75" header="0.3" footer="0.3"/>
  <ignoredErrors>
    <ignoredError sqref="S29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D4CF-5D42-4F03-BAFB-4F060A47B36C}">
  <dimension ref="B1:Q60"/>
  <sheetViews>
    <sheetView topLeftCell="A17" workbookViewId="0">
      <selection activeCell="A23" sqref="A23:XFD23"/>
    </sheetView>
  </sheetViews>
  <sheetFormatPr baseColWidth="10" defaultColWidth="11.42578125" defaultRowHeight="12"/>
  <cols>
    <col min="1" max="1" width="11.42578125" style="597"/>
    <col min="2" max="2" width="5.28515625" style="597" customWidth="1"/>
    <col min="3" max="3" width="33.7109375" style="932" customWidth="1"/>
    <col min="4" max="5" width="10.42578125" style="929" customWidth="1"/>
    <col min="6" max="6" width="13.140625" style="930" customWidth="1"/>
    <col min="7" max="7" width="10.42578125" style="931" customWidth="1"/>
    <col min="8" max="8" width="12.42578125" style="931" hidden="1" customWidth="1"/>
    <col min="9" max="9" width="9.85546875" style="597" customWidth="1"/>
    <col min="10" max="12" width="10.5703125" style="597" customWidth="1"/>
    <col min="13" max="13" width="13.28515625" style="597" customWidth="1"/>
    <col min="14" max="14" width="8" style="597" customWidth="1"/>
    <col min="15" max="17" width="10" style="597" customWidth="1"/>
    <col min="18" max="16384" width="11.42578125" style="597"/>
  </cols>
  <sheetData>
    <row r="1" spans="2:17" hidden="1">
      <c r="C1" s="928" t="s">
        <v>423</v>
      </c>
    </row>
    <row r="2" spans="2:17" hidden="1"/>
    <row r="3" spans="2:17" hidden="1">
      <c r="C3" s="928" t="s">
        <v>424</v>
      </c>
    </row>
    <row r="4" spans="2:17" hidden="1">
      <c r="C4" s="932" t="s">
        <v>425</v>
      </c>
      <c r="D4" s="933">
        <v>327</v>
      </c>
      <c r="E4" s="934" t="s">
        <v>426</v>
      </c>
      <c r="F4" s="933"/>
    </row>
    <row r="5" spans="2:17" hidden="1">
      <c r="C5" s="932" t="s">
        <v>427</v>
      </c>
      <c r="D5" s="933">
        <v>213</v>
      </c>
      <c r="E5" s="933"/>
      <c r="F5" s="933"/>
    </row>
    <row r="6" spans="2:17" hidden="1"/>
    <row r="7" spans="2:17" hidden="1"/>
    <row r="8" spans="2:17" ht="12.75" hidden="1" thickBot="1">
      <c r="B8" s="973"/>
      <c r="C8" s="935"/>
      <c r="D8" s="936"/>
      <c r="E8" s="936"/>
      <c r="F8" s="937"/>
      <c r="G8" s="938"/>
      <c r="H8" s="938"/>
      <c r="I8" s="1467" t="s">
        <v>428</v>
      </c>
      <c r="J8" s="1468"/>
      <c r="K8" s="1469" t="s">
        <v>429</v>
      </c>
      <c r="L8" s="1469" t="s">
        <v>430</v>
      </c>
    </row>
    <row r="9" spans="2:17" ht="12.75" hidden="1" thickBot="1">
      <c r="B9" s="974"/>
      <c r="C9" s="931"/>
      <c r="D9" s="931"/>
      <c r="E9" s="931"/>
      <c r="F9" s="931"/>
      <c r="I9" s="975">
        <v>0.3</v>
      </c>
      <c r="J9" s="976">
        <v>0.5</v>
      </c>
      <c r="K9" s="1470"/>
      <c r="L9" s="1470"/>
    </row>
    <row r="10" spans="2:17" ht="24.75" hidden="1" thickBot="1">
      <c r="B10" s="940" t="s">
        <v>431</v>
      </c>
      <c r="C10" s="941" t="s">
        <v>318</v>
      </c>
      <c r="D10" s="940" t="s">
        <v>432</v>
      </c>
      <c r="E10" s="940" t="s">
        <v>433</v>
      </c>
      <c r="F10" s="942" t="s">
        <v>434</v>
      </c>
      <c r="G10" s="943" t="s">
        <v>435</v>
      </c>
      <c r="H10" s="943" t="s">
        <v>436</v>
      </c>
      <c r="I10" s="977" t="s">
        <v>437</v>
      </c>
      <c r="J10" s="977" t="s">
        <v>438</v>
      </c>
      <c r="K10" s="1471"/>
      <c r="L10" s="1471"/>
      <c r="O10" s="597" t="s">
        <v>439</v>
      </c>
    </row>
    <row r="11" spans="2:17" hidden="1">
      <c r="B11" s="939"/>
      <c r="C11" s="945"/>
      <c r="D11" s="946"/>
      <c r="E11" s="946"/>
      <c r="F11" s="947"/>
      <c r="G11" s="948"/>
      <c r="H11" s="949"/>
      <c r="I11" s="978"/>
      <c r="J11" s="978"/>
      <c r="K11" s="978"/>
      <c r="L11" s="978"/>
      <c r="M11" s="979">
        <f>+L11</f>
        <v>0</v>
      </c>
      <c r="N11" s="780">
        <f>+M11*0.18</f>
        <v>0</v>
      </c>
      <c r="O11" s="979">
        <f>+N11+M11</f>
        <v>0</v>
      </c>
      <c r="P11" s="979">
        <f>+K11+K13+K14</f>
        <v>0</v>
      </c>
      <c r="Q11" s="979">
        <f>+P11+O11</f>
        <v>0</v>
      </c>
    </row>
    <row r="12" spans="2:17" hidden="1">
      <c r="B12" s="939">
        <v>1</v>
      </c>
      <c r="C12" s="945" t="s">
        <v>440</v>
      </c>
      <c r="D12" s="946">
        <v>9594953</v>
      </c>
      <c r="E12" s="946">
        <v>611220200</v>
      </c>
      <c r="F12" s="947">
        <v>26364</v>
      </c>
      <c r="G12" s="948">
        <v>41548</v>
      </c>
      <c r="H12" s="949">
        <v>5085</v>
      </c>
      <c r="I12" s="980"/>
      <c r="J12" s="978">
        <f>+$D$4*$J$9</f>
        <v>163.5</v>
      </c>
      <c r="K12" s="978">
        <f>+$D$4-J12</f>
        <v>163.5</v>
      </c>
      <c r="L12" s="978">
        <f>+J12/1.18</f>
        <v>138.55932203389833</v>
      </c>
      <c r="M12" s="979">
        <f>+L12</f>
        <v>138.55932203389833</v>
      </c>
      <c r="N12" s="780">
        <f>+M12*0.18</f>
        <v>24.940677966101699</v>
      </c>
      <c r="O12" s="979">
        <f>+N12+M12</f>
        <v>163.50000000000003</v>
      </c>
      <c r="P12" s="979">
        <f>+K12</f>
        <v>163.5</v>
      </c>
      <c r="Q12" s="979">
        <f>+P12+O12</f>
        <v>327</v>
      </c>
    </row>
    <row r="13" spans="2:17" hidden="1">
      <c r="B13" s="939"/>
      <c r="C13" s="945"/>
      <c r="D13" s="946"/>
      <c r="E13" s="946"/>
      <c r="F13" s="947"/>
      <c r="G13" s="948"/>
      <c r="H13" s="949"/>
      <c r="I13" s="978"/>
      <c r="J13" s="978"/>
      <c r="K13" s="978"/>
      <c r="L13" s="978"/>
    </row>
    <row r="14" spans="2:17" ht="12.75" hidden="1" thickBot="1">
      <c r="B14" s="944"/>
      <c r="C14" s="950"/>
      <c r="D14" s="951"/>
      <c r="E14" s="951"/>
      <c r="F14" s="952"/>
      <c r="G14" s="953"/>
      <c r="H14" s="954"/>
      <c r="I14" s="981"/>
      <c r="J14" s="981"/>
      <c r="K14" s="981"/>
      <c r="L14" s="981"/>
      <c r="M14" s="979"/>
      <c r="N14" s="780"/>
      <c r="O14" s="979"/>
      <c r="P14" s="979"/>
      <c r="Q14" s="979"/>
    </row>
    <row r="15" spans="2:17" s="956" customFormat="1" hidden="1">
      <c r="B15" s="955"/>
      <c r="D15" s="957"/>
      <c r="E15" s="957"/>
      <c r="F15" s="958"/>
      <c r="G15" s="959"/>
      <c r="H15" s="959"/>
      <c r="I15" s="982" t="e">
        <f ca="1">SUMA(I11:I13)</f>
        <v>#NAME?</v>
      </c>
      <c r="J15" s="982" t="e">
        <f ca="1">SUMA(J11:J14)</f>
        <v>#NAME?</v>
      </c>
      <c r="K15" s="982" t="e">
        <f ca="1">SUMA(K11:K14)</f>
        <v>#NAME?</v>
      </c>
      <c r="L15" s="982" t="e">
        <f ca="1">SUMA(L11:L14)</f>
        <v>#NAME?</v>
      </c>
      <c r="O15" s="983" t="e">
        <f ca="1">SUMA(O11:O12)</f>
        <v>#NAME?</v>
      </c>
      <c r="Q15" s="983" t="e">
        <f ca="1">SUMA(Q11:Q12)</f>
        <v>#NAME?</v>
      </c>
    </row>
    <row r="16" spans="2:17" hidden="1">
      <c r="L16" s="979"/>
    </row>
    <row r="18" spans="2:17">
      <c r="C18" s="928" t="s">
        <v>441</v>
      </c>
      <c r="Q18" s="979"/>
    </row>
    <row r="19" spans="2:17">
      <c r="D19" s="960"/>
      <c r="E19" s="960"/>
      <c r="F19" s="960"/>
      <c r="G19" s="960"/>
      <c r="I19" s="960"/>
      <c r="J19" s="960"/>
    </row>
    <row r="20" spans="2:17">
      <c r="C20" s="928" t="s">
        <v>424</v>
      </c>
      <c r="D20" s="597"/>
      <c r="E20" s="930"/>
      <c r="G20" s="930"/>
      <c r="I20" s="930"/>
      <c r="J20" s="930"/>
    </row>
    <row r="21" spans="2:17">
      <c r="C21" s="956" t="s">
        <v>201</v>
      </c>
      <c r="D21" s="780">
        <v>605.94000000000005</v>
      </c>
      <c r="E21" s="780"/>
      <c r="F21" s="780"/>
      <c r="G21" s="930"/>
      <c r="I21" s="930"/>
      <c r="J21" s="930"/>
    </row>
    <row r="22" spans="2:17">
      <c r="C22" s="956" t="s">
        <v>217</v>
      </c>
      <c r="D22" s="780">
        <v>612.04</v>
      </c>
      <c r="E22" s="780"/>
      <c r="F22" s="780"/>
      <c r="G22" s="930"/>
      <c r="I22" s="930"/>
      <c r="J22" s="930"/>
    </row>
    <row r="23" spans="2:17">
      <c r="C23" s="956" t="s">
        <v>442</v>
      </c>
      <c r="D23" s="780">
        <v>548</v>
      </c>
      <c r="E23" s="780"/>
      <c r="F23" s="780"/>
      <c r="G23" s="930"/>
      <c r="I23" s="780"/>
      <c r="J23" s="930"/>
    </row>
    <row r="24" spans="2:17">
      <c r="C24" s="956" t="s">
        <v>443</v>
      </c>
      <c r="D24" s="961">
        <v>351.5</v>
      </c>
      <c r="E24" s="780"/>
      <c r="F24" s="780"/>
      <c r="G24" s="930"/>
      <c r="I24" s="930"/>
      <c r="J24" s="930"/>
    </row>
    <row r="25" spans="2:17" hidden="1">
      <c r="C25" s="956" t="s">
        <v>444</v>
      </c>
      <c r="D25" s="962"/>
      <c r="E25" s="930"/>
      <c r="G25" s="930"/>
      <c r="I25" s="930"/>
      <c r="J25" s="930"/>
      <c r="K25" s="780"/>
    </row>
    <row r="26" spans="2:17" ht="12.75" thickBot="1">
      <c r="C26" s="963"/>
      <c r="D26" s="933"/>
      <c r="E26" s="930"/>
      <c r="G26" s="930"/>
      <c r="I26" s="930"/>
      <c r="J26" s="930"/>
    </row>
    <row r="27" spans="2:17" ht="12.75" thickBot="1">
      <c r="B27" s="973"/>
      <c r="C27" s="935"/>
      <c r="D27" s="936"/>
      <c r="E27" s="936"/>
      <c r="F27" s="937"/>
      <c r="G27" s="938"/>
      <c r="H27" s="938"/>
      <c r="I27" s="1467" t="s">
        <v>428</v>
      </c>
      <c r="J27" s="1468"/>
      <c r="K27" s="1469" t="s">
        <v>429</v>
      </c>
      <c r="L27" s="1469" t="s">
        <v>430</v>
      </c>
    </row>
    <row r="28" spans="2:17" ht="12.75" thickBot="1">
      <c r="B28" s="974"/>
      <c r="C28" s="931"/>
      <c r="D28" s="931"/>
      <c r="E28" s="931"/>
      <c r="F28" s="931"/>
      <c r="I28" s="975">
        <v>0.2</v>
      </c>
      <c r="J28" s="976">
        <v>0.5</v>
      </c>
      <c r="K28" s="1470"/>
      <c r="L28" s="1470"/>
    </row>
    <row r="29" spans="2:17" ht="24.75" thickBot="1">
      <c r="B29" s="940" t="s">
        <v>431</v>
      </c>
      <c r="C29" s="941" t="s">
        <v>318</v>
      </c>
      <c r="D29" s="940" t="s">
        <v>432</v>
      </c>
      <c r="E29" s="940" t="s">
        <v>433</v>
      </c>
      <c r="F29" s="942" t="s">
        <v>434</v>
      </c>
      <c r="G29" s="943" t="s">
        <v>435</v>
      </c>
      <c r="H29" s="943" t="s">
        <v>436</v>
      </c>
      <c r="I29" s="985" t="s">
        <v>437</v>
      </c>
      <c r="J29" s="985" t="s">
        <v>438</v>
      </c>
      <c r="K29" s="1471"/>
      <c r="L29" s="1471"/>
      <c r="O29" s="597" t="s">
        <v>439</v>
      </c>
    </row>
    <row r="30" spans="2:17">
      <c r="B30" s="939">
        <v>1</v>
      </c>
      <c r="C30" s="964" t="s">
        <v>201</v>
      </c>
      <c r="D30" s="965">
        <v>10305226</v>
      </c>
      <c r="E30" s="965">
        <v>13481668</v>
      </c>
      <c r="F30" s="966">
        <v>27747</v>
      </c>
      <c r="G30" s="948">
        <v>35462</v>
      </c>
      <c r="H30" s="949">
        <v>10000</v>
      </c>
      <c r="I30" s="978"/>
      <c r="J30" s="978">
        <f>+D21/2</f>
        <v>302.97000000000003</v>
      </c>
      <c r="K30" s="984">
        <f>+D21-J30</f>
        <v>302.97000000000003</v>
      </c>
      <c r="L30" s="978">
        <f>+J30/1.18</f>
        <v>256.75423728813564</v>
      </c>
      <c r="M30" s="979">
        <f>+L30</f>
        <v>256.75423728813564</v>
      </c>
      <c r="N30" s="780">
        <f>+M30*0.18</f>
        <v>46.215762711864414</v>
      </c>
      <c r="O30" s="979">
        <f>+N30+M30</f>
        <v>302.97000000000003</v>
      </c>
      <c r="P30" s="979">
        <f>+D21-O30</f>
        <v>302.97000000000003</v>
      </c>
      <c r="Q30" s="979">
        <f>+P30+O30</f>
        <v>605.94000000000005</v>
      </c>
    </row>
    <row r="31" spans="2:17">
      <c r="B31" s="939">
        <v>2</v>
      </c>
      <c r="C31" s="956" t="s">
        <v>445</v>
      </c>
      <c r="D31" s="946">
        <v>9594953</v>
      </c>
      <c r="E31" s="946">
        <v>16647534</v>
      </c>
      <c r="F31" s="958">
        <v>26364</v>
      </c>
      <c r="G31" s="948">
        <v>41548</v>
      </c>
      <c r="H31" s="949"/>
      <c r="I31" s="980"/>
      <c r="J31" s="978">
        <f>+D23/2</f>
        <v>274</v>
      </c>
      <c r="K31" s="984">
        <f>+D23-J31</f>
        <v>274</v>
      </c>
      <c r="L31" s="978">
        <f>+J31/1.18</f>
        <v>232.20338983050848</v>
      </c>
      <c r="M31" s="979">
        <f>+L31</f>
        <v>232.20338983050848</v>
      </c>
      <c r="N31" s="780">
        <f t="shared" ref="N31:N32" si="0">+M31*0.18</f>
        <v>41.796610169491522</v>
      </c>
      <c r="O31" s="979">
        <f>+N31+M31</f>
        <v>274</v>
      </c>
      <c r="P31" s="979">
        <f>+D23-O31</f>
        <v>274</v>
      </c>
      <c r="Q31" s="979">
        <f t="shared" ref="Q31:Q32" si="1">+P31+O31</f>
        <v>548</v>
      </c>
    </row>
    <row r="32" spans="2:17">
      <c r="B32" s="939">
        <v>3</v>
      </c>
      <c r="C32" s="956" t="s">
        <v>446</v>
      </c>
      <c r="D32" s="946">
        <v>44425022</v>
      </c>
      <c r="E32" s="946">
        <v>16647538</v>
      </c>
      <c r="F32" s="958">
        <v>31996</v>
      </c>
      <c r="G32" s="948">
        <v>42917</v>
      </c>
      <c r="H32" s="949"/>
      <c r="I32" s="980"/>
      <c r="J32" s="978">
        <f>+D24/2</f>
        <v>175.75</v>
      </c>
      <c r="K32" s="984">
        <f>+D24-J32</f>
        <v>175.75</v>
      </c>
      <c r="L32" s="978">
        <f>+J32/1.18</f>
        <v>148.9406779661017</v>
      </c>
      <c r="M32" s="979">
        <f>+L32</f>
        <v>148.9406779661017</v>
      </c>
      <c r="N32" s="780">
        <f t="shared" si="0"/>
        <v>26.809322033898304</v>
      </c>
      <c r="O32" s="979">
        <f>+N32+M32</f>
        <v>175.75</v>
      </c>
      <c r="P32" s="979">
        <f>+D24-O32</f>
        <v>175.75</v>
      </c>
      <c r="Q32" s="979">
        <f t="shared" si="1"/>
        <v>351.5</v>
      </c>
    </row>
    <row r="33" spans="2:17">
      <c r="B33" s="939">
        <v>4</v>
      </c>
      <c r="C33" s="967" t="s">
        <v>217</v>
      </c>
      <c r="D33" s="968">
        <v>43172155</v>
      </c>
      <c r="E33" s="968">
        <v>26350</v>
      </c>
      <c r="F33" s="969">
        <v>31249</v>
      </c>
      <c r="G33" s="948">
        <v>42948</v>
      </c>
      <c r="H33" s="949"/>
      <c r="I33" s="978"/>
      <c r="J33" s="978">
        <f>+D22/2</f>
        <v>306.02</v>
      </c>
      <c r="K33" s="984">
        <f>+D22-J33</f>
        <v>306.02</v>
      </c>
      <c r="L33" s="978">
        <f>+J33/1.18</f>
        <v>259.33898305084745</v>
      </c>
      <c r="M33" s="979">
        <f>+L33</f>
        <v>259.33898305084745</v>
      </c>
      <c r="N33" s="780">
        <f>+M33*0.18</f>
        <v>46.681016949152536</v>
      </c>
      <c r="O33" s="979">
        <f>+N33+M33</f>
        <v>306.02</v>
      </c>
      <c r="P33" s="979">
        <f>+D22-O33</f>
        <v>306.02</v>
      </c>
      <c r="Q33" s="979">
        <f>+P33+O33</f>
        <v>612.04</v>
      </c>
    </row>
    <row r="34" spans="2:17" ht="12.75" thickBot="1">
      <c r="B34" s="944"/>
      <c r="C34" s="970"/>
      <c r="D34" s="971"/>
      <c r="E34" s="971"/>
      <c r="F34" s="972"/>
      <c r="G34" s="953"/>
      <c r="H34" s="954"/>
      <c r="I34" s="981"/>
      <c r="J34" s="981"/>
      <c r="K34" s="981"/>
      <c r="L34" s="981"/>
      <c r="M34" s="979">
        <f>+L34</f>
        <v>0</v>
      </c>
      <c r="N34" s="780">
        <f>+M34*0.18</f>
        <v>0</v>
      </c>
      <c r="O34" s="979">
        <f>+N34+M34</f>
        <v>0</v>
      </c>
      <c r="P34" s="979"/>
      <c r="Q34" s="979"/>
    </row>
    <row r="35" spans="2:17">
      <c r="B35" s="955"/>
      <c r="C35" s="956"/>
      <c r="D35" s="957"/>
      <c r="E35" s="957"/>
      <c r="F35" s="958"/>
      <c r="G35" s="959"/>
      <c r="H35" s="959"/>
      <c r="I35" s="982">
        <f>SUM(I30:I33)</f>
        <v>0</v>
      </c>
      <c r="J35" s="982">
        <f>SUM(J30:J33)</f>
        <v>1058.74</v>
      </c>
      <c r="K35" s="982">
        <f>SUM(K30:K33)</f>
        <v>1058.74</v>
      </c>
      <c r="L35" s="982">
        <f>SUM(L30:L33)</f>
        <v>897.2372881355933</v>
      </c>
      <c r="M35" s="956"/>
      <c r="N35" s="956"/>
      <c r="O35" s="983">
        <f>SUM(O30:O33)</f>
        <v>1058.74</v>
      </c>
      <c r="P35" s="983">
        <f>SUM(P30:P33)</f>
        <v>1058.74</v>
      </c>
      <c r="Q35" s="983">
        <f>SUM(Q30:Q33)</f>
        <v>2117.48</v>
      </c>
    </row>
    <row r="36" spans="2:17">
      <c r="K36" s="1006"/>
      <c r="L36" s="979"/>
    </row>
    <row r="37" spans="2:17">
      <c r="K37" s="1006"/>
    </row>
    <row r="41" spans="2:17">
      <c r="C41" s="928" t="s">
        <v>441</v>
      </c>
      <c r="Q41" s="979"/>
    </row>
    <row r="42" spans="2:17">
      <c r="D42" s="960"/>
      <c r="E42" s="960"/>
      <c r="F42" s="960"/>
      <c r="G42" s="960"/>
      <c r="I42" s="960"/>
      <c r="J42" s="960"/>
    </row>
    <row r="43" spans="2:17">
      <c r="C43" s="928" t="s">
        <v>424</v>
      </c>
      <c r="D43" s="597"/>
      <c r="E43" s="930"/>
      <c r="G43" s="930"/>
      <c r="I43" s="930"/>
      <c r="J43" s="930"/>
    </row>
    <row r="44" spans="2:17">
      <c r="C44" s="956" t="s">
        <v>201</v>
      </c>
      <c r="D44" s="780">
        <f>605.94/1.18</f>
        <v>513.50847457627128</v>
      </c>
      <c r="E44" s="780"/>
      <c r="F44" s="780"/>
      <c r="G44" s="930"/>
      <c r="I44" s="930"/>
      <c r="J44" s="930"/>
    </row>
    <row r="45" spans="2:17">
      <c r="C45" s="956" t="s">
        <v>217</v>
      </c>
      <c r="D45" s="780">
        <f>612.04/1.18</f>
        <v>518.67796610169489</v>
      </c>
      <c r="E45" s="780"/>
      <c r="F45" s="780"/>
      <c r="G45" s="930"/>
      <c r="I45" s="930"/>
      <c r="J45" s="930"/>
    </row>
    <row r="46" spans="2:17">
      <c r="C46" s="956" t="s">
        <v>442</v>
      </c>
      <c r="D46" s="780">
        <f>548/ 1.18</f>
        <v>464.40677966101697</v>
      </c>
      <c r="E46" s="780"/>
      <c r="F46" s="780"/>
      <c r="G46" s="930"/>
      <c r="I46" s="780"/>
      <c r="J46" s="930"/>
    </row>
    <row r="47" spans="2:17">
      <c r="C47" s="956" t="s">
        <v>443</v>
      </c>
      <c r="D47" s="961">
        <f>351.5/1.18</f>
        <v>297.88135593220341</v>
      </c>
      <c r="E47" s="780"/>
      <c r="F47" s="780"/>
      <c r="G47" s="930"/>
      <c r="I47" s="930"/>
      <c r="J47" s="930"/>
    </row>
    <row r="48" spans="2:17">
      <c r="C48" s="956"/>
      <c r="D48" s="962"/>
      <c r="E48" s="930"/>
      <c r="G48" s="930"/>
      <c r="I48" s="930"/>
      <c r="J48" s="930"/>
      <c r="K48" s="780"/>
    </row>
    <row r="49" spans="2:14" ht="12.75" thickBot="1">
      <c r="C49" s="963"/>
      <c r="D49" s="933"/>
      <c r="E49" s="930"/>
      <c r="G49" s="930"/>
      <c r="I49" s="930"/>
      <c r="J49" s="930"/>
    </row>
    <row r="50" spans="2:14" ht="12.75" thickBot="1">
      <c r="B50" s="973"/>
      <c r="C50" s="935"/>
      <c r="D50" s="936"/>
      <c r="E50" s="936"/>
      <c r="F50" s="937"/>
      <c r="G50" s="938"/>
      <c r="H50" s="938"/>
      <c r="I50" s="1467" t="s">
        <v>428</v>
      </c>
      <c r="J50" s="1468"/>
      <c r="K50" s="1469" t="s">
        <v>429</v>
      </c>
      <c r="L50" s="1469" t="s">
        <v>430</v>
      </c>
      <c r="M50" s="1469" t="s">
        <v>754</v>
      </c>
    </row>
    <row r="51" spans="2:14" ht="12.75" thickBot="1">
      <c r="B51" s="974"/>
      <c r="C51" s="931"/>
      <c r="D51" s="931"/>
      <c r="E51" s="931"/>
      <c r="F51" s="931"/>
      <c r="I51" s="975">
        <v>0.2</v>
      </c>
      <c r="J51" s="976">
        <v>0.5</v>
      </c>
      <c r="K51" s="1470"/>
      <c r="L51" s="1470"/>
      <c r="M51" s="1470"/>
    </row>
    <row r="52" spans="2:14" ht="24.75" thickBot="1">
      <c r="B52" s="940" t="s">
        <v>431</v>
      </c>
      <c r="C52" s="941" t="s">
        <v>318</v>
      </c>
      <c r="D52" s="940" t="s">
        <v>432</v>
      </c>
      <c r="E52" s="940" t="s">
        <v>433</v>
      </c>
      <c r="F52" s="942" t="s">
        <v>434</v>
      </c>
      <c r="G52" s="943" t="s">
        <v>435</v>
      </c>
      <c r="H52" s="943" t="s">
        <v>436</v>
      </c>
      <c r="I52" s="985" t="s">
        <v>437</v>
      </c>
      <c r="J52" s="985" t="s">
        <v>438</v>
      </c>
      <c r="K52" s="1471"/>
      <c r="L52" s="1471"/>
      <c r="M52" s="1471"/>
    </row>
    <row r="53" spans="2:14">
      <c r="B53" s="939">
        <v>1</v>
      </c>
      <c r="C53" s="964" t="s">
        <v>201</v>
      </c>
      <c r="D53" s="965">
        <v>10305226</v>
      </c>
      <c r="E53" s="965">
        <v>13481668</v>
      </c>
      <c r="F53" s="966">
        <v>27747</v>
      </c>
      <c r="G53" s="948">
        <v>35462</v>
      </c>
      <c r="H53" s="949">
        <v>10000</v>
      </c>
      <c r="I53" s="978"/>
      <c r="J53" s="978">
        <f>+D44/2</f>
        <v>256.75423728813564</v>
      </c>
      <c r="K53" s="984">
        <f>+D44-J53</f>
        <v>256.75423728813564</v>
      </c>
      <c r="L53" s="978">
        <f>605.93-K53</f>
        <v>349.17576271186431</v>
      </c>
      <c r="M53" s="1178">
        <f>+L53+K53</f>
        <v>605.92999999999995</v>
      </c>
      <c r="N53" s="780"/>
    </row>
    <row r="54" spans="2:14">
      <c r="B54" s="939">
        <v>2</v>
      </c>
      <c r="C54" s="956" t="s">
        <v>445</v>
      </c>
      <c r="D54" s="946">
        <v>9594953</v>
      </c>
      <c r="E54" s="946">
        <v>16647534</v>
      </c>
      <c r="F54" s="958">
        <v>26364</v>
      </c>
      <c r="G54" s="948">
        <v>41548</v>
      </c>
      <c r="H54" s="949"/>
      <c r="I54" s="980"/>
      <c r="J54" s="978">
        <f>+D46/2</f>
        <v>232.20338983050848</v>
      </c>
      <c r="K54" s="984">
        <f>+D46-J54</f>
        <v>232.20338983050848</v>
      </c>
      <c r="L54" s="978">
        <f>548-K54</f>
        <v>315.79661016949149</v>
      </c>
      <c r="M54" s="1179">
        <f t="shared" ref="M54:M56" si="2">+L54+K54</f>
        <v>548</v>
      </c>
      <c r="N54" s="780"/>
    </row>
    <row r="55" spans="2:14">
      <c r="B55" s="939">
        <v>3</v>
      </c>
      <c r="C55" s="956" t="s">
        <v>446</v>
      </c>
      <c r="D55" s="946">
        <v>44425022</v>
      </c>
      <c r="E55" s="946">
        <v>16647538</v>
      </c>
      <c r="F55" s="958">
        <v>31996</v>
      </c>
      <c r="G55" s="948">
        <v>42917</v>
      </c>
      <c r="H55" s="949"/>
      <c r="I55" s="980"/>
      <c r="J55" s="978">
        <f>+D47/2</f>
        <v>148.9406779661017</v>
      </c>
      <c r="K55" s="984">
        <f>+D47-J55</f>
        <v>148.9406779661017</v>
      </c>
      <c r="L55" s="978">
        <f>351.5-K55</f>
        <v>202.5593220338983</v>
      </c>
      <c r="M55" s="1179">
        <f t="shared" si="2"/>
        <v>351.5</v>
      </c>
      <c r="N55" s="780"/>
    </row>
    <row r="56" spans="2:14">
      <c r="B56" s="939">
        <v>4</v>
      </c>
      <c r="C56" s="967" t="s">
        <v>217</v>
      </c>
      <c r="D56" s="968">
        <v>43172155</v>
      </c>
      <c r="E56" s="968">
        <v>26350</v>
      </c>
      <c r="F56" s="969">
        <v>31249</v>
      </c>
      <c r="G56" s="948">
        <v>42948</v>
      </c>
      <c r="H56" s="949"/>
      <c r="I56" s="978"/>
      <c r="J56" s="978">
        <f>+D45/2</f>
        <v>259.33898305084745</v>
      </c>
      <c r="K56" s="984">
        <f>+D45-J56</f>
        <v>259.33898305084745</v>
      </c>
      <c r="L56" s="978">
        <f>612.304-K56</f>
        <v>352.96501694915253</v>
      </c>
      <c r="M56" s="1179">
        <f t="shared" si="2"/>
        <v>612.30399999999997</v>
      </c>
      <c r="N56" s="780"/>
    </row>
    <row r="57" spans="2:14" ht="12.75" thickBot="1">
      <c r="B57" s="944"/>
      <c r="C57" s="970"/>
      <c r="D57" s="971"/>
      <c r="E57" s="971"/>
      <c r="F57" s="972"/>
      <c r="G57" s="953"/>
      <c r="H57" s="954"/>
      <c r="I57" s="981"/>
      <c r="J57" s="981"/>
      <c r="K57" s="981"/>
      <c r="L57" s="981"/>
      <c r="M57" s="1180">
        <f>+L57</f>
        <v>0</v>
      </c>
      <c r="N57" s="780">
        <f>+M57*0.18</f>
        <v>0</v>
      </c>
    </row>
    <row r="58" spans="2:14">
      <c r="B58" s="955"/>
      <c r="C58" s="956"/>
      <c r="D58" s="957"/>
      <c r="E58" s="957"/>
      <c r="F58" s="958"/>
      <c r="G58" s="959"/>
      <c r="H58" s="959"/>
      <c r="I58" s="982">
        <f>SUM(I53:I56)</f>
        <v>0</v>
      </c>
      <c r="J58" s="982">
        <f>SUM(J53:J56)</f>
        <v>897.2372881355933</v>
      </c>
      <c r="K58" s="982">
        <f>SUM(K53:K56)</f>
        <v>897.2372881355933</v>
      </c>
      <c r="L58" s="982">
        <f>SUM(L53:L56)</f>
        <v>1220.4967118644067</v>
      </c>
      <c r="M58" s="982">
        <f>SUM(M53:M56)</f>
        <v>2117.7339999999999</v>
      </c>
      <c r="N58" s="956"/>
    </row>
    <row r="59" spans="2:14">
      <c r="K59" s="1006"/>
      <c r="L59" s="979"/>
    </row>
    <row r="60" spans="2:14">
      <c r="K60" s="1006"/>
    </row>
  </sheetData>
  <mergeCells count="10">
    <mergeCell ref="I50:J50"/>
    <mergeCell ref="K50:K52"/>
    <mergeCell ref="L50:L52"/>
    <mergeCell ref="M50:M52"/>
    <mergeCell ref="I8:J8"/>
    <mergeCell ref="K8:K10"/>
    <mergeCell ref="L8:L10"/>
    <mergeCell ref="I27:J27"/>
    <mergeCell ref="K27:K29"/>
    <mergeCell ref="L27:L29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0560-3E8F-4FFF-85AA-2B61661C3577}">
  <dimension ref="B1:V29"/>
  <sheetViews>
    <sheetView zoomScale="80" zoomScaleNormal="80" workbookViewId="0">
      <selection activeCell="P4" sqref="P4"/>
    </sheetView>
  </sheetViews>
  <sheetFormatPr baseColWidth="10" defaultColWidth="11.42578125" defaultRowHeight="15"/>
  <cols>
    <col min="1" max="1" width="9.42578125" bestFit="1" customWidth="1"/>
    <col min="3" max="3" width="37.5703125" customWidth="1"/>
    <col min="4" max="9" width="11.42578125" customWidth="1"/>
    <col min="10" max="10" width="11.42578125" hidden="1" customWidth="1"/>
    <col min="11" max="15" width="0" hidden="1" customWidth="1"/>
    <col min="16" max="16" width="13.42578125" customWidth="1"/>
    <col min="19" max="19" width="15" bestFit="1" customWidth="1"/>
  </cols>
  <sheetData>
    <row r="1" spans="2:22">
      <c r="S1" s="756"/>
      <c r="T1" s="756"/>
      <c r="U1" s="756"/>
      <c r="V1" s="756"/>
    </row>
    <row r="2" spans="2:22" ht="18" customHeight="1">
      <c r="B2" s="1295" t="s">
        <v>315</v>
      </c>
      <c r="C2" s="1295"/>
      <c r="D2" s="1473" t="s">
        <v>316</v>
      </c>
      <c r="E2" s="1473"/>
      <c r="F2" s="1473"/>
      <c r="G2" s="1473"/>
      <c r="H2" s="1473"/>
      <c r="I2" s="1473"/>
      <c r="J2" s="1473"/>
      <c r="K2" s="1473"/>
      <c r="L2" s="1473"/>
      <c r="M2" s="1473"/>
      <c r="N2" s="1473"/>
      <c r="O2" s="1473"/>
      <c r="P2" s="1474" t="s">
        <v>125</v>
      </c>
      <c r="Q2" s="1472" t="s">
        <v>317</v>
      </c>
      <c r="R2" s="1299"/>
    </row>
    <row r="3" spans="2:22" ht="28.5" customHeight="1">
      <c r="B3" s="1295"/>
      <c r="C3" s="1295" t="s">
        <v>318</v>
      </c>
      <c r="D3" s="1296" t="s">
        <v>319</v>
      </c>
      <c r="E3" s="1296" t="s">
        <v>320</v>
      </c>
      <c r="F3" s="1296" t="s">
        <v>321</v>
      </c>
      <c r="G3" s="1296" t="s">
        <v>322</v>
      </c>
      <c r="H3" s="1296" t="s">
        <v>323</v>
      </c>
      <c r="I3" s="1296" t="s">
        <v>324</v>
      </c>
      <c r="J3" s="1296" t="s">
        <v>325</v>
      </c>
      <c r="K3" s="1296" t="s">
        <v>326</v>
      </c>
      <c r="L3" s="1296" t="s">
        <v>327</v>
      </c>
      <c r="M3" s="1296" t="s">
        <v>328</v>
      </c>
      <c r="N3" s="1296" t="s">
        <v>329</v>
      </c>
      <c r="O3" s="1296" t="s">
        <v>330</v>
      </c>
      <c r="P3" s="1474"/>
      <c r="Q3" s="1472"/>
      <c r="R3" s="1299" t="s">
        <v>815</v>
      </c>
      <c r="S3" s="1298" t="s">
        <v>10</v>
      </c>
      <c r="T3" t="s">
        <v>125</v>
      </c>
    </row>
    <row r="4" spans="2:22">
      <c r="B4" s="1297">
        <v>1</v>
      </c>
      <c r="C4" s="769" t="s">
        <v>219</v>
      </c>
      <c r="D4" s="1082">
        <v>9122.3397000000004</v>
      </c>
      <c r="E4" s="703">
        <v>6019.6636499999995</v>
      </c>
      <c r="F4" s="703">
        <v>8538.4968900000003</v>
      </c>
      <c r="G4" s="703">
        <v>12937.093330000002</v>
      </c>
      <c r="H4" s="703">
        <v>8462.9701479661016</v>
      </c>
      <c r="I4" s="703">
        <v>8965.1879799999988</v>
      </c>
      <c r="J4" s="703"/>
      <c r="K4" s="703"/>
      <c r="L4" s="703"/>
      <c r="M4" s="703"/>
      <c r="N4" s="703"/>
      <c r="O4" s="703"/>
      <c r="P4" s="703">
        <f>SUM(D4:O4)</f>
        <v>54045.751697966101</v>
      </c>
      <c r="Q4" s="703">
        <f>+P4/6</f>
        <v>9007.6252829943496</v>
      </c>
      <c r="R4" s="711">
        <f>Q4/30</f>
        <v>300.25417609981167</v>
      </c>
      <c r="S4" s="156">
        <v>1</v>
      </c>
      <c r="T4" s="1300">
        <f>S4*R4</f>
        <v>300.25417609981167</v>
      </c>
    </row>
    <row r="5" spans="2:22">
      <c r="B5" s="1297">
        <f>+B4+1</f>
        <v>2</v>
      </c>
      <c r="C5" s="769" t="s">
        <v>228</v>
      </c>
      <c r="D5" s="1082">
        <v>2501.7108000000003</v>
      </c>
      <c r="E5" s="703">
        <v>2599.7563500000001</v>
      </c>
      <c r="F5" s="703">
        <v>3287.0806499999999</v>
      </c>
      <c r="G5" s="703">
        <v>2509.8714</v>
      </c>
      <c r="H5" s="703">
        <v>3359.0190000000002</v>
      </c>
      <c r="I5" s="703">
        <v>4331.4262500000004</v>
      </c>
      <c r="J5" s="703"/>
      <c r="K5" s="703"/>
      <c r="L5" s="703"/>
      <c r="M5" s="703"/>
      <c r="N5" s="703"/>
      <c r="O5" s="703"/>
      <c r="P5" s="703">
        <f>SUM(D5:O5)</f>
        <v>18588.864450000001</v>
      </c>
      <c r="Q5" s="703">
        <f>+P5/6</f>
        <v>3098.1440750000002</v>
      </c>
      <c r="R5" s="711">
        <f t="shared" ref="R5:R11" si="0">Q5/30</f>
        <v>103.27146916666668</v>
      </c>
      <c r="S5" s="156">
        <v>14</v>
      </c>
      <c r="T5" s="1300">
        <f t="shared" ref="T5:T11" si="1">S5*R5</f>
        <v>1445.8005683333336</v>
      </c>
    </row>
    <row r="6" spans="2:22">
      <c r="B6" s="1297">
        <f t="shared" ref="B6:B10" si="2">+B5+1</f>
        <v>3</v>
      </c>
      <c r="C6" s="769" t="s">
        <v>245</v>
      </c>
      <c r="D6" s="1082">
        <v>1375.3926864406781</v>
      </c>
      <c r="E6" s="703">
        <v>2137.4428499999999</v>
      </c>
      <c r="F6" s="703">
        <v>1953.9544499999995</v>
      </c>
      <c r="G6" s="703">
        <v>1486.9737000000002</v>
      </c>
      <c r="H6" s="703">
        <v>1343.5632000000001</v>
      </c>
      <c r="I6" s="703">
        <v>1994.6995500000003</v>
      </c>
      <c r="J6" s="703"/>
      <c r="K6" s="703"/>
      <c r="L6" s="703"/>
      <c r="M6" s="703"/>
      <c r="N6" s="703"/>
      <c r="O6" s="703"/>
      <c r="P6" s="703">
        <f t="shared" ref="P6:P11" si="3">SUM(D6:O6)</f>
        <v>10292.026436440679</v>
      </c>
      <c r="Q6" s="703">
        <f>+P6/6</f>
        <v>1715.33773940678</v>
      </c>
      <c r="R6" s="711">
        <f t="shared" si="0"/>
        <v>57.177924646892663</v>
      </c>
      <c r="S6" s="156">
        <v>1</v>
      </c>
      <c r="T6" s="1300">
        <f t="shared" si="1"/>
        <v>57.177924646892663</v>
      </c>
    </row>
    <row r="7" spans="2:22">
      <c r="B7" s="1297">
        <f t="shared" si="2"/>
        <v>4</v>
      </c>
      <c r="C7" s="769" t="s">
        <v>331</v>
      </c>
      <c r="D7" s="1082">
        <v>5568.2823474576262</v>
      </c>
      <c r="E7" s="703">
        <v>4483.2372220338984</v>
      </c>
      <c r="F7" s="703">
        <v>6098.9263499999997</v>
      </c>
      <c r="G7" s="703">
        <v>9240.7809500000003</v>
      </c>
      <c r="H7" s="703">
        <v>6044.9786771186446</v>
      </c>
      <c r="I7" s="703">
        <v>6403.7056999999995</v>
      </c>
      <c r="J7" s="703"/>
      <c r="K7" s="703"/>
      <c r="L7" s="703"/>
      <c r="M7" s="703"/>
      <c r="N7" s="703"/>
      <c r="O7" s="703"/>
      <c r="P7" s="703">
        <f t="shared" si="3"/>
        <v>37839.911246610172</v>
      </c>
      <c r="Q7" s="703">
        <f>+P7/6</f>
        <v>6306.6518744350287</v>
      </c>
      <c r="R7" s="711">
        <f t="shared" si="0"/>
        <v>210.22172914783428</v>
      </c>
      <c r="S7" s="156">
        <v>0</v>
      </c>
      <c r="T7" s="1300">
        <f t="shared" si="1"/>
        <v>0</v>
      </c>
    </row>
    <row r="8" spans="2:22">
      <c r="B8" s="1297">
        <f t="shared" si="2"/>
        <v>5</v>
      </c>
      <c r="C8" s="769" t="s">
        <v>269</v>
      </c>
      <c r="D8" s="1082">
        <v>404.14904999999999</v>
      </c>
      <c r="E8" s="703">
        <v>749.28030000000001</v>
      </c>
      <c r="F8" s="703">
        <v>531.69464999999991</v>
      </c>
      <c r="G8" s="703">
        <v>3286.2736500000001</v>
      </c>
      <c r="H8" s="703">
        <v>700.75905</v>
      </c>
      <c r="I8" s="703">
        <v>1556.8993499999999</v>
      </c>
      <c r="J8" s="703"/>
      <c r="K8" s="703"/>
      <c r="L8" s="703"/>
      <c r="M8" s="703"/>
      <c r="N8" s="703"/>
      <c r="O8" s="703"/>
      <c r="P8" s="703">
        <f t="shared" si="3"/>
        <v>7229.0560499999992</v>
      </c>
      <c r="Q8" s="703">
        <f t="shared" ref="Q8:Q11" si="4">+P8/6</f>
        <v>1204.8426749999999</v>
      </c>
      <c r="R8" s="711">
        <f t="shared" si="0"/>
        <v>40.161422499999993</v>
      </c>
      <c r="S8" s="156">
        <v>0</v>
      </c>
      <c r="T8" s="1300">
        <f t="shared" si="1"/>
        <v>0</v>
      </c>
    </row>
    <row r="9" spans="2:22">
      <c r="B9" s="1297">
        <f t="shared" si="2"/>
        <v>6</v>
      </c>
      <c r="C9" s="769" t="s">
        <v>267</v>
      </c>
      <c r="D9" s="1082">
        <v>2429.196355932203</v>
      </c>
      <c r="E9" s="703">
        <v>842.6241</v>
      </c>
      <c r="F9" s="703">
        <v>846.33224999999993</v>
      </c>
      <c r="G9" s="703">
        <v>2406.4389000000001</v>
      </c>
      <c r="H9" s="703">
        <v>1799.1558813559323</v>
      </c>
      <c r="I9" s="703">
        <v>662.76479999999992</v>
      </c>
      <c r="J9" s="703"/>
      <c r="K9" s="703"/>
      <c r="L9" s="703"/>
      <c r="M9" s="703"/>
      <c r="N9" s="703"/>
      <c r="O9" s="703"/>
      <c r="P9" s="703">
        <f t="shared" si="3"/>
        <v>8986.5122872881366</v>
      </c>
      <c r="Q9" s="703">
        <f t="shared" si="4"/>
        <v>1497.752047881356</v>
      </c>
      <c r="R9" s="711">
        <f t="shared" si="0"/>
        <v>49.925068262711868</v>
      </c>
      <c r="S9" s="156">
        <v>0</v>
      </c>
      <c r="T9" s="1300">
        <f t="shared" si="1"/>
        <v>0</v>
      </c>
    </row>
    <row r="10" spans="2:22">
      <c r="B10" s="1297">
        <f t="shared" si="2"/>
        <v>7</v>
      </c>
      <c r="C10" s="769" t="s">
        <v>275</v>
      </c>
      <c r="D10" s="1082">
        <v>872.05844999999999</v>
      </c>
      <c r="E10" s="703">
        <v>1100.944416101695</v>
      </c>
      <c r="F10" s="703">
        <v>3369.7662</v>
      </c>
      <c r="G10" s="703">
        <v>937.36110000000019</v>
      </c>
      <c r="H10" s="703">
        <v>1449.1908000000001</v>
      </c>
      <c r="I10" s="703">
        <v>1482.3352499999996</v>
      </c>
      <c r="J10" s="703"/>
      <c r="K10" s="703"/>
      <c r="L10" s="703"/>
      <c r="M10" s="703"/>
      <c r="N10" s="703"/>
      <c r="O10" s="703"/>
      <c r="P10" s="703">
        <f t="shared" si="3"/>
        <v>9211.6562161016955</v>
      </c>
      <c r="Q10" s="703">
        <f t="shared" si="4"/>
        <v>1535.2760360169493</v>
      </c>
      <c r="R10" s="711">
        <f t="shared" si="0"/>
        <v>51.175867867231645</v>
      </c>
      <c r="S10" s="156">
        <v>7</v>
      </c>
      <c r="T10" s="1300">
        <f t="shared" si="1"/>
        <v>358.2310750706215</v>
      </c>
    </row>
    <row r="11" spans="2:22">
      <c r="B11" s="1297">
        <v>8</v>
      </c>
      <c r="C11" s="1011" t="s">
        <v>280</v>
      </c>
      <c r="D11" s="771"/>
      <c r="E11" s="771"/>
      <c r="F11" s="771"/>
      <c r="G11" s="771"/>
      <c r="H11" s="771"/>
      <c r="I11" s="771">
        <v>887.80799999999988</v>
      </c>
      <c r="J11" s="771"/>
      <c r="K11" s="771"/>
      <c r="L11" s="771"/>
      <c r="M11" s="771"/>
      <c r="N11" s="771"/>
      <c r="O11" s="771"/>
      <c r="P11" s="703">
        <f t="shared" si="3"/>
        <v>887.80799999999988</v>
      </c>
      <c r="Q11" s="703">
        <f t="shared" si="4"/>
        <v>147.96799999999999</v>
      </c>
      <c r="R11" s="711">
        <f t="shared" si="0"/>
        <v>4.9322666666666661</v>
      </c>
      <c r="S11" s="156">
        <v>0</v>
      </c>
      <c r="T11" s="1300">
        <f t="shared" si="1"/>
        <v>0</v>
      </c>
    </row>
    <row r="12" spans="2:22" ht="15.75" customHeight="1" thickBot="1">
      <c r="D12" s="777">
        <f t="shared" ref="D12:Q12" si="5">SUM(D4:D11)</f>
        <v>22273.129389830508</v>
      </c>
      <c r="E12" s="777">
        <f t="shared" si="5"/>
        <v>17932.948888135594</v>
      </c>
      <c r="F12" s="777">
        <f t="shared" si="5"/>
        <v>24626.25144</v>
      </c>
      <c r="G12" s="777">
        <f t="shared" si="5"/>
        <v>32804.793030000001</v>
      </c>
      <c r="H12" s="777">
        <f t="shared" si="5"/>
        <v>23159.636756440679</v>
      </c>
      <c r="I12" s="777">
        <f t="shared" si="5"/>
        <v>26284.826880000001</v>
      </c>
      <c r="J12" s="777">
        <f t="shared" si="5"/>
        <v>0</v>
      </c>
      <c r="K12" s="777">
        <f t="shared" si="5"/>
        <v>0</v>
      </c>
      <c r="L12" s="777">
        <f t="shared" si="5"/>
        <v>0</v>
      </c>
      <c r="M12" s="778">
        <f t="shared" si="5"/>
        <v>0</v>
      </c>
      <c r="N12" s="777">
        <f t="shared" si="5"/>
        <v>0</v>
      </c>
      <c r="O12" s="777">
        <f t="shared" si="5"/>
        <v>0</v>
      </c>
      <c r="P12" s="777">
        <f t="shared" si="5"/>
        <v>147081.58638440675</v>
      </c>
      <c r="Q12" s="777">
        <f t="shared" si="5"/>
        <v>24513.597730734462</v>
      </c>
      <c r="R12" s="756"/>
      <c r="T12" s="1301">
        <f>SUM(T4:T11)</f>
        <v>2161.4637441506593</v>
      </c>
    </row>
    <row r="13" spans="2:22" ht="27" customHeight="1" thickTop="1">
      <c r="E13" s="779"/>
      <c r="F13" s="779"/>
      <c r="H13" s="779"/>
      <c r="I13" s="779"/>
      <c r="J13" s="998"/>
      <c r="K13" s="779"/>
      <c r="L13" s="998"/>
      <c r="M13" s="998"/>
      <c r="N13" s="998"/>
      <c r="O13" s="998"/>
    </row>
    <row r="14" spans="2:22">
      <c r="E14" s="779"/>
      <c r="F14" s="779"/>
      <c r="G14" s="779"/>
      <c r="H14" s="779"/>
      <c r="I14" s="764"/>
      <c r="J14" s="998"/>
      <c r="K14" s="998"/>
      <c r="L14" s="998"/>
      <c r="M14" s="998"/>
      <c r="N14" s="998"/>
      <c r="O14" s="998"/>
    </row>
    <row r="21" ht="15.75" customHeight="1"/>
    <row r="22" ht="27" customHeight="1"/>
    <row r="28" ht="15.75" customHeight="1"/>
    <row r="29" ht="27" customHeight="1"/>
  </sheetData>
  <mergeCells count="3">
    <mergeCell ref="Q2:Q3"/>
    <mergeCell ref="D2:O2"/>
    <mergeCell ref="P2:P3"/>
  </mergeCells>
  <conditionalFormatting sqref="C11">
    <cfRule type="duplicateValues" dxfId="2" priority="1"/>
  </conditionalFormatting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ED75-42E5-4FAB-ADE7-D3C49E737948}">
  <dimension ref="A1:T62"/>
  <sheetViews>
    <sheetView topLeftCell="A15" workbookViewId="0">
      <selection activeCell="C36" sqref="C36"/>
    </sheetView>
  </sheetViews>
  <sheetFormatPr baseColWidth="10" defaultColWidth="11.42578125" defaultRowHeight="12"/>
  <cols>
    <col min="1" max="1" width="25.5703125" style="873" customWidth="1"/>
    <col min="2" max="2" width="13.7109375" style="873" customWidth="1"/>
    <col min="3" max="6" width="10.85546875" style="873" customWidth="1"/>
    <col min="7" max="7" width="11.28515625" style="873" customWidth="1"/>
    <col min="8" max="8" width="12.5703125" style="873" bestFit="1" customWidth="1"/>
    <col min="9" max="12" width="10.85546875" style="873" customWidth="1"/>
    <col min="13" max="13" width="10.7109375" style="873" customWidth="1"/>
    <col min="14" max="14" width="10.85546875" style="873" customWidth="1"/>
    <col min="15" max="15" width="13" style="873" customWidth="1"/>
    <col min="16" max="17" width="10.85546875" style="873" customWidth="1"/>
    <col min="18" max="18" width="16" style="873" bestFit="1" customWidth="1"/>
    <col min="19" max="259" width="11.42578125" style="873"/>
    <col min="260" max="260" width="21.7109375" style="873" customWidth="1"/>
    <col min="261" max="261" width="9.7109375" style="873" customWidth="1"/>
    <col min="262" max="262" width="10.85546875" style="873" customWidth="1"/>
    <col min="263" max="263" width="11.42578125" style="873"/>
    <col min="264" max="264" width="11.7109375" style="873" customWidth="1"/>
    <col min="265" max="265" width="12.140625" style="873" customWidth="1"/>
    <col min="266" max="266" width="11.28515625" style="873" customWidth="1"/>
    <col min="267" max="267" width="11.7109375" style="873" customWidth="1"/>
    <col min="268" max="268" width="12" style="873" customWidth="1"/>
    <col min="269" max="269" width="14.140625" style="873" customWidth="1"/>
    <col min="270" max="515" width="11.42578125" style="873"/>
    <col min="516" max="516" width="21.7109375" style="873" customWidth="1"/>
    <col min="517" max="517" width="9.7109375" style="873" customWidth="1"/>
    <col min="518" max="518" width="10.85546875" style="873" customWidth="1"/>
    <col min="519" max="519" width="11.42578125" style="873"/>
    <col min="520" max="520" width="11.7109375" style="873" customWidth="1"/>
    <col min="521" max="521" width="12.140625" style="873" customWidth="1"/>
    <col min="522" max="522" width="11.28515625" style="873" customWidth="1"/>
    <col min="523" max="523" width="11.7109375" style="873" customWidth="1"/>
    <col min="524" max="524" width="12" style="873" customWidth="1"/>
    <col min="525" max="525" width="14.140625" style="873" customWidth="1"/>
    <col min="526" max="771" width="11.42578125" style="873"/>
    <col min="772" max="772" width="21.7109375" style="873" customWidth="1"/>
    <col min="773" max="773" width="9.7109375" style="873" customWidth="1"/>
    <col min="774" max="774" width="10.85546875" style="873" customWidth="1"/>
    <col min="775" max="775" width="11.42578125" style="873"/>
    <col min="776" max="776" width="11.7109375" style="873" customWidth="1"/>
    <col min="777" max="777" width="12.140625" style="873" customWidth="1"/>
    <col min="778" max="778" width="11.28515625" style="873" customWidth="1"/>
    <col min="779" max="779" width="11.7109375" style="873" customWidth="1"/>
    <col min="780" max="780" width="12" style="873" customWidth="1"/>
    <col min="781" max="781" width="14.140625" style="873" customWidth="1"/>
    <col min="782" max="1027" width="11.42578125" style="873"/>
    <col min="1028" max="1028" width="21.7109375" style="873" customWidth="1"/>
    <col min="1029" max="1029" width="9.7109375" style="873" customWidth="1"/>
    <col min="1030" max="1030" width="10.85546875" style="873" customWidth="1"/>
    <col min="1031" max="1031" width="11.42578125" style="873"/>
    <col min="1032" max="1032" width="11.7109375" style="873" customWidth="1"/>
    <col min="1033" max="1033" width="12.140625" style="873" customWidth="1"/>
    <col min="1034" max="1034" width="11.28515625" style="873" customWidth="1"/>
    <col min="1035" max="1035" width="11.7109375" style="873" customWidth="1"/>
    <col min="1036" max="1036" width="12" style="873" customWidth="1"/>
    <col min="1037" max="1037" width="14.140625" style="873" customWidth="1"/>
    <col min="1038" max="1283" width="11.42578125" style="873"/>
    <col min="1284" max="1284" width="21.7109375" style="873" customWidth="1"/>
    <col min="1285" max="1285" width="9.7109375" style="873" customWidth="1"/>
    <col min="1286" max="1286" width="10.85546875" style="873" customWidth="1"/>
    <col min="1287" max="1287" width="11.42578125" style="873"/>
    <col min="1288" max="1288" width="11.7109375" style="873" customWidth="1"/>
    <col min="1289" max="1289" width="12.140625" style="873" customWidth="1"/>
    <col min="1290" max="1290" width="11.28515625" style="873" customWidth="1"/>
    <col min="1291" max="1291" width="11.7109375" style="873" customWidth="1"/>
    <col min="1292" max="1292" width="12" style="873" customWidth="1"/>
    <col min="1293" max="1293" width="14.140625" style="873" customWidth="1"/>
    <col min="1294" max="1539" width="11.42578125" style="873"/>
    <col min="1540" max="1540" width="21.7109375" style="873" customWidth="1"/>
    <col min="1541" max="1541" width="9.7109375" style="873" customWidth="1"/>
    <col min="1542" max="1542" width="10.85546875" style="873" customWidth="1"/>
    <col min="1543" max="1543" width="11.42578125" style="873"/>
    <col min="1544" max="1544" width="11.7109375" style="873" customWidth="1"/>
    <col min="1545" max="1545" width="12.140625" style="873" customWidth="1"/>
    <col min="1546" max="1546" width="11.28515625" style="873" customWidth="1"/>
    <col min="1547" max="1547" width="11.7109375" style="873" customWidth="1"/>
    <col min="1548" max="1548" width="12" style="873" customWidth="1"/>
    <col min="1549" max="1549" width="14.140625" style="873" customWidth="1"/>
    <col min="1550" max="1795" width="11.42578125" style="873"/>
    <col min="1796" max="1796" width="21.7109375" style="873" customWidth="1"/>
    <col min="1797" max="1797" width="9.7109375" style="873" customWidth="1"/>
    <col min="1798" max="1798" width="10.85546875" style="873" customWidth="1"/>
    <col min="1799" max="1799" width="11.42578125" style="873"/>
    <col min="1800" max="1800" width="11.7109375" style="873" customWidth="1"/>
    <col min="1801" max="1801" width="12.140625" style="873" customWidth="1"/>
    <col min="1802" max="1802" width="11.28515625" style="873" customWidth="1"/>
    <col min="1803" max="1803" width="11.7109375" style="873" customWidth="1"/>
    <col min="1804" max="1804" width="12" style="873" customWidth="1"/>
    <col min="1805" max="1805" width="14.140625" style="873" customWidth="1"/>
    <col min="1806" max="2051" width="11.42578125" style="873"/>
    <col min="2052" max="2052" width="21.7109375" style="873" customWidth="1"/>
    <col min="2053" max="2053" width="9.7109375" style="873" customWidth="1"/>
    <col min="2054" max="2054" width="10.85546875" style="873" customWidth="1"/>
    <col min="2055" max="2055" width="11.42578125" style="873"/>
    <col min="2056" max="2056" width="11.7109375" style="873" customWidth="1"/>
    <col min="2057" max="2057" width="12.140625" style="873" customWidth="1"/>
    <col min="2058" max="2058" width="11.28515625" style="873" customWidth="1"/>
    <col min="2059" max="2059" width="11.7109375" style="873" customWidth="1"/>
    <col min="2060" max="2060" width="12" style="873" customWidth="1"/>
    <col min="2061" max="2061" width="14.140625" style="873" customWidth="1"/>
    <col min="2062" max="2307" width="11.42578125" style="873"/>
    <col min="2308" max="2308" width="21.7109375" style="873" customWidth="1"/>
    <col min="2309" max="2309" width="9.7109375" style="873" customWidth="1"/>
    <col min="2310" max="2310" width="10.85546875" style="873" customWidth="1"/>
    <col min="2311" max="2311" width="11.42578125" style="873"/>
    <col min="2312" max="2312" width="11.7109375" style="873" customWidth="1"/>
    <col min="2313" max="2313" width="12.140625" style="873" customWidth="1"/>
    <col min="2314" max="2314" width="11.28515625" style="873" customWidth="1"/>
    <col min="2315" max="2315" width="11.7109375" style="873" customWidth="1"/>
    <col min="2316" max="2316" width="12" style="873" customWidth="1"/>
    <col min="2317" max="2317" width="14.140625" style="873" customWidth="1"/>
    <col min="2318" max="2563" width="11.42578125" style="873"/>
    <col min="2564" max="2564" width="21.7109375" style="873" customWidth="1"/>
    <col min="2565" max="2565" width="9.7109375" style="873" customWidth="1"/>
    <col min="2566" max="2566" width="10.85546875" style="873" customWidth="1"/>
    <col min="2567" max="2567" width="11.42578125" style="873"/>
    <col min="2568" max="2568" width="11.7109375" style="873" customWidth="1"/>
    <col min="2569" max="2569" width="12.140625" style="873" customWidth="1"/>
    <col min="2570" max="2570" width="11.28515625" style="873" customWidth="1"/>
    <col min="2571" max="2571" width="11.7109375" style="873" customWidth="1"/>
    <col min="2572" max="2572" width="12" style="873" customWidth="1"/>
    <col min="2573" max="2573" width="14.140625" style="873" customWidth="1"/>
    <col min="2574" max="2819" width="11.42578125" style="873"/>
    <col min="2820" max="2820" width="21.7109375" style="873" customWidth="1"/>
    <col min="2821" max="2821" width="9.7109375" style="873" customWidth="1"/>
    <col min="2822" max="2822" width="10.85546875" style="873" customWidth="1"/>
    <col min="2823" max="2823" width="11.42578125" style="873"/>
    <col min="2824" max="2824" width="11.7109375" style="873" customWidth="1"/>
    <col min="2825" max="2825" width="12.140625" style="873" customWidth="1"/>
    <col min="2826" max="2826" width="11.28515625" style="873" customWidth="1"/>
    <col min="2827" max="2827" width="11.7109375" style="873" customWidth="1"/>
    <col min="2828" max="2828" width="12" style="873" customWidth="1"/>
    <col min="2829" max="2829" width="14.140625" style="873" customWidth="1"/>
    <col min="2830" max="3075" width="11.42578125" style="873"/>
    <col min="3076" max="3076" width="21.7109375" style="873" customWidth="1"/>
    <col min="3077" max="3077" width="9.7109375" style="873" customWidth="1"/>
    <col min="3078" max="3078" width="10.85546875" style="873" customWidth="1"/>
    <col min="3079" max="3079" width="11.42578125" style="873"/>
    <col min="3080" max="3080" width="11.7109375" style="873" customWidth="1"/>
    <col min="3081" max="3081" width="12.140625" style="873" customWidth="1"/>
    <col min="3082" max="3082" width="11.28515625" style="873" customWidth="1"/>
    <col min="3083" max="3083" width="11.7109375" style="873" customWidth="1"/>
    <col min="3084" max="3084" width="12" style="873" customWidth="1"/>
    <col min="3085" max="3085" width="14.140625" style="873" customWidth="1"/>
    <col min="3086" max="3331" width="11.42578125" style="873"/>
    <col min="3332" max="3332" width="21.7109375" style="873" customWidth="1"/>
    <col min="3333" max="3333" width="9.7109375" style="873" customWidth="1"/>
    <col min="3334" max="3334" width="10.85546875" style="873" customWidth="1"/>
    <col min="3335" max="3335" width="11.42578125" style="873"/>
    <col min="3336" max="3336" width="11.7109375" style="873" customWidth="1"/>
    <col min="3337" max="3337" width="12.140625" style="873" customWidth="1"/>
    <col min="3338" max="3338" width="11.28515625" style="873" customWidth="1"/>
    <col min="3339" max="3339" width="11.7109375" style="873" customWidth="1"/>
    <col min="3340" max="3340" width="12" style="873" customWidth="1"/>
    <col min="3341" max="3341" width="14.140625" style="873" customWidth="1"/>
    <col min="3342" max="3587" width="11.42578125" style="873"/>
    <col min="3588" max="3588" width="21.7109375" style="873" customWidth="1"/>
    <col min="3589" max="3589" width="9.7109375" style="873" customWidth="1"/>
    <col min="3590" max="3590" width="10.85546875" style="873" customWidth="1"/>
    <col min="3591" max="3591" width="11.42578125" style="873"/>
    <col min="3592" max="3592" width="11.7109375" style="873" customWidth="1"/>
    <col min="3593" max="3593" width="12.140625" style="873" customWidth="1"/>
    <col min="3594" max="3594" width="11.28515625" style="873" customWidth="1"/>
    <col min="3595" max="3595" width="11.7109375" style="873" customWidth="1"/>
    <col min="3596" max="3596" width="12" style="873" customWidth="1"/>
    <col min="3597" max="3597" width="14.140625" style="873" customWidth="1"/>
    <col min="3598" max="3843" width="11.42578125" style="873"/>
    <col min="3844" max="3844" width="21.7109375" style="873" customWidth="1"/>
    <col min="3845" max="3845" width="9.7109375" style="873" customWidth="1"/>
    <col min="3846" max="3846" width="10.85546875" style="873" customWidth="1"/>
    <col min="3847" max="3847" width="11.42578125" style="873"/>
    <col min="3848" max="3848" width="11.7109375" style="873" customWidth="1"/>
    <col min="3849" max="3849" width="12.140625" style="873" customWidth="1"/>
    <col min="3850" max="3850" width="11.28515625" style="873" customWidth="1"/>
    <col min="3851" max="3851" width="11.7109375" style="873" customWidth="1"/>
    <col min="3852" max="3852" width="12" style="873" customWidth="1"/>
    <col min="3853" max="3853" width="14.140625" style="873" customWidth="1"/>
    <col min="3854" max="4099" width="11.42578125" style="873"/>
    <col min="4100" max="4100" width="21.7109375" style="873" customWidth="1"/>
    <col min="4101" max="4101" width="9.7109375" style="873" customWidth="1"/>
    <col min="4102" max="4102" width="10.85546875" style="873" customWidth="1"/>
    <col min="4103" max="4103" width="11.42578125" style="873"/>
    <col min="4104" max="4104" width="11.7109375" style="873" customWidth="1"/>
    <col min="4105" max="4105" width="12.140625" style="873" customWidth="1"/>
    <col min="4106" max="4106" width="11.28515625" style="873" customWidth="1"/>
    <col min="4107" max="4107" width="11.7109375" style="873" customWidth="1"/>
    <col min="4108" max="4108" width="12" style="873" customWidth="1"/>
    <col min="4109" max="4109" width="14.140625" style="873" customWidth="1"/>
    <col min="4110" max="4355" width="11.42578125" style="873"/>
    <col min="4356" max="4356" width="21.7109375" style="873" customWidth="1"/>
    <col min="4357" max="4357" width="9.7109375" style="873" customWidth="1"/>
    <col min="4358" max="4358" width="10.85546875" style="873" customWidth="1"/>
    <col min="4359" max="4359" width="11.42578125" style="873"/>
    <col min="4360" max="4360" width="11.7109375" style="873" customWidth="1"/>
    <col min="4361" max="4361" width="12.140625" style="873" customWidth="1"/>
    <col min="4362" max="4362" width="11.28515625" style="873" customWidth="1"/>
    <col min="4363" max="4363" width="11.7109375" style="873" customWidth="1"/>
    <col min="4364" max="4364" width="12" style="873" customWidth="1"/>
    <col min="4365" max="4365" width="14.140625" style="873" customWidth="1"/>
    <col min="4366" max="4611" width="11.42578125" style="873"/>
    <col min="4612" max="4612" width="21.7109375" style="873" customWidth="1"/>
    <col min="4613" max="4613" width="9.7109375" style="873" customWidth="1"/>
    <col min="4614" max="4614" width="10.85546875" style="873" customWidth="1"/>
    <col min="4615" max="4615" width="11.42578125" style="873"/>
    <col min="4616" max="4616" width="11.7109375" style="873" customWidth="1"/>
    <col min="4617" max="4617" width="12.140625" style="873" customWidth="1"/>
    <col min="4618" max="4618" width="11.28515625" style="873" customWidth="1"/>
    <col min="4619" max="4619" width="11.7109375" style="873" customWidth="1"/>
    <col min="4620" max="4620" width="12" style="873" customWidth="1"/>
    <col min="4621" max="4621" width="14.140625" style="873" customWidth="1"/>
    <col min="4622" max="4867" width="11.42578125" style="873"/>
    <col min="4868" max="4868" width="21.7109375" style="873" customWidth="1"/>
    <col min="4869" max="4869" width="9.7109375" style="873" customWidth="1"/>
    <col min="4870" max="4870" width="10.85546875" style="873" customWidth="1"/>
    <col min="4871" max="4871" width="11.42578125" style="873"/>
    <col min="4872" max="4872" width="11.7109375" style="873" customWidth="1"/>
    <col min="4873" max="4873" width="12.140625" style="873" customWidth="1"/>
    <col min="4874" max="4874" width="11.28515625" style="873" customWidth="1"/>
    <col min="4875" max="4875" width="11.7109375" style="873" customWidth="1"/>
    <col min="4876" max="4876" width="12" style="873" customWidth="1"/>
    <col min="4877" max="4877" width="14.140625" style="873" customWidth="1"/>
    <col min="4878" max="5123" width="11.42578125" style="873"/>
    <col min="5124" max="5124" width="21.7109375" style="873" customWidth="1"/>
    <col min="5125" max="5125" width="9.7109375" style="873" customWidth="1"/>
    <col min="5126" max="5126" width="10.85546875" style="873" customWidth="1"/>
    <col min="5127" max="5127" width="11.42578125" style="873"/>
    <col min="5128" max="5128" width="11.7109375" style="873" customWidth="1"/>
    <col min="5129" max="5129" width="12.140625" style="873" customWidth="1"/>
    <col min="5130" max="5130" width="11.28515625" style="873" customWidth="1"/>
    <col min="5131" max="5131" width="11.7109375" style="873" customWidth="1"/>
    <col min="5132" max="5132" width="12" style="873" customWidth="1"/>
    <col min="5133" max="5133" width="14.140625" style="873" customWidth="1"/>
    <col min="5134" max="5379" width="11.42578125" style="873"/>
    <col min="5380" max="5380" width="21.7109375" style="873" customWidth="1"/>
    <col min="5381" max="5381" width="9.7109375" style="873" customWidth="1"/>
    <col min="5382" max="5382" width="10.85546875" style="873" customWidth="1"/>
    <col min="5383" max="5383" width="11.42578125" style="873"/>
    <col min="5384" max="5384" width="11.7109375" style="873" customWidth="1"/>
    <col min="5385" max="5385" width="12.140625" style="873" customWidth="1"/>
    <col min="5386" max="5386" width="11.28515625" style="873" customWidth="1"/>
    <col min="5387" max="5387" width="11.7109375" style="873" customWidth="1"/>
    <col min="5388" max="5388" width="12" style="873" customWidth="1"/>
    <col min="5389" max="5389" width="14.140625" style="873" customWidth="1"/>
    <col min="5390" max="5635" width="11.42578125" style="873"/>
    <col min="5636" max="5636" width="21.7109375" style="873" customWidth="1"/>
    <col min="5637" max="5637" width="9.7109375" style="873" customWidth="1"/>
    <col min="5638" max="5638" width="10.85546875" style="873" customWidth="1"/>
    <col min="5639" max="5639" width="11.42578125" style="873"/>
    <col min="5640" max="5640" width="11.7109375" style="873" customWidth="1"/>
    <col min="5641" max="5641" width="12.140625" style="873" customWidth="1"/>
    <col min="5642" max="5642" width="11.28515625" style="873" customWidth="1"/>
    <col min="5643" max="5643" width="11.7109375" style="873" customWidth="1"/>
    <col min="5644" max="5644" width="12" style="873" customWidth="1"/>
    <col min="5645" max="5645" width="14.140625" style="873" customWidth="1"/>
    <col min="5646" max="5891" width="11.42578125" style="873"/>
    <col min="5892" max="5892" width="21.7109375" style="873" customWidth="1"/>
    <col min="5893" max="5893" width="9.7109375" style="873" customWidth="1"/>
    <col min="5894" max="5894" width="10.85546875" style="873" customWidth="1"/>
    <col min="5895" max="5895" width="11.42578125" style="873"/>
    <col min="5896" max="5896" width="11.7109375" style="873" customWidth="1"/>
    <col min="5897" max="5897" width="12.140625" style="873" customWidth="1"/>
    <col min="5898" max="5898" width="11.28515625" style="873" customWidth="1"/>
    <col min="5899" max="5899" width="11.7109375" style="873" customWidth="1"/>
    <col min="5900" max="5900" width="12" style="873" customWidth="1"/>
    <col min="5901" max="5901" width="14.140625" style="873" customWidth="1"/>
    <col min="5902" max="6147" width="11.42578125" style="873"/>
    <col min="6148" max="6148" width="21.7109375" style="873" customWidth="1"/>
    <col min="6149" max="6149" width="9.7109375" style="873" customWidth="1"/>
    <col min="6150" max="6150" width="10.85546875" style="873" customWidth="1"/>
    <col min="6151" max="6151" width="11.42578125" style="873"/>
    <col min="6152" max="6152" width="11.7109375" style="873" customWidth="1"/>
    <col min="6153" max="6153" width="12.140625" style="873" customWidth="1"/>
    <col min="6154" max="6154" width="11.28515625" style="873" customWidth="1"/>
    <col min="6155" max="6155" width="11.7109375" style="873" customWidth="1"/>
    <col min="6156" max="6156" width="12" style="873" customWidth="1"/>
    <col min="6157" max="6157" width="14.140625" style="873" customWidth="1"/>
    <col min="6158" max="6403" width="11.42578125" style="873"/>
    <col min="6404" max="6404" width="21.7109375" style="873" customWidth="1"/>
    <col min="6405" max="6405" width="9.7109375" style="873" customWidth="1"/>
    <col min="6406" max="6406" width="10.85546875" style="873" customWidth="1"/>
    <col min="6407" max="6407" width="11.42578125" style="873"/>
    <col min="6408" max="6408" width="11.7109375" style="873" customWidth="1"/>
    <col min="6409" max="6409" width="12.140625" style="873" customWidth="1"/>
    <col min="6410" max="6410" width="11.28515625" style="873" customWidth="1"/>
    <col min="6411" max="6411" width="11.7109375" style="873" customWidth="1"/>
    <col min="6412" max="6412" width="12" style="873" customWidth="1"/>
    <col min="6413" max="6413" width="14.140625" style="873" customWidth="1"/>
    <col min="6414" max="6659" width="11.42578125" style="873"/>
    <col min="6660" max="6660" width="21.7109375" style="873" customWidth="1"/>
    <col min="6661" max="6661" width="9.7109375" style="873" customWidth="1"/>
    <col min="6662" max="6662" width="10.85546875" style="873" customWidth="1"/>
    <col min="6663" max="6663" width="11.42578125" style="873"/>
    <col min="6664" max="6664" width="11.7109375" style="873" customWidth="1"/>
    <col min="6665" max="6665" width="12.140625" style="873" customWidth="1"/>
    <col min="6666" max="6666" width="11.28515625" style="873" customWidth="1"/>
    <col min="6667" max="6667" width="11.7109375" style="873" customWidth="1"/>
    <col min="6668" max="6668" width="12" style="873" customWidth="1"/>
    <col min="6669" max="6669" width="14.140625" style="873" customWidth="1"/>
    <col min="6670" max="6915" width="11.42578125" style="873"/>
    <col min="6916" max="6916" width="21.7109375" style="873" customWidth="1"/>
    <col min="6917" max="6917" width="9.7109375" style="873" customWidth="1"/>
    <col min="6918" max="6918" width="10.85546875" style="873" customWidth="1"/>
    <col min="6919" max="6919" width="11.42578125" style="873"/>
    <col min="6920" max="6920" width="11.7109375" style="873" customWidth="1"/>
    <col min="6921" max="6921" width="12.140625" style="873" customWidth="1"/>
    <col min="6922" max="6922" width="11.28515625" style="873" customWidth="1"/>
    <col min="6923" max="6923" width="11.7109375" style="873" customWidth="1"/>
    <col min="6924" max="6924" width="12" style="873" customWidth="1"/>
    <col min="6925" max="6925" width="14.140625" style="873" customWidth="1"/>
    <col min="6926" max="7171" width="11.42578125" style="873"/>
    <col min="7172" max="7172" width="21.7109375" style="873" customWidth="1"/>
    <col min="7173" max="7173" width="9.7109375" style="873" customWidth="1"/>
    <col min="7174" max="7174" width="10.85546875" style="873" customWidth="1"/>
    <col min="7175" max="7175" width="11.42578125" style="873"/>
    <col min="7176" max="7176" width="11.7109375" style="873" customWidth="1"/>
    <col min="7177" max="7177" width="12.140625" style="873" customWidth="1"/>
    <col min="7178" max="7178" width="11.28515625" style="873" customWidth="1"/>
    <col min="7179" max="7179" width="11.7109375" style="873" customWidth="1"/>
    <col min="7180" max="7180" width="12" style="873" customWidth="1"/>
    <col min="7181" max="7181" width="14.140625" style="873" customWidth="1"/>
    <col min="7182" max="7427" width="11.42578125" style="873"/>
    <col min="7428" max="7428" width="21.7109375" style="873" customWidth="1"/>
    <col min="7429" max="7429" width="9.7109375" style="873" customWidth="1"/>
    <col min="7430" max="7430" width="10.85546875" style="873" customWidth="1"/>
    <col min="7431" max="7431" width="11.42578125" style="873"/>
    <col min="7432" max="7432" width="11.7109375" style="873" customWidth="1"/>
    <col min="7433" max="7433" width="12.140625" style="873" customWidth="1"/>
    <col min="7434" max="7434" width="11.28515625" style="873" customWidth="1"/>
    <col min="7435" max="7435" width="11.7109375" style="873" customWidth="1"/>
    <col min="7436" max="7436" width="12" style="873" customWidth="1"/>
    <col min="7437" max="7437" width="14.140625" style="873" customWidth="1"/>
    <col min="7438" max="7683" width="11.42578125" style="873"/>
    <col min="7684" max="7684" width="21.7109375" style="873" customWidth="1"/>
    <col min="7685" max="7685" width="9.7109375" style="873" customWidth="1"/>
    <col min="7686" max="7686" width="10.85546875" style="873" customWidth="1"/>
    <col min="7687" max="7687" width="11.42578125" style="873"/>
    <col min="7688" max="7688" width="11.7109375" style="873" customWidth="1"/>
    <col min="7689" max="7689" width="12.140625" style="873" customWidth="1"/>
    <col min="7690" max="7690" width="11.28515625" style="873" customWidth="1"/>
    <col min="7691" max="7691" width="11.7109375" style="873" customWidth="1"/>
    <col min="7692" max="7692" width="12" style="873" customWidth="1"/>
    <col min="7693" max="7693" width="14.140625" style="873" customWidth="1"/>
    <col min="7694" max="7939" width="11.42578125" style="873"/>
    <col min="7940" max="7940" width="21.7109375" style="873" customWidth="1"/>
    <col min="7941" max="7941" width="9.7109375" style="873" customWidth="1"/>
    <col min="7942" max="7942" width="10.85546875" style="873" customWidth="1"/>
    <col min="7943" max="7943" width="11.42578125" style="873"/>
    <col min="7944" max="7944" width="11.7109375" style="873" customWidth="1"/>
    <col min="7945" max="7945" width="12.140625" style="873" customWidth="1"/>
    <col min="7946" max="7946" width="11.28515625" style="873" customWidth="1"/>
    <col min="7947" max="7947" width="11.7109375" style="873" customWidth="1"/>
    <col min="7948" max="7948" width="12" style="873" customWidth="1"/>
    <col min="7949" max="7949" width="14.140625" style="873" customWidth="1"/>
    <col min="7950" max="8195" width="11.42578125" style="873"/>
    <col min="8196" max="8196" width="21.7109375" style="873" customWidth="1"/>
    <col min="8197" max="8197" width="9.7109375" style="873" customWidth="1"/>
    <col min="8198" max="8198" width="10.85546875" style="873" customWidth="1"/>
    <col min="8199" max="8199" width="11.42578125" style="873"/>
    <col min="8200" max="8200" width="11.7109375" style="873" customWidth="1"/>
    <col min="8201" max="8201" width="12.140625" style="873" customWidth="1"/>
    <col min="8202" max="8202" width="11.28515625" style="873" customWidth="1"/>
    <col min="8203" max="8203" width="11.7109375" style="873" customWidth="1"/>
    <col min="8204" max="8204" width="12" style="873" customWidth="1"/>
    <col min="8205" max="8205" width="14.140625" style="873" customWidth="1"/>
    <col min="8206" max="8451" width="11.42578125" style="873"/>
    <col min="8452" max="8452" width="21.7109375" style="873" customWidth="1"/>
    <col min="8453" max="8453" width="9.7109375" style="873" customWidth="1"/>
    <col min="8454" max="8454" width="10.85546875" style="873" customWidth="1"/>
    <col min="8455" max="8455" width="11.42578125" style="873"/>
    <col min="8456" max="8456" width="11.7109375" style="873" customWidth="1"/>
    <col min="8457" max="8457" width="12.140625" style="873" customWidth="1"/>
    <col min="8458" max="8458" width="11.28515625" style="873" customWidth="1"/>
    <col min="8459" max="8459" width="11.7109375" style="873" customWidth="1"/>
    <col min="8460" max="8460" width="12" style="873" customWidth="1"/>
    <col min="8461" max="8461" width="14.140625" style="873" customWidth="1"/>
    <col min="8462" max="8707" width="11.42578125" style="873"/>
    <col min="8708" max="8708" width="21.7109375" style="873" customWidth="1"/>
    <col min="8709" max="8709" width="9.7109375" style="873" customWidth="1"/>
    <col min="8710" max="8710" width="10.85546875" style="873" customWidth="1"/>
    <col min="8711" max="8711" width="11.42578125" style="873"/>
    <col min="8712" max="8712" width="11.7109375" style="873" customWidth="1"/>
    <col min="8713" max="8713" width="12.140625" style="873" customWidth="1"/>
    <col min="8714" max="8714" width="11.28515625" style="873" customWidth="1"/>
    <col min="8715" max="8715" width="11.7109375" style="873" customWidth="1"/>
    <col min="8716" max="8716" width="12" style="873" customWidth="1"/>
    <col min="8717" max="8717" width="14.140625" style="873" customWidth="1"/>
    <col min="8718" max="8963" width="11.42578125" style="873"/>
    <col min="8964" max="8964" width="21.7109375" style="873" customWidth="1"/>
    <col min="8965" max="8965" width="9.7109375" style="873" customWidth="1"/>
    <col min="8966" max="8966" width="10.85546875" style="873" customWidth="1"/>
    <col min="8967" max="8967" width="11.42578125" style="873"/>
    <col min="8968" max="8968" width="11.7109375" style="873" customWidth="1"/>
    <col min="8969" max="8969" width="12.140625" style="873" customWidth="1"/>
    <col min="8970" max="8970" width="11.28515625" style="873" customWidth="1"/>
    <col min="8971" max="8971" width="11.7109375" style="873" customWidth="1"/>
    <col min="8972" max="8972" width="12" style="873" customWidth="1"/>
    <col min="8973" max="8973" width="14.140625" style="873" customWidth="1"/>
    <col min="8974" max="9219" width="11.42578125" style="873"/>
    <col min="9220" max="9220" width="21.7109375" style="873" customWidth="1"/>
    <col min="9221" max="9221" width="9.7109375" style="873" customWidth="1"/>
    <col min="9222" max="9222" width="10.85546875" style="873" customWidth="1"/>
    <col min="9223" max="9223" width="11.42578125" style="873"/>
    <col min="9224" max="9224" width="11.7109375" style="873" customWidth="1"/>
    <col min="9225" max="9225" width="12.140625" style="873" customWidth="1"/>
    <col min="9226" max="9226" width="11.28515625" style="873" customWidth="1"/>
    <col min="9227" max="9227" width="11.7109375" style="873" customWidth="1"/>
    <col min="9228" max="9228" width="12" style="873" customWidth="1"/>
    <col min="9229" max="9229" width="14.140625" style="873" customWidth="1"/>
    <col min="9230" max="9475" width="11.42578125" style="873"/>
    <col min="9476" max="9476" width="21.7109375" style="873" customWidth="1"/>
    <col min="9477" max="9477" width="9.7109375" style="873" customWidth="1"/>
    <col min="9478" max="9478" width="10.85546875" style="873" customWidth="1"/>
    <col min="9479" max="9479" width="11.42578125" style="873"/>
    <col min="9480" max="9480" width="11.7109375" style="873" customWidth="1"/>
    <col min="9481" max="9481" width="12.140625" style="873" customWidth="1"/>
    <col min="9482" max="9482" width="11.28515625" style="873" customWidth="1"/>
    <col min="9483" max="9483" width="11.7109375" style="873" customWidth="1"/>
    <col min="9484" max="9484" width="12" style="873" customWidth="1"/>
    <col min="9485" max="9485" width="14.140625" style="873" customWidth="1"/>
    <col min="9486" max="9731" width="11.42578125" style="873"/>
    <col min="9732" max="9732" width="21.7109375" style="873" customWidth="1"/>
    <col min="9733" max="9733" width="9.7109375" style="873" customWidth="1"/>
    <col min="9734" max="9734" width="10.85546875" style="873" customWidth="1"/>
    <col min="9735" max="9735" width="11.42578125" style="873"/>
    <col min="9736" max="9736" width="11.7109375" style="873" customWidth="1"/>
    <col min="9737" max="9737" width="12.140625" style="873" customWidth="1"/>
    <col min="9738" max="9738" width="11.28515625" style="873" customWidth="1"/>
    <col min="9739" max="9739" width="11.7109375" style="873" customWidth="1"/>
    <col min="9740" max="9740" width="12" style="873" customWidth="1"/>
    <col min="9741" max="9741" width="14.140625" style="873" customWidth="1"/>
    <col min="9742" max="9987" width="11.42578125" style="873"/>
    <col min="9988" max="9988" width="21.7109375" style="873" customWidth="1"/>
    <col min="9989" max="9989" width="9.7109375" style="873" customWidth="1"/>
    <col min="9990" max="9990" width="10.85546875" style="873" customWidth="1"/>
    <col min="9991" max="9991" width="11.42578125" style="873"/>
    <col min="9992" max="9992" width="11.7109375" style="873" customWidth="1"/>
    <col min="9993" max="9993" width="12.140625" style="873" customWidth="1"/>
    <col min="9994" max="9994" width="11.28515625" style="873" customWidth="1"/>
    <col min="9995" max="9995" width="11.7109375" style="873" customWidth="1"/>
    <col min="9996" max="9996" width="12" style="873" customWidth="1"/>
    <col min="9997" max="9997" width="14.140625" style="873" customWidth="1"/>
    <col min="9998" max="10243" width="11.42578125" style="873"/>
    <col min="10244" max="10244" width="21.7109375" style="873" customWidth="1"/>
    <col min="10245" max="10245" width="9.7109375" style="873" customWidth="1"/>
    <col min="10246" max="10246" width="10.85546875" style="873" customWidth="1"/>
    <col min="10247" max="10247" width="11.42578125" style="873"/>
    <col min="10248" max="10248" width="11.7109375" style="873" customWidth="1"/>
    <col min="10249" max="10249" width="12.140625" style="873" customWidth="1"/>
    <col min="10250" max="10250" width="11.28515625" style="873" customWidth="1"/>
    <col min="10251" max="10251" width="11.7109375" style="873" customWidth="1"/>
    <col min="10252" max="10252" width="12" style="873" customWidth="1"/>
    <col min="10253" max="10253" width="14.140625" style="873" customWidth="1"/>
    <col min="10254" max="10499" width="11.42578125" style="873"/>
    <col min="10500" max="10500" width="21.7109375" style="873" customWidth="1"/>
    <col min="10501" max="10501" width="9.7109375" style="873" customWidth="1"/>
    <col min="10502" max="10502" width="10.85546875" style="873" customWidth="1"/>
    <col min="10503" max="10503" width="11.42578125" style="873"/>
    <col min="10504" max="10504" width="11.7109375" style="873" customWidth="1"/>
    <col min="10505" max="10505" width="12.140625" style="873" customWidth="1"/>
    <col min="10506" max="10506" width="11.28515625" style="873" customWidth="1"/>
    <col min="10507" max="10507" width="11.7109375" style="873" customWidth="1"/>
    <col min="10508" max="10508" width="12" style="873" customWidth="1"/>
    <col min="10509" max="10509" width="14.140625" style="873" customWidth="1"/>
    <col min="10510" max="10755" width="11.42578125" style="873"/>
    <col min="10756" max="10756" width="21.7109375" style="873" customWidth="1"/>
    <col min="10757" max="10757" width="9.7109375" style="873" customWidth="1"/>
    <col min="10758" max="10758" width="10.85546875" style="873" customWidth="1"/>
    <col min="10759" max="10759" width="11.42578125" style="873"/>
    <col min="10760" max="10760" width="11.7109375" style="873" customWidth="1"/>
    <col min="10761" max="10761" width="12.140625" style="873" customWidth="1"/>
    <col min="10762" max="10762" width="11.28515625" style="873" customWidth="1"/>
    <col min="10763" max="10763" width="11.7109375" style="873" customWidth="1"/>
    <col min="10764" max="10764" width="12" style="873" customWidth="1"/>
    <col min="10765" max="10765" width="14.140625" style="873" customWidth="1"/>
    <col min="10766" max="11011" width="11.42578125" style="873"/>
    <col min="11012" max="11012" width="21.7109375" style="873" customWidth="1"/>
    <col min="11013" max="11013" width="9.7109375" style="873" customWidth="1"/>
    <col min="11014" max="11014" width="10.85546875" style="873" customWidth="1"/>
    <col min="11015" max="11015" width="11.42578125" style="873"/>
    <col min="11016" max="11016" width="11.7109375" style="873" customWidth="1"/>
    <col min="11017" max="11017" width="12.140625" style="873" customWidth="1"/>
    <col min="11018" max="11018" width="11.28515625" style="873" customWidth="1"/>
    <col min="11019" max="11019" width="11.7109375" style="873" customWidth="1"/>
    <col min="11020" max="11020" width="12" style="873" customWidth="1"/>
    <col min="11021" max="11021" width="14.140625" style="873" customWidth="1"/>
    <col min="11022" max="11267" width="11.42578125" style="873"/>
    <col min="11268" max="11268" width="21.7109375" style="873" customWidth="1"/>
    <col min="11269" max="11269" width="9.7109375" style="873" customWidth="1"/>
    <col min="11270" max="11270" width="10.85546875" style="873" customWidth="1"/>
    <col min="11271" max="11271" width="11.42578125" style="873"/>
    <col min="11272" max="11272" width="11.7109375" style="873" customWidth="1"/>
    <col min="11273" max="11273" width="12.140625" style="873" customWidth="1"/>
    <col min="11274" max="11274" width="11.28515625" style="873" customWidth="1"/>
    <col min="11275" max="11275" width="11.7109375" style="873" customWidth="1"/>
    <col min="11276" max="11276" width="12" style="873" customWidth="1"/>
    <col min="11277" max="11277" width="14.140625" style="873" customWidth="1"/>
    <col min="11278" max="11523" width="11.42578125" style="873"/>
    <col min="11524" max="11524" width="21.7109375" style="873" customWidth="1"/>
    <col min="11525" max="11525" width="9.7109375" style="873" customWidth="1"/>
    <col min="11526" max="11526" width="10.85546875" style="873" customWidth="1"/>
    <col min="11527" max="11527" width="11.42578125" style="873"/>
    <col min="11528" max="11528" width="11.7109375" style="873" customWidth="1"/>
    <col min="11529" max="11529" width="12.140625" style="873" customWidth="1"/>
    <col min="11530" max="11530" width="11.28515625" style="873" customWidth="1"/>
    <col min="11531" max="11531" width="11.7109375" style="873" customWidth="1"/>
    <col min="11532" max="11532" width="12" style="873" customWidth="1"/>
    <col min="11533" max="11533" width="14.140625" style="873" customWidth="1"/>
    <col min="11534" max="11779" width="11.42578125" style="873"/>
    <col min="11780" max="11780" width="21.7109375" style="873" customWidth="1"/>
    <col min="11781" max="11781" width="9.7109375" style="873" customWidth="1"/>
    <col min="11782" max="11782" width="10.85546875" style="873" customWidth="1"/>
    <col min="11783" max="11783" width="11.42578125" style="873"/>
    <col min="11784" max="11784" width="11.7109375" style="873" customWidth="1"/>
    <col min="11785" max="11785" width="12.140625" style="873" customWidth="1"/>
    <col min="11786" max="11786" width="11.28515625" style="873" customWidth="1"/>
    <col min="11787" max="11787" width="11.7109375" style="873" customWidth="1"/>
    <col min="11788" max="11788" width="12" style="873" customWidth="1"/>
    <col min="11789" max="11789" width="14.140625" style="873" customWidth="1"/>
    <col min="11790" max="12035" width="11.42578125" style="873"/>
    <col min="12036" max="12036" width="21.7109375" style="873" customWidth="1"/>
    <col min="12037" max="12037" width="9.7109375" style="873" customWidth="1"/>
    <col min="12038" max="12038" width="10.85546875" style="873" customWidth="1"/>
    <col min="12039" max="12039" width="11.42578125" style="873"/>
    <col min="12040" max="12040" width="11.7109375" style="873" customWidth="1"/>
    <col min="12041" max="12041" width="12.140625" style="873" customWidth="1"/>
    <col min="12042" max="12042" width="11.28515625" style="873" customWidth="1"/>
    <col min="12043" max="12043" width="11.7109375" style="873" customWidth="1"/>
    <col min="12044" max="12044" width="12" style="873" customWidth="1"/>
    <col min="12045" max="12045" width="14.140625" style="873" customWidth="1"/>
    <col min="12046" max="12291" width="11.42578125" style="873"/>
    <col min="12292" max="12292" width="21.7109375" style="873" customWidth="1"/>
    <col min="12293" max="12293" width="9.7109375" style="873" customWidth="1"/>
    <col min="12294" max="12294" width="10.85546875" style="873" customWidth="1"/>
    <col min="12295" max="12295" width="11.42578125" style="873"/>
    <col min="12296" max="12296" width="11.7109375" style="873" customWidth="1"/>
    <col min="12297" max="12297" width="12.140625" style="873" customWidth="1"/>
    <col min="12298" max="12298" width="11.28515625" style="873" customWidth="1"/>
    <col min="12299" max="12299" width="11.7109375" style="873" customWidth="1"/>
    <col min="12300" max="12300" width="12" style="873" customWidth="1"/>
    <col min="12301" max="12301" width="14.140625" style="873" customWidth="1"/>
    <col min="12302" max="12547" width="11.42578125" style="873"/>
    <col min="12548" max="12548" width="21.7109375" style="873" customWidth="1"/>
    <col min="12549" max="12549" width="9.7109375" style="873" customWidth="1"/>
    <col min="12550" max="12550" width="10.85546875" style="873" customWidth="1"/>
    <col min="12551" max="12551" width="11.42578125" style="873"/>
    <col min="12552" max="12552" width="11.7109375" style="873" customWidth="1"/>
    <col min="12553" max="12553" width="12.140625" style="873" customWidth="1"/>
    <col min="12554" max="12554" width="11.28515625" style="873" customWidth="1"/>
    <col min="12555" max="12555" width="11.7109375" style="873" customWidth="1"/>
    <col min="12556" max="12556" width="12" style="873" customWidth="1"/>
    <col min="12557" max="12557" width="14.140625" style="873" customWidth="1"/>
    <col min="12558" max="12803" width="11.42578125" style="873"/>
    <col min="12804" max="12804" width="21.7109375" style="873" customWidth="1"/>
    <col min="12805" max="12805" width="9.7109375" style="873" customWidth="1"/>
    <col min="12806" max="12806" width="10.85546875" style="873" customWidth="1"/>
    <col min="12807" max="12807" width="11.42578125" style="873"/>
    <col min="12808" max="12808" width="11.7109375" style="873" customWidth="1"/>
    <col min="12809" max="12809" width="12.140625" style="873" customWidth="1"/>
    <col min="12810" max="12810" width="11.28515625" style="873" customWidth="1"/>
    <col min="12811" max="12811" width="11.7109375" style="873" customWidth="1"/>
    <col min="12812" max="12812" width="12" style="873" customWidth="1"/>
    <col min="12813" max="12813" width="14.140625" style="873" customWidth="1"/>
    <col min="12814" max="13059" width="11.42578125" style="873"/>
    <col min="13060" max="13060" width="21.7109375" style="873" customWidth="1"/>
    <col min="13061" max="13061" width="9.7109375" style="873" customWidth="1"/>
    <col min="13062" max="13062" width="10.85546875" style="873" customWidth="1"/>
    <col min="13063" max="13063" width="11.42578125" style="873"/>
    <col min="13064" max="13064" width="11.7109375" style="873" customWidth="1"/>
    <col min="13065" max="13065" width="12.140625" style="873" customWidth="1"/>
    <col min="13066" max="13066" width="11.28515625" style="873" customWidth="1"/>
    <col min="13067" max="13067" width="11.7109375" style="873" customWidth="1"/>
    <col min="13068" max="13068" width="12" style="873" customWidth="1"/>
    <col min="13069" max="13069" width="14.140625" style="873" customWidth="1"/>
    <col min="13070" max="13315" width="11.42578125" style="873"/>
    <col min="13316" max="13316" width="21.7109375" style="873" customWidth="1"/>
    <col min="13317" max="13317" width="9.7109375" style="873" customWidth="1"/>
    <col min="13318" max="13318" width="10.85546875" style="873" customWidth="1"/>
    <col min="13319" max="13319" width="11.42578125" style="873"/>
    <col min="13320" max="13320" width="11.7109375" style="873" customWidth="1"/>
    <col min="13321" max="13321" width="12.140625" style="873" customWidth="1"/>
    <col min="13322" max="13322" width="11.28515625" style="873" customWidth="1"/>
    <col min="13323" max="13323" width="11.7109375" style="873" customWidth="1"/>
    <col min="13324" max="13324" width="12" style="873" customWidth="1"/>
    <col min="13325" max="13325" width="14.140625" style="873" customWidth="1"/>
    <col min="13326" max="13571" width="11.42578125" style="873"/>
    <col min="13572" max="13572" width="21.7109375" style="873" customWidth="1"/>
    <col min="13573" max="13573" width="9.7109375" style="873" customWidth="1"/>
    <col min="13574" max="13574" width="10.85546875" style="873" customWidth="1"/>
    <col min="13575" max="13575" width="11.42578125" style="873"/>
    <col min="13576" max="13576" width="11.7109375" style="873" customWidth="1"/>
    <col min="13577" max="13577" width="12.140625" style="873" customWidth="1"/>
    <col min="13578" max="13578" width="11.28515625" style="873" customWidth="1"/>
    <col min="13579" max="13579" width="11.7109375" style="873" customWidth="1"/>
    <col min="13580" max="13580" width="12" style="873" customWidth="1"/>
    <col min="13581" max="13581" width="14.140625" style="873" customWidth="1"/>
    <col min="13582" max="13827" width="11.42578125" style="873"/>
    <col min="13828" max="13828" width="21.7109375" style="873" customWidth="1"/>
    <col min="13829" max="13829" width="9.7109375" style="873" customWidth="1"/>
    <col min="13830" max="13830" width="10.85546875" style="873" customWidth="1"/>
    <col min="13831" max="13831" width="11.42578125" style="873"/>
    <col min="13832" max="13832" width="11.7109375" style="873" customWidth="1"/>
    <col min="13833" max="13833" width="12.140625" style="873" customWidth="1"/>
    <col min="13834" max="13834" width="11.28515625" style="873" customWidth="1"/>
    <col min="13835" max="13835" width="11.7109375" style="873" customWidth="1"/>
    <col min="13836" max="13836" width="12" style="873" customWidth="1"/>
    <col min="13837" max="13837" width="14.140625" style="873" customWidth="1"/>
    <col min="13838" max="14083" width="11.42578125" style="873"/>
    <col min="14084" max="14084" width="21.7109375" style="873" customWidth="1"/>
    <col min="14085" max="14085" width="9.7109375" style="873" customWidth="1"/>
    <col min="14086" max="14086" width="10.85546875" style="873" customWidth="1"/>
    <col min="14087" max="14087" width="11.42578125" style="873"/>
    <col min="14088" max="14088" width="11.7109375" style="873" customWidth="1"/>
    <col min="14089" max="14089" width="12.140625" style="873" customWidth="1"/>
    <col min="14090" max="14090" width="11.28515625" style="873" customWidth="1"/>
    <col min="14091" max="14091" width="11.7109375" style="873" customWidth="1"/>
    <col min="14092" max="14092" width="12" style="873" customWidth="1"/>
    <col min="14093" max="14093" width="14.140625" style="873" customWidth="1"/>
    <col min="14094" max="14339" width="11.42578125" style="873"/>
    <col min="14340" max="14340" width="21.7109375" style="873" customWidth="1"/>
    <col min="14341" max="14341" width="9.7109375" style="873" customWidth="1"/>
    <col min="14342" max="14342" width="10.85546875" style="873" customWidth="1"/>
    <col min="14343" max="14343" width="11.42578125" style="873"/>
    <col min="14344" max="14344" width="11.7109375" style="873" customWidth="1"/>
    <col min="14345" max="14345" width="12.140625" style="873" customWidth="1"/>
    <col min="14346" max="14346" width="11.28515625" style="873" customWidth="1"/>
    <col min="14347" max="14347" width="11.7109375" style="873" customWidth="1"/>
    <col min="14348" max="14348" width="12" style="873" customWidth="1"/>
    <col min="14349" max="14349" width="14.140625" style="873" customWidth="1"/>
    <col min="14350" max="14595" width="11.42578125" style="873"/>
    <col min="14596" max="14596" width="21.7109375" style="873" customWidth="1"/>
    <col min="14597" max="14597" width="9.7109375" style="873" customWidth="1"/>
    <col min="14598" max="14598" width="10.85546875" style="873" customWidth="1"/>
    <col min="14599" max="14599" width="11.42578125" style="873"/>
    <col min="14600" max="14600" width="11.7109375" style="873" customWidth="1"/>
    <col min="14601" max="14601" width="12.140625" style="873" customWidth="1"/>
    <col min="14602" max="14602" width="11.28515625" style="873" customWidth="1"/>
    <col min="14603" max="14603" width="11.7109375" style="873" customWidth="1"/>
    <col min="14604" max="14604" width="12" style="873" customWidth="1"/>
    <col min="14605" max="14605" width="14.140625" style="873" customWidth="1"/>
    <col min="14606" max="14851" width="11.42578125" style="873"/>
    <col min="14852" max="14852" width="21.7109375" style="873" customWidth="1"/>
    <col min="14853" max="14853" width="9.7109375" style="873" customWidth="1"/>
    <col min="14854" max="14854" width="10.85546875" style="873" customWidth="1"/>
    <col min="14855" max="14855" width="11.42578125" style="873"/>
    <col min="14856" max="14856" width="11.7109375" style="873" customWidth="1"/>
    <col min="14857" max="14857" width="12.140625" style="873" customWidth="1"/>
    <col min="14858" max="14858" width="11.28515625" style="873" customWidth="1"/>
    <col min="14859" max="14859" width="11.7109375" style="873" customWidth="1"/>
    <col min="14860" max="14860" width="12" style="873" customWidth="1"/>
    <col min="14861" max="14861" width="14.140625" style="873" customWidth="1"/>
    <col min="14862" max="15107" width="11.42578125" style="873"/>
    <col min="15108" max="15108" width="21.7109375" style="873" customWidth="1"/>
    <col min="15109" max="15109" width="9.7109375" style="873" customWidth="1"/>
    <col min="15110" max="15110" width="10.85546875" style="873" customWidth="1"/>
    <col min="15111" max="15111" width="11.42578125" style="873"/>
    <col min="15112" max="15112" width="11.7109375" style="873" customWidth="1"/>
    <col min="15113" max="15113" width="12.140625" style="873" customWidth="1"/>
    <col min="15114" max="15114" width="11.28515625" style="873" customWidth="1"/>
    <col min="15115" max="15115" width="11.7109375" style="873" customWidth="1"/>
    <col min="15116" max="15116" width="12" style="873" customWidth="1"/>
    <col min="15117" max="15117" width="14.140625" style="873" customWidth="1"/>
    <col min="15118" max="15363" width="11.42578125" style="873"/>
    <col min="15364" max="15364" width="21.7109375" style="873" customWidth="1"/>
    <col min="15365" max="15365" width="9.7109375" style="873" customWidth="1"/>
    <col min="15366" max="15366" width="10.85546875" style="873" customWidth="1"/>
    <col min="15367" max="15367" width="11.42578125" style="873"/>
    <col min="15368" max="15368" width="11.7109375" style="873" customWidth="1"/>
    <col min="15369" max="15369" width="12.140625" style="873" customWidth="1"/>
    <col min="15370" max="15370" width="11.28515625" style="873" customWidth="1"/>
    <col min="15371" max="15371" width="11.7109375" style="873" customWidth="1"/>
    <col min="15372" max="15372" width="12" style="873" customWidth="1"/>
    <col min="15373" max="15373" width="14.140625" style="873" customWidth="1"/>
    <col min="15374" max="15619" width="11.42578125" style="873"/>
    <col min="15620" max="15620" width="21.7109375" style="873" customWidth="1"/>
    <col min="15621" max="15621" width="9.7109375" style="873" customWidth="1"/>
    <col min="15622" max="15622" width="10.85546875" style="873" customWidth="1"/>
    <col min="15623" max="15623" width="11.42578125" style="873"/>
    <col min="15624" max="15624" width="11.7109375" style="873" customWidth="1"/>
    <col min="15625" max="15625" width="12.140625" style="873" customWidth="1"/>
    <col min="15626" max="15626" width="11.28515625" style="873" customWidth="1"/>
    <col min="15627" max="15627" width="11.7109375" style="873" customWidth="1"/>
    <col min="15628" max="15628" width="12" style="873" customWidth="1"/>
    <col min="15629" max="15629" width="14.140625" style="873" customWidth="1"/>
    <col min="15630" max="15875" width="11.42578125" style="873"/>
    <col min="15876" max="15876" width="21.7109375" style="873" customWidth="1"/>
    <col min="15877" max="15877" width="9.7109375" style="873" customWidth="1"/>
    <col min="15878" max="15878" width="10.85546875" style="873" customWidth="1"/>
    <col min="15879" max="15879" width="11.42578125" style="873"/>
    <col min="15880" max="15880" width="11.7109375" style="873" customWidth="1"/>
    <col min="15881" max="15881" width="12.140625" style="873" customWidth="1"/>
    <col min="15882" max="15882" width="11.28515625" style="873" customWidth="1"/>
    <col min="15883" max="15883" width="11.7109375" style="873" customWidth="1"/>
    <col min="15884" max="15884" width="12" style="873" customWidth="1"/>
    <col min="15885" max="15885" width="14.140625" style="873" customWidth="1"/>
    <col min="15886" max="16131" width="11.42578125" style="873"/>
    <col min="16132" max="16132" width="21.7109375" style="873" customWidth="1"/>
    <col min="16133" max="16133" width="9.7109375" style="873" customWidth="1"/>
    <col min="16134" max="16134" width="10.85546875" style="873" customWidth="1"/>
    <col min="16135" max="16135" width="11.42578125" style="873"/>
    <col min="16136" max="16136" width="11.7109375" style="873" customWidth="1"/>
    <col min="16137" max="16137" width="12.140625" style="873" customWidth="1"/>
    <col min="16138" max="16138" width="11.28515625" style="873" customWidth="1"/>
    <col min="16139" max="16139" width="11.7109375" style="873" customWidth="1"/>
    <col min="16140" max="16140" width="12" style="873" customWidth="1"/>
    <col min="16141" max="16141" width="14.140625" style="873" customWidth="1"/>
    <col min="16142" max="16384" width="11.42578125" style="873"/>
  </cols>
  <sheetData>
    <row r="1" spans="1:17" ht="12.75" thickBot="1">
      <c r="A1" s="1483" t="s">
        <v>449</v>
      </c>
      <c r="B1" s="1484"/>
      <c r="C1" s="1484"/>
      <c r="D1" s="1484"/>
      <c r="E1" s="1484"/>
      <c r="F1" s="1484"/>
      <c r="G1" s="1484"/>
      <c r="H1" s="1484"/>
      <c r="I1" s="1484"/>
      <c r="J1" s="1484"/>
      <c r="K1" s="1484"/>
      <c r="L1" s="1484"/>
      <c r="M1" s="1485"/>
      <c r="N1" s="872"/>
      <c r="O1" s="872"/>
      <c r="P1" s="872"/>
      <c r="Q1" s="872"/>
    </row>
    <row r="2" spans="1:17" ht="12.75" thickBot="1">
      <c r="A2" s="872"/>
      <c r="B2" s="872"/>
      <c r="C2" s="872"/>
      <c r="D2" s="872"/>
      <c r="E2" s="872"/>
      <c r="F2" s="872"/>
      <c r="G2" s="872"/>
      <c r="H2" s="872"/>
      <c r="I2" s="872"/>
      <c r="J2" s="872"/>
      <c r="K2" s="872"/>
      <c r="L2" s="872"/>
    </row>
    <row r="3" spans="1:17" ht="13.5" thickBot="1">
      <c r="A3" s="874" t="s">
        <v>450</v>
      </c>
      <c r="B3" s="1486" t="s">
        <v>451</v>
      </c>
      <c r="C3" s="1487"/>
      <c r="D3" s="1487"/>
      <c r="E3" s="1487"/>
      <c r="F3" s="1487"/>
      <c r="G3" s="1488"/>
      <c r="H3" s="872"/>
      <c r="I3" s="872"/>
      <c r="J3" s="872"/>
      <c r="K3" s="872"/>
      <c r="L3" s="872"/>
    </row>
    <row r="4" spans="1:17">
      <c r="A4" s="874" t="s">
        <v>452</v>
      </c>
      <c r="B4" s="875">
        <v>45771</v>
      </c>
      <c r="C4" s="876"/>
      <c r="D4" s="876"/>
      <c r="E4" s="876"/>
      <c r="F4" s="876"/>
      <c r="G4" s="872"/>
      <c r="H4" s="872"/>
      <c r="I4" s="872"/>
      <c r="J4" s="872"/>
      <c r="K4" s="872"/>
      <c r="L4" s="872"/>
    </row>
    <row r="5" spans="1:17">
      <c r="A5" s="874" t="s">
        <v>453</v>
      </c>
      <c r="B5" s="877" t="s">
        <v>454</v>
      </c>
      <c r="C5" s="874"/>
      <c r="D5" s="874"/>
      <c r="E5" s="874"/>
      <c r="F5" s="874"/>
      <c r="G5" s="872"/>
      <c r="H5" s="872"/>
      <c r="I5" s="872"/>
      <c r="J5" s="872"/>
      <c r="K5" s="872"/>
      <c r="L5" s="872"/>
    </row>
    <row r="6" spans="1:17">
      <c r="A6" s="874"/>
      <c r="B6" s="874"/>
      <c r="C6" s="874"/>
      <c r="D6" s="874"/>
      <c r="E6" s="874"/>
      <c r="F6" s="874"/>
      <c r="G6" s="874"/>
      <c r="H6" s="874"/>
      <c r="I6" s="874"/>
      <c r="J6" s="874"/>
      <c r="K6" s="874"/>
      <c r="L6" s="874"/>
    </row>
    <row r="7" spans="1:17">
      <c r="A7" s="874" t="s">
        <v>455</v>
      </c>
      <c r="B7" s="874"/>
      <c r="G7" s="874"/>
      <c r="H7" s="874"/>
      <c r="I7" s="874"/>
      <c r="J7" s="874"/>
      <c r="K7" s="874"/>
      <c r="L7" s="874"/>
    </row>
    <row r="8" spans="1:17">
      <c r="A8" s="878" t="s">
        <v>456</v>
      </c>
      <c r="B8" s="879">
        <v>8</v>
      </c>
      <c r="C8" s="1489">
        <f>+B8+B9+B10+B11+B12+B13</f>
        <v>10</v>
      </c>
    </row>
    <row r="9" spans="1:17" ht="12.75">
      <c r="A9" s="880" t="s">
        <v>457</v>
      </c>
      <c r="B9" s="881"/>
      <c r="C9" s="1489"/>
      <c r="E9" s="873" t="s">
        <v>458</v>
      </c>
      <c r="O9" s="882"/>
    </row>
    <row r="10" spans="1:17" ht="12.75">
      <c r="A10" s="883" t="s">
        <v>459</v>
      </c>
      <c r="B10" s="884">
        <v>1</v>
      </c>
      <c r="C10" s="1489"/>
      <c r="O10" s="882"/>
    </row>
    <row r="11" spans="1:17" ht="12.75">
      <c r="A11" s="880" t="s">
        <v>460</v>
      </c>
      <c r="B11" s="881">
        <v>1</v>
      </c>
      <c r="C11" s="1489"/>
      <c r="O11" s="882"/>
    </row>
    <row r="12" spans="1:17" ht="12.75">
      <c r="A12" s="885" t="s">
        <v>461</v>
      </c>
      <c r="B12" s="886">
        <v>0</v>
      </c>
      <c r="C12" s="1489"/>
      <c r="O12" s="882"/>
    </row>
    <row r="13" spans="1:17" ht="12.75">
      <c r="A13" s="887" t="s">
        <v>462</v>
      </c>
      <c r="B13" s="888"/>
      <c r="C13" s="1489"/>
      <c r="O13" s="882"/>
    </row>
    <row r="14" spans="1:17" ht="12.75">
      <c r="A14" s="889" t="s">
        <v>463</v>
      </c>
      <c r="B14" s="890"/>
      <c r="I14" s="891"/>
      <c r="O14" s="892"/>
    </row>
    <row r="15" spans="1:17" ht="12.75">
      <c r="A15" s="874"/>
      <c r="B15" s="874"/>
      <c r="G15" s="873" t="s">
        <v>464</v>
      </c>
      <c r="I15" s="986">
        <f ca="1">SUMIF('PLANILLA MENSUAL'!BN12:BN55,"EPS",'PLANILLA MENSUAL'!BL12:BL54)</f>
        <v>4718.1011777235599</v>
      </c>
      <c r="J15" s="1148">
        <v>5262.91</v>
      </c>
      <c r="K15" s="893">
        <f ca="1">+I15-J15</f>
        <v>-544.80882227643997</v>
      </c>
      <c r="O15" s="892"/>
    </row>
    <row r="16" spans="1:17" ht="12.75">
      <c r="A16" s="874" t="s">
        <v>465</v>
      </c>
      <c r="B16" s="874"/>
      <c r="I16" s="873">
        <f>+I14*9%</f>
        <v>0</v>
      </c>
      <c r="O16" s="882"/>
    </row>
    <row r="17" spans="1:20">
      <c r="A17" s="894" t="s">
        <v>466</v>
      </c>
      <c r="B17" s="895">
        <v>10</v>
      </c>
      <c r="C17" s="873" t="s">
        <v>467</v>
      </c>
      <c r="E17" s="873" t="s">
        <v>468</v>
      </c>
      <c r="G17" s="873" t="s">
        <v>469</v>
      </c>
      <c r="I17" s="891">
        <f ca="1">+I15*12</f>
        <v>56617.214132682719</v>
      </c>
    </row>
    <row r="18" spans="1:20">
      <c r="A18" s="894" t="s">
        <v>470</v>
      </c>
      <c r="B18" s="896">
        <f ca="1">+I17</f>
        <v>56617.214132682719</v>
      </c>
      <c r="L18" s="874"/>
    </row>
    <row r="19" spans="1:20">
      <c r="A19" s="894" t="s">
        <v>471</v>
      </c>
      <c r="B19" s="896">
        <f ca="1">B18*25%</f>
        <v>14154.30353317068</v>
      </c>
      <c r="L19" s="874"/>
    </row>
    <row r="20" spans="1:20">
      <c r="A20" s="894" t="s">
        <v>472</v>
      </c>
      <c r="B20" s="896">
        <f ca="1">B19/12</f>
        <v>1179.52529443089</v>
      </c>
      <c r="L20" s="874"/>
    </row>
    <row r="21" spans="1:20">
      <c r="A21" s="894" t="s">
        <v>473</v>
      </c>
      <c r="B21" s="897">
        <f ca="1">B20/B17</f>
        <v>117.95252944308899</v>
      </c>
      <c r="C21" s="898" t="s">
        <v>474</v>
      </c>
      <c r="D21" s="898"/>
      <c r="E21" s="898"/>
      <c r="F21" s="898"/>
      <c r="L21" s="874"/>
    </row>
    <row r="22" spans="1:20">
      <c r="A22" s="874"/>
      <c r="B22" s="899"/>
      <c r="C22" s="899"/>
      <c r="D22" s="899"/>
      <c r="E22" s="899"/>
      <c r="F22" s="899"/>
      <c r="G22" s="874"/>
      <c r="H22" s="874"/>
      <c r="I22" s="874"/>
      <c r="J22" s="874"/>
      <c r="K22" s="874"/>
      <c r="L22" s="874"/>
    </row>
    <row r="23" spans="1:20" ht="12" customHeight="1">
      <c r="A23" s="874"/>
      <c r="B23" s="1490" t="s">
        <v>475</v>
      </c>
      <c r="C23" s="1491"/>
      <c r="D23" s="1491"/>
      <c r="E23" s="1491"/>
      <c r="F23" s="1492"/>
      <c r="G23" s="1499" t="s">
        <v>476</v>
      </c>
      <c r="H23" s="1500"/>
      <c r="I23" s="1500"/>
      <c r="J23" s="1500"/>
      <c r="K23" s="1501"/>
      <c r="L23" s="1508" t="s">
        <v>477</v>
      </c>
      <c r="M23" s="1509" t="s">
        <v>478</v>
      </c>
      <c r="N23" s="1510"/>
      <c r="O23" s="1510"/>
      <c r="P23" s="1510"/>
      <c r="Q23" s="1511"/>
    </row>
    <row r="24" spans="1:20">
      <c r="A24" s="874"/>
      <c r="B24" s="1493"/>
      <c r="C24" s="1494"/>
      <c r="D24" s="1494"/>
      <c r="E24" s="1494"/>
      <c r="F24" s="1495"/>
      <c r="G24" s="1502"/>
      <c r="H24" s="1503"/>
      <c r="I24" s="1503"/>
      <c r="J24" s="1503"/>
      <c r="K24" s="1504"/>
      <c r="L24" s="1508"/>
      <c r="M24" s="1512"/>
      <c r="N24" s="1513"/>
      <c r="O24" s="1513"/>
      <c r="P24" s="1513"/>
      <c r="Q24" s="1514"/>
    </row>
    <row r="25" spans="1:20">
      <c r="A25" s="874" t="s">
        <v>479</v>
      </c>
      <c r="B25" s="1496"/>
      <c r="C25" s="1497"/>
      <c r="D25" s="1497"/>
      <c r="E25" s="1497"/>
      <c r="F25" s="1498"/>
      <c r="G25" s="1505"/>
      <c r="H25" s="1506"/>
      <c r="I25" s="1506"/>
      <c r="J25" s="1506"/>
      <c r="K25" s="1507"/>
      <c r="L25" s="1508"/>
      <c r="M25" s="1515"/>
      <c r="N25" s="1516"/>
      <c r="O25" s="1516"/>
      <c r="P25" s="1516"/>
      <c r="Q25" s="1517"/>
    </row>
    <row r="26" spans="1:20" ht="12" customHeight="1">
      <c r="A26" s="874"/>
      <c r="B26" s="1518" t="s">
        <v>480</v>
      </c>
      <c r="C26" s="1518" t="s">
        <v>481</v>
      </c>
      <c r="D26" s="1520" t="s">
        <v>482</v>
      </c>
      <c r="E26" s="1518" t="s">
        <v>483</v>
      </c>
      <c r="F26" s="1521" t="s">
        <v>484</v>
      </c>
      <c r="G26" s="1479" t="s">
        <v>480</v>
      </c>
      <c r="H26" s="1477" t="s">
        <v>481</v>
      </c>
      <c r="I26" s="1479" t="s">
        <v>482</v>
      </c>
      <c r="J26" s="1479" t="s">
        <v>483</v>
      </c>
      <c r="K26" s="1479" t="s">
        <v>484</v>
      </c>
      <c r="L26" s="1480" t="s">
        <v>485</v>
      </c>
      <c r="M26" s="1481" t="s">
        <v>480</v>
      </c>
      <c r="N26" s="1523" t="s">
        <v>481</v>
      </c>
      <c r="O26" s="1525" t="s">
        <v>482</v>
      </c>
      <c r="P26" s="1525" t="s">
        <v>483</v>
      </c>
      <c r="Q26" s="1475" t="s">
        <v>484</v>
      </c>
    </row>
    <row r="27" spans="1:20">
      <c r="A27" s="874"/>
      <c r="B27" s="1519"/>
      <c r="C27" s="1519"/>
      <c r="D27" s="1519"/>
      <c r="E27" s="1519"/>
      <c r="F27" s="1522"/>
      <c r="G27" s="1478"/>
      <c r="H27" s="1478"/>
      <c r="I27" s="1478"/>
      <c r="J27" s="1478"/>
      <c r="K27" s="1478"/>
      <c r="L27" s="1480"/>
      <c r="M27" s="1482"/>
      <c r="N27" s="1524"/>
      <c r="O27" s="1526"/>
      <c r="P27" s="1526"/>
      <c r="Q27" s="1476"/>
    </row>
    <row r="28" spans="1:20">
      <c r="A28" s="894" t="s">
        <v>486</v>
      </c>
      <c r="B28" s="900">
        <v>185</v>
      </c>
      <c r="C28" s="1187">
        <v>263</v>
      </c>
      <c r="D28" s="1187">
        <v>268</v>
      </c>
      <c r="E28" s="901">
        <v>339</v>
      </c>
      <c r="F28" s="900">
        <v>416</v>
      </c>
      <c r="G28" s="902">
        <f>+B28/1.18</f>
        <v>156.77966101694915</v>
      </c>
      <c r="H28" s="902">
        <f>+C28/1.18</f>
        <v>222.88135593220341</v>
      </c>
      <c r="I28" s="902">
        <f>+D28/1.18</f>
        <v>227.11864406779662</v>
      </c>
      <c r="J28" s="902">
        <f t="shared" ref="H28:K32" si="0">+E28/1.18</f>
        <v>287.28813559322037</v>
      </c>
      <c r="K28" s="902">
        <f t="shared" si="0"/>
        <v>352.54237288135596</v>
      </c>
      <c r="L28" s="897">
        <f ca="1">+B21</f>
        <v>117.95252944308899</v>
      </c>
      <c r="M28" s="903">
        <f ca="1">+G28-L28</f>
        <v>38.827131573860157</v>
      </c>
      <c r="N28" s="903">
        <f ca="1">+H28-L28</f>
        <v>104.92882648911441</v>
      </c>
      <c r="O28" s="903">
        <f ca="1">+I28-L28</f>
        <v>109.16611462470763</v>
      </c>
      <c r="P28" s="903">
        <f ca="1">+J28-L28</f>
        <v>169.33560615013138</v>
      </c>
      <c r="Q28" s="903">
        <f ca="1">+K28-L28</f>
        <v>234.58984343826697</v>
      </c>
    </row>
    <row r="29" spans="1:20">
      <c r="A29" s="894" t="s">
        <v>487</v>
      </c>
      <c r="B29" s="900">
        <f>+B28*2</f>
        <v>370</v>
      </c>
      <c r="C29" s="900">
        <f>+C28*2</f>
        <v>526</v>
      </c>
      <c r="D29" s="900">
        <f>+D28*2</f>
        <v>536</v>
      </c>
      <c r="E29" s="900">
        <f>+E28*2</f>
        <v>678</v>
      </c>
      <c r="F29" s="900">
        <f>+F28*2</f>
        <v>832</v>
      </c>
      <c r="G29" s="902">
        <f t="shared" ref="G29:G32" si="1">+B29/1.18</f>
        <v>313.5593220338983</v>
      </c>
      <c r="H29" s="902">
        <f t="shared" si="0"/>
        <v>445.76271186440681</v>
      </c>
      <c r="I29" s="902">
        <f t="shared" si="0"/>
        <v>454.23728813559325</v>
      </c>
      <c r="J29" s="902">
        <f t="shared" si="0"/>
        <v>574.57627118644075</v>
      </c>
      <c r="K29" s="902">
        <f t="shared" si="0"/>
        <v>705.08474576271192</v>
      </c>
      <c r="L29" s="897">
        <f ca="1">+L28*2</f>
        <v>235.90505888617798</v>
      </c>
      <c r="M29" s="903">
        <f t="shared" ref="M29:M32" ca="1" si="2">+G29-L29</f>
        <v>77.654263147720314</v>
      </c>
      <c r="N29" s="903">
        <f t="shared" ref="N29:N32" ca="1" si="3">+H29-L29</f>
        <v>209.85765297822883</v>
      </c>
      <c r="O29" s="903">
        <f t="shared" ref="O29:O32" ca="1" si="4">+I29-L29</f>
        <v>218.33222924941526</v>
      </c>
      <c r="P29" s="903">
        <f t="shared" ref="P29:P32" ca="1" si="5">+J29-L29</f>
        <v>338.67121230026277</v>
      </c>
      <c r="Q29" s="903">
        <f t="shared" ref="Q29:Q32" ca="1" si="6">+K29-L29</f>
        <v>469.17968687653394</v>
      </c>
      <c r="S29" s="873">
        <f ca="1">+L28*0.18</f>
        <v>21.231455299756018</v>
      </c>
      <c r="T29" s="893">
        <f ca="1">+L28+S29</f>
        <v>139.18398474284501</v>
      </c>
    </row>
    <row r="30" spans="1:20">
      <c r="A30" s="894" t="s">
        <v>488</v>
      </c>
      <c r="B30" s="900">
        <f>+B28*3</f>
        <v>555</v>
      </c>
      <c r="C30" s="900">
        <f>+C28*3</f>
        <v>789</v>
      </c>
      <c r="D30" s="900">
        <f>+D28*3</f>
        <v>804</v>
      </c>
      <c r="E30" s="900">
        <f>+E28*3</f>
        <v>1017</v>
      </c>
      <c r="F30" s="900">
        <f>+F28*3</f>
        <v>1248</v>
      </c>
      <c r="G30" s="902">
        <f t="shared" si="1"/>
        <v>470.3389830508475</v>
      </c>
      <c r="H30" s="902">
        <f t="shared" si="0"/>
        <v>668.64406779661022</v>
      </c>
      <c r="I30" s="902">
        <f t="shared" si="0"/>
        <v>681.3559322033899</v>
      </c>
      <c r="J30" s="902">
        <f t="shared" si="0"/>
        <v>861.86440677966107</v>
      </c>
      <c r="K30" s="902">
        <f t="shared" si="0"/>
        <v>1057.6271186440679</v>
      </c>
      <c r="L30" s="897">
        <f ca="1">+L28*3</f>
        <v>353.85758832926695</v>
      </c>
      <c r="M30" s="903">
        <f t="shared" ca="1" si="2"/>
        <v>116.48139472158056</v>
      </c>
      <c r="N30" s="903">
        <f t="shared" ca="1" si="3"/>
        <v>314.78647946734327</v>
      </c>
      <c r="O30" s="903">
        <f t="shared" ca="1" si="4"/>
        <v>327.49834387412295</v>
      </c>
      <c r="P30" s="903">
        <f t="shared" ca="1" si="5"/>
        <v>508.00681845039412</v>
      </c>
      <c r="Q30" s="903">
        <f t="shared" ca="1" si="6"/>
        <v>703.76953031480093</v>
      </c>
    </row>
    <row r="31" spans="1:20">
      <c r="A31" s="904" t="s">
        <v>489</v>
      </c>
      <c r="B31" s="905">
        <f>+B28*4</f>
        <v>740</v>
      </c>
      <c r="C31" s="905">
        <f>+C28*4</f>
        <v>1052</v>
      </c>
      <c r="D31" s="905">
        <f>+D28*4</f>
        <v>1072</v>
      </c>
      <c r="E31" s="905">
        <f>+E28*4</f>
        <v>1356</v>
      </c>
      <c r="F31" s="905">
        <f>+F28*4</f>
        <v>1664</v>
      </c>
      <c r="G31" s="902">
        <f t="shared" si="1"/>
        <v>627.11864406779659</v>
      </c>
      <c r="H31" s="902">
        <f t="shared" si="0"/>
        <v>891.52542372881362</v>
      </c>
      <c r="I31" s="902">
        <f t="shared" si="0"/>
        <v>908.47457627118649</v>
      </c>
      <c r="J31" s="902">
        <f t="shared" si="0"/>
        <v>1149.1525423728815</v>
      </c>
      <c r="K31" s="902">
        <f t="shared" si="0"/>
        <v>1410.1694915254238</v>
      </c>
      <c r="L31" s="897">
        <f ca="1">+L28*4</f>
        <v>471.81011777235597</v>
      </c>
      <c r="M31" s="903">
        <f t="shared" ca="1" si="2"/>
        <v>155.30852629544063</v>
      </c>
      <c r="N31" s="903">
        <f t="shared" ca="1" si="3"/>
        <v>419.71530595645766</v>
      </c>
      <c r="O31" s="903">
        <f t="shared" ca="1" si="4"/>
        <v>436.66445849883053</v>
      </c>
      <c r="P31" s="903">
        <f t="shared" ca="1" si="5"/>
        <v>677.34242460052553</v>
      </c>
      <c r="Q31" s="903">
        <f t="shared" ca="1" si="6"/>
        <v>938.35937375306787</v>
      </c>
    </row>
    <row r="32" spans="1:20">
      <c r="A32" s="906" t="s">
        <v>490</v>
      </c>
      <c r="B32" s="907">
        <v>740</v>
      </c>
      <c r="C32" s="907">
        <v>956</v>
      </c>
      <c r="D32" s="907">
        <v>976</v>
      </c>
      <c r="E32" s="907">
        <v>1356</v>
      </c>
      <c r="F32" s="907">
        <v>1664</v>
      </c>
      <c r="G32" s="902">
        <f t="shared" si="1"/>
        <v>627.11864406779659</v>
      </c>
      <c r="H32" s="902">
        <f t="shared" si="0"/>
        <v>810.16949152542372</v>
      </c>
      <c r="I32" s="902">
        <f t="shared" si="0"/>
        <v>827.11864406779671</v>
      </c>
      <c r="J32" s="902">
        <f t="shared" si="0"/>
        <v>1149.1525423728815</v>
      </c>
      <c r="K32" s="902">
        <f t="shared" si="0"/>
        <v>1410.1694915254238</v>
      </c>
      <c r="L32" s="897">
        <f ca="1">+L28*5</f>
        <v>589.76264721544499</v>
      </c>
      <c r="M32" s="908">
        <f t="shared" ca="1" si="2"/>
        <v>37.355996852351609</v>
      </c>
      <c r="N32" s="908">
        <f t="shared" ca="1" si="3"/>
        <v>220.40684430997874</v>
      </c>
      <c r="O32" s="908">
        <f t="shared" ca="1" si="4"/>
        <v>237.35599685235172</v>
      </c>
      <c r="P32" s="908">
        <f t="shared" ca="1" si="5"/>
        <v>559.38989515743651</v>
      </c>
      <c r="Q32" s="908">
        <f t="shared" ca="1" si="6"/>
        <v>820.40684430997885</v>
      </c>
    </row>
    <row r="33" spans="1:17" s="914" customFormat="1">
      <c r="A33" s="909"/>
      <c r="B33" s="910"/>
      <c r="C33" s="910"/>
      <c r="D33" s="910"/>
      <c r="E33" s="910"/>
      <c r="F33" s="910"/>
      <c r="G33" s="911"/>
      <c r="H33" s="911"/>
      <c r="I33" s="911"/>
      <c r="J33" s="911"/>
      <c r="K33" s="911"/>
      <c r="L33" s="912"/>
      <c r="M33" s="913" t="s">
        <v>480</v>
      </c>
      <c r="N33" s="913" t="s">
        <v>481</v>
      </c>
      <c r="O33" s="913" t="s">
        <v>482</v>
      </c>
      <c r="P33" s="913" t="s">
        <v>483</v>
      </c>
      <c r="Q33" s="913" t="s">
        <v>484</v>
      </c>
    </row>
    <row r="34" spans="1:17">
      <c r="A34" s="915" t="s">
        <v>463</v>
      </c>
      <c r="M34" s="916">
        <v>185</v>
      </c>
      <c r="N34" s="916">
        <f>+C28</f>
        <v>263</v>
      </c>
      <c r="O34" s="916">
        <f>+D28</f>
        <v>268</v>
      </c>
      <c r="P34" s="916">
        <f>+E28</f>
        <v>339</v>
      </c>
      <c r="Q34" s="916">
        <f>+F28</f>
        <v>416</v>
      </c>
    </row>
    <row r="35" spans="1:17">
      <c r="A35" s="873" t="s">
        <v>491</v>
      </c>
    </row>
    <row r="37" spans="1:17">
      <c r="K37" s="873" t="s">
        <v>749</v>
      </c>
      <c r="M37" s="873" t="s">
        <v>492</v>
      </c>
      <c r="O37" s="917">
        <f ca="1">+O28*0.7</f>
        <v>76.416280237295339</v>
      </c>
      <c r="P37" s="1173">
        <v>7</v>
      </c>
      <c r="Q37" s="917">
        <f ca="1">+O37*P37</f>
        <v>534.91396166106733</v>
      </c>
    </row>
    <row r="38" spans="1:17">
      <c r="O38" s="917"/>
      <c r="P38" s="1173"/>
      <c r="Q38" s="917"/>
    </row>
    <row r="40" spans="1:17">
      <c r="D40" s="918"/>
      <c r="L40" s="873" t="s">
        <v>347</v>
      </c>
      <c r="M40" s="873" t="s">
        <v>493</v>
      </c>
      <c r="O40" s="917">
        <f>+I28*2</f>
        <v>454.23728813559325</v>
      </c>
    </row>
    <row r="41" spans="1:17">
      <c r="D41" s="918"/>
      <c r="M41" s="873" t="s">
        <v>494</v>
      </c>
      <c r="O41" s="919">
        <f ca="1">+O28*0.7</f>
        <v>76.416280237295339</v>
      </c>
    </row>
    <row r="42" spans="1:17">
      <c r="O42" s="917">
        <f ca="1">SUM(O40:O41)</f>
        <v>530.65356837288857</v>
      </c>
    </row>
    <row r="44" spans="1:17">
      <c r="L44" s="873" t="s">
        <v>345</v>
      </c>
      <c r="M44" s="873" t="s">
        <v>493</v>
      </c>
      <c r="O44" s="917">
        <f>+I28*2</f>
        <v>454.23728813559325</v>
      </c>
    </row>
    <row r="45" spans="1:17">
      <c r="M45" s="873" t="s">
        <v>494</v>
      </c>
      <c r="O45" s="919">
        <f ca="1">+O28*0.7</f>
        <v>76.416280237295339</v>
      </c>
    </row>
    <row r="46" spans="1:17">
      <c r="O46" s="917">
        <f ca="1">SUM(O44:O45)</f>
        <v>530.65356837288857</v>
      </c>
    </row>
    <row r="51" spans="11:18">
      <c r="K51" s="873" t="s">
        <v>748</v>
      </c>
      <c r="M51" s="873" t="s">
        <v>492</v>
      </c>
      <c r="O51" s="917">
        <f ca="1">+N28*0.7</f>
        <v>73.450178542380087</v>
      </c>
      <c r="P51" s="1173">
        <v>1</v>
      </c>
      <c r="Q51" s="917">
        <f ca="1">+O51*P51</f>
        <v>73.450178542380087</v>
      </c>
    </row>
    <row r="53" spans="11:18" ht="12.75" thickBot="1">
      <c r="Q53" s="920">
        <f ca="1">+Q37+O42+O46+Q51</f>
        <v>1669.6712769492244</v>
      </c>
      <c r="R53" s="873" t="s">
        <v>495</v>
      </c>
    </row>
    <row r="54" spans="11:18" ht="12.75" thickTop="1"/>
    <row r="59" spans="11:18">
      <c r="N59" s="873">
        <v>13</v>
      </c>
      <c r="O59" s="873">
        <v>268</v>
      </c>
      <c r="P59" s="873">
        <f>+N59*O59</f>
        <v>3484</v>
      </c>
    </row>
    <row r="60" spans="11:18">
      <c r="N60" s="873">
        <v>1</v>
      </c>
      <c r="O60" s="873">
        <v>263</v>
      </c>
      <c r="P60" s="873">
        <f>+N60*O60</f>
        <v>263</v>
      </c>
    </row>
    <row r="61" spans="11:18" ht="12.75" thickBot="1">
      <c r="P61" s="1181">
        <f>SUM(P59:P60)</f>
        <v>3747</v>
      </c>
    </row>
    <row r="62" spans="11:18" ht="12.75" thickTop="1"/>
  </sheetData>
  <mergeCells count="23">
    <mergeCell ref="G26:G27"/>
    <mergeCell ref="A1:M1"/>
    <mergeCell ref="B3:G3"/>
    <mergeCell ref="C8:C13"/>
    <mergeCell ref="B23:F25"/>
    <mergeCell ref="G23:K25"/>
    <mergeCell ref="L23:L25"/>
    <mergeCell ref="M23:Q25"/>
    <mergeCell ref="B26:B27"/>
    <mergeCell ref="C26:C27"/>
    <mergeCell ref="D26:D27"/>
    <mergeCell ref="E26:E27"/>
    <mergeCell ref="F26:F27"/>
    <mergeCell ref="N26:N27"/>
    <mergeCell ref="O26:O27"/>
    <mergeCell ref="P26:P27"/>
    <mergeCell ref="Q26:Q27"/>
    <mergeCell ref="H26:H27"/>
    <mergeCell ref="I26:I27"/>
    <mergeCell ref="J26:J27"/>
    <mergeCell ref="K26:K27"/>
    <mergeCell ref="L26:L27"/>
    <mergeCell ref="M26:M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59DCA-E633-47F1-BF3B-C5AFF74F52F4}">
  <dimension ref="A1:S48"/>
  <sheetViews>
    <sheetView topLeftCell="B7" workbookViewId="0">
      <selection activeCell="E47" sqref="E47"/>
    </sheetView>
  </sheetViews>
  <sheetFormatPr baseColWidth="10" defaultColWidth="11.42578125" defaultRowHeight="12"/>
  <cols>
    <col min="1" max="1" width="11.42578125" style="589"/>
    <col min="2" max="2" width="3.7109375" style="589" customWidth="1"/>
    <col min="3" max="3" width="37" style="589" customWidth="1"/>
    <col min="4" max="4" width="11.42578125" style="589"/>
    <col min="5" max="6" width="9.7109375" style="589" customWidth="1"/>
    <col min="7" max="7" width="10.42578125" style="589" customWidth="1"/>
    <col min="8" max="8" width="12.140625" style="997" customWidth="1"/>
    <col min="9" max="9" width="14.28515625" style="589" bestFit="1" customWidth="1"/>
    <col min="10" max="10" width="0" style="589" hidden="1" customWidth="1"/>
    <col min="11" max="16384" width="11.42578125" style="589"/>
  </cols>
  <sheetData>
    <row r="1" spans="1:17" ht="12.75" thickBot="1">
      <c r="A1" s="848"/>
      <c r="B1" s="848"/>
      <c r="C1" s="848"/>
      <c r="D1" s="848"/>
      <c r="E1" s="848"/>
      <c r="F1" s="848"/>
      <c r="G1" s="848"/>
      <c r="H1" s="995"/>
      <c r="I1" s="848"/>
      <c r="J1" s="848"/>
      <c r="K1" s="848"/>
      <c r="L1" s="848"/>
      <c r="M1" s="848"/>
      <c r="N1" s="848"/>
      <c r="O1" s="848"/>
      <c r="P1" s="848"/>
      <c r="Q1" s="848"/>
    </row>
    <row r="2" spans="1:17" ht="12.75" thickBot="1">
      <c r="A2" s="848"/>
      <c r="B2" s="848"/>
      <c r="C2" s="848"/>
      <c r="D2" s="848"/>
      <c r="E2" s="848"/>
      <c r="F2" s="848"/>
      <c r="G2" s="848"/>
      <c r="H2" s="995"/>
      <c r="I2" s="848"/>
      <c r="J2" s="848"/>
      <c r="K2" s="848"/>
      <c r="L2" s="849">
        <v>30</v>
      </c>
      <c r="M2" s="849"/>
      <c r="N2" s="848"/>
      <c r="O2" s="856" t="s">
        <v>130</v>
      </c>
      <c r="P2" s="848"/>
      <c r="Q2" s="848"/>
    </row>
    <row r="3" spans="1:17">
      <c r="A3" s="848"/>
      <c r="B3" s="848"/>
      <c r="C3" s="848"/>
      <c r="D3" s="857" t="s">
        <v>125</v>
      </c>
      <c r="E3" s="857"/>
      <c r="F3" s="857"/>
      <c r="G3" s="857" t="s">
        <v>125</v>
      </c>
      <c r="H3" s="992"/>
      <c r="I3" s="858" t="s">
        <v>179</v>
      </c>
      <c r="J3" s="859"/>
      <c r="K3" s="860"/>
      <c r="L3" s="861"/>
      <c r="M3" s="864" t="s">
        <v>496</v>
      </c>
      <c r="N3" s="848"/>
      <c r="O3" s="850" t="s">
        <v>497</v>
      </c>
      <c r="P3" s="848"/>
      <c r="Q3" s="848"/>
    </row>
    <row r="4" spans="1:17" ht="36">
      <c r="A4" s="848"/>
      <c r="B4" s="848"/>
      <c r="C4" s="848"/>
      <c r="D4" s="862" t="s">
        <v>498</v>
      </c>
      <c r="E4" s="1208" t="s">
        <v>779</v>
      </c>
      <c r="F4" s="862"/>
      <c r="G4" s="862" t="s">
        <v>498</v>
      </c>
      <c r="H4" s="993" t="s">
        <v>499</v>
      </c>
      <c r="I4" s="866" t="s">
        <v>500</v>
      </c>
      <c r="J4" s="862" t="s">
        <v>501</v>
      </c>
      <c r="K4" s="863" t="s">
        <v>502</v>
      </c>
      <c r="L4" s="863" t="s">
        <v>503</v>
      </c>
      <c r="M4" s="865" t="s">
        <v>504</v>
      </c>
      <c r="N4" s="848"/>
      <c r="O4" s="850" t="s">
        <v>505</v>
      </c>
      <c r="P4" s="848">
        <v>30</v>
      </c>
      <c r="Q4" s="848"/>
    </row>
    <row r="5" spans="1:17">
      <c r="A5" s="848"/>
      <c r="B5" s="854" t="s">
        <v>431</v>
      </c>
      <c r="C5" s="854" t="s">
        <v>318</v>
      </c>
      <c r="D5" s="1209"/>
      <c r="E5" s="1209"/>
      <c r="F5" s="1209"/>
      <c r="G5" s="1209"/>
      <c r="H5" s="1210" t="s">
        <v>506</v>
      </c>
      <c r="I5" s="1211" t="s">
        <v>507</v>
      </c>
      <c r="J5" s="1211" t="s">
        <v>506</v>
      </c>
      <c r="K5" s="1212"/>
      <c r="L5" s="1212"/>
      <c r="M5" s="1212" t="s">
        <v>508</v>
      </c>
      <c r="N5" s="854"/>
      <c r="O5" s="1213"/>
      <c r="P5" s="848"/>
      <c r="Q5" s="848"/>
    </row>
    <row r="6" spans="1:17">
      <c r="A6" s="848"/>
      <c r="B6" s="1204">
        <v>1</v>
      </c>
      <c r="C6" s="1061" t="s">
        <v>201</v>
      </c>
      <c r="D6" s="1205">
        <v>13000</v>
      </c>
      <c r="E6" s="1205">
        <v>113</v>
      </c>
      <c r="F6" s="991"/>
      <c r="G6" s="991">
        <f>+D6+E6</f>
        <v>13113</v>
      </c>
      <c r="H6" s="994"/>
      <c r="I6" s="867">
        <v>0</v>
      </c>
      <c r="J6" s="855"/>
      <c r="K6" s="846">
        <f>+D6/$L$2*I6</f>
        <v>0</v>
      </c>
      <c r="L6" s="846">
        <f>(+D6/$L$2/8/60)*H6</f>
        <v>0</v>
      </c>
      <c r="M6" s="846">
        <v>0</v>
      </c>
      <c r="N6" s="854"/>
      <c r="O6" s="867"/>
      <c r="P6" s="847"/>
      <c r="Q6" s="847"/>
    </row>
    <row r="7" spans="1:17">
      <c r="A7" s="848"/>
      <c r="B7" s="1204">
        <f>+B6+1</f>
        <v>2</v>
      </c>
      <c r="C7" s="1061" t="s">
        <v>205</v>
      </c>
      <c r="D7" s="1205">
        <v>6500</v>
      </c>
      <c r="E7" s="1205">
        <v>113</v>
      </c>
      <c r="F7" s="991"/>
      <c r="G7" s="991">
        <f t="shared" ref="G7:G43" si="0">+D7+E7</f>
        <v>6613</v>
      </c>
      <c r="H7" s="1071"/>
      <c r="I7" s="867">
        <v>0</v>
      </c>
      <c r="J7" s="855">
        <v>0</v>
      </c>
      <c r="K7" s="846">
        <f>+D7/$L$2*I7</f>
        <v>0</v>
      </c>
      <c r="L7" s="846">
        <f>(+D7/$L$2/8/60)*H7</f>
        <v>0</v>
      </c>
      <c r="M7" s="846">
        <v>0</v>
      </c>
      <c r="N7" s="854"/>
      <c r="O7" s="867"/>
      <c r="P7" s="847"/>
      <c r="Q7" s="847"/>
    </row>
    <row r="8" spans="1:17">
      <c r="A8" s="848"/>
      <c r="B8" s="1204">
        <f t="shared" ref="B8:B48" si="1">+B7+1</f>
        <v>3</v>
      </c>
      <c r="C8" s="1011" t="s">
        <v>208</v>
      </c>
      <c r="D8" s="1205">
        <v>4000</v>
      </c>
      <c r="E8" s="1205">
        <v>113</v>
      </c>
      <c r="F8" s="1003"/>
      <c r="G8" s="991">
        <f t="shared" si="0"/>
        <v>4113</v>
      </c>
      <c r="H8" s="1071">
        <f>5*60+38</f>
        <v>338</v>
      </c>
      <c r="I8" s="1070"/>
      <c r="J8" s="855">
        <v>0</v>
      </c>
      <c r="K8" s="846">
        <f>+D8/$L$2*I8</f>
        <v>0</v>
      </c>
      <c r="L8" s="846">
        <f>(+G8/$L$2/8/60)*H8</f>
        <v>96.541249999999991</v>
      </c>
      <c r="M8" s="846">
        <v>0</v>
      </c>
      <c r="N8" s="854"/>
      <c r="O8" s="1214"/>
      <c r="P8" s="847"/>
      <c r="Q8" s="847"/>
    </row>
    <row r="9" spans="1:17">
      <c r="A9" s="848"/>
      <c r="B9" s="1204">
        <f t="shared" si="1"/>
        <v>4</v>
      </c>
      <c r="C9" s="1061" t="s">
        <v>211</v>
      </c>
      <c r="D9" s="1205">
        <v>4000</v>
      </c>
      <c r="E9" s="1205">
        <v>113</v>
      </c>
      <c r="F9" s="1003"/>
      <c r="G9" s="991">
        <f t="shared" si="0"/>
        <v>4113</v>
      </c>
      <c r="H9" s="1071"/>
      <c r="I9" s="1070"/>
      <c r="J9" s="855">
        <v>0</v>
      </c>
      <c r="K9" s="846">
        <f>+D9/$L$2*I9</f>
        <v>0</v>
      </c>
      <c r="L9" s="846">
        <f t="shared" ref="L9:L44" si="2">(+G9/$L$2/8/60)*H9</f>
        <v>0</v>
      </c>
      <c r="M9" s="846">
        <v>0</v>
      </c>
      <c r="N9" s="854"/>
      <c r="O9" s="1214"/>
      <c r="P9" s="847"/>
      <c r="Q9" s="847"/>
    </row>
    <row r="10" spans="1:17">
      <c r="A10" s="848"/>
      <c r="B10" s="1204">
        <f t="shared" si="1"/>
        <v>5</v>
      </c>
      <c r="C10" s="1011" t="s">
        <v>214</v>
      </c>
      <c r="D10" s="1205">
        <v>3600</v>
      </c>
      <c r="E10" s="1205"/>
      <c r="F10" s="991"/>
      <c r="G10" s="991">
        <f t="shared" si="0"/>
        <v>3600</v>
      </c>
      <c r="H10" s="1071">
        <f>5*60+8</f>
        <v>308</v>
      </c>
      <c r="I10" s="1070"/>
      <c r="J10" s="855">
        <v>0</v>
      </c>
      <c r="K10" s="846">
        <f>+D10/$L$2*I10</f>
        <v>0</v>
      </c>
      <c r="L10" s="846">
        <f t="shared" si="2"/>
        <v>77</v>
      </c>
      <c r="M10" s="846">
        <v>0</v>
      </c>
      <c r="N10" s="854"/>
      <c r="O10" s="867"/>
      <c r="P10" s="847"/>
      <c r="Q10" s="847"/>
    </row>
    <row r="11" spans="1:17">
      <c r="A11" s="848"/>
      <c r="B11" s="1204">
        <f t="shared" si="1"/>
        <v>6</v>
      </c>
      <c r="C11" s="1222" t="s">
        <v>217</v>
      </c>
      <c r="D11" s="1205">
        <v>6500</v>
      </c>
      <c r="E11" s="1205">
        <v>113</v>
      </c>
      <c r="F11" s="991"/>
      <c r="G11" s="991">
        <f t="shared" si="0"/>
        <v>6613</v>
      </c>
      <c r="H11" s="1071"/>
      <c r="I11" s="1070"/>
      <c r="J11" s="855">
        <v>0</v>
      </c>
      <c r="K11" s="846">
        <f t="shared" ref="K11:K32" si="3">+D11/$L$2*I11</f>
        <v>0</v>
      </c>
      <c r="L11" s="846">
        <f t="shared" si="2"/>
        <v>0</v>
      </c>
      <c r="M11" s="846">
        <v>0</v>
      </c>
      <c r="N11" s="854"/>
      <c r="O11" s="867"/>
      <c r="P11" s="847"/>
      <c r="Q11" s="847"/>
    </row>
    <row r="12" spans="1:17">
      <c r="A12" s="848"/>
      <c r="B12" s="1204">
        <f t="shared" si="1"/>
        <v>7</v>
      </c>
      <c r="C12" s="1061" t="s">
        <v>219</v>
      </c>
      <c r="D12" s="1205">
        <v>4500</v>
      </c>
      <c r="E12" s="1205">
        <v>113</v>
      </c>
      <c r="F12" s="991"/>
      <c r="G12" s="991">
        <f t="shared" si="0"/>
        <v>4613</v>
      </c>
      <c r="H12" s="1071"/>
      <c r="I12" s="867"/>
      <c r="J12" s="855">
        <v>0</v>
      </c>
      <c r="K12" s="846">
        <f t="shared" si="3"/>
        <v>0</v>
      </c>
      <c r="L12" s="846">
        <f t="shared" si="2"/>
        <v>0</v>
      </c>
      <c r="M12" s="846">
        <v>0</v>
      </c>
      <c r="N12" s="854"/>
      <c r="O12" s="867"/>
      <c r="P12" s="847"/>
      <c r="Q12" s="847"/>
    </row>
    <row r="13" spans="1:17">
      <c r="A13" s="848"/>
      <c r="B13" s="1204">
        <f t="shared" si="1"/>
        <v>8</v>
      </c>
      <c r="C13" s="1215" t="s">
        <v>221</v>
      </c>
      <c r="D13" s="1205">
        <v>2800</v>
      </c>
      <c r="E13" s="1205"/>
      <c r="F13" s="991"/>
      <c r="G13" s="991">
        <f t="shared" si="0"/>
        <v>2800</v>
      </c>
      <c r="H13" s="1071">
        <v>59</v>
      </c>
      <c r="I13" s="867"/>
      <c r="J13" s="855">
        <v>0</v>
      </c>
      <c r="K13" s="846">
        <f t="shared" si="3"/>
        <v>0</v>
      </c>
      <c r="L13" s="846">
        <f t="shared" si="2"/>
        <v>11.472222222222223</v>
      </c>
      <c r="M13" s="846">
        <v>0</v>
      </c>
      <c r="N13" s="854"/>
      <c r="O13" s="867"/>
      <c r="P13" s="847"/>
      <c r="Q13" s="847"/>
    </row>
    <row r="14" spans="1:17">
      <c r="A14" s="848"/>
      <c r="B14" s="1216">
        <f t="shared" si="1"/>
        <v>9</v>
      </c>
      <c r="C14" s="1217" t="s">
        <v>223</v>
      </c>
      <c r="D14" s="1205">
        <v>2600</v>
      </c>
      <c r="E14" s="1218"/>
      <c r="F14" s="991"/>
      <c r="G14" s="991">
        <f t="shared" si="0"/>
        <v>2600</v>
      </c>
      <c r="H14" s="1071">
        <v>63</v>
      </c>
      <c r="I14" s="867"/>
      <c r="J14" s="855">
        <v>0</v>
      </c>
      <c r="K14" s="846">
        <f>+D14/$L$2*I14</f>
        <v>0</v>
      </c>
      <c r="L14" s="846">
        <f t="shared" si="2"/>
        <v>11.375</v>
      </c>
      <c r="M14" s="846">
        <v>0</v>
      </c>
      <c r="N14" s="854"/>
      <c r="O14" s="867"/>
      <c r="P14" s="847"/>
      <c r="Q14" s="847"/>
    </row>
    <row r="15" spans="1:17">
      <c r="A15" s="848"/>
      <c r="B15" s="1204">
        <f t="shared" si="1"/>
        <v>10</v>
      </c>
      <c r="C15" s="1215" t="s">
        <v>226</v>
      </c>
      <c r="D15" s="1205">
        <v>2200</v>
      </c>
      <c r="E15" s="1205">
        <v>113</v>
      </c>
      <c r="F15" s="991"/>
      <c r="G15" s="991">
        <f t="shared" si="0"/>
        <v>2313</v>
      </c>
      <c r="H15" s="1071">
        <v>75</v>
      </c>
      <c r="I15" s="1072"/>
      <c r="J15" s="855">
        <v>0</v>
      </c>
      <c r="K15" s="846">
        <f t="shared" si="3"/>
        <v>0</v>
      </c>
      <c r="L15" s="846">
        <f t="shared" si="2"/>
        <v>12.046875</v>
      </c>
      <c r="M15" s="846">
        <v>0</v>
      </c>
      <c r="N15" s="854"/>
      <c r="O15" s="867"/>
      <c r="P15" s="847"/>
      <c r="Q15" s="847"/>
    </row>
    <row r="16" spans="1:17">
      <c r="A16" s="848"/>
      <c r="B16" s="1204">
        <f t="shared" si="1"/>
        <v>11</v>
      </c>
      <c r="C16" s="1061" t="s">
        <v>228</v>
      </c>
      <c r="D16" s="1205">
        <v>3800</v>
      </c>
      <c r="E16" s="1205">
        <v>113</v>
      </c>
      <c r="F16" s="991"/>
      <c r="G16" s="991">
        <f t="shared" si="0"/>
        <v>3913</v>
      </c>
      <c r="H16" s="1071"/>
      <c r="I16" s="867"/>
      <c r="J16" s="855">
        <v>0</v>
      </c>
      <c r="K16" s="846">
        <f t="shared" si="3"/>
        <v>0</v>
      </c>
      <c r="L16" s="846">
        <f t="shared" si="2"/>
        <v>0</v>
      </c>
      <c r="M16" s="846">
        <v>0</v>
      </c>
      <c r="N16" s="854"/>
      <c r="O16" s="867"/>
      <c r="P16" s="847"/>
      <c r="Q16" s="847"/>
    </row>
    <row r="17" spans="1:17">
      <c r="A17" s="848"/>
      <c r="B17" s="1204">
        <f t="shared" si="1"/>
        <v>12</v>
      </c>
      <c r="C17" s="1011" t="s">
        <v>230</v>
      </c>
      <c r="D17" s="1205">
        <v>1500</v>
      </c>
      <c r="E17" s="1205">
        <v>113</v>
      </c>
      <c r="F17" s="991"/>
      <c r="G17" s="991">
        <f t="shared" si="0"/>
        <v>1613</v>
      </c>
      <c r="H17" s="1071"/>
      <c r="I17" s="867"/>
      <c r="J17" s="855">
        <v>0</v>
      </c>
      <c r="K17" s="846">
        <f t="shared" si="3"/>
        <v>0</v>
      </c>
      <c r="L17" s="846">
        <f t="shared" si="2"/>
        <v>0</v>
      </c>
      <c r="M17" s="846">
        <v>0</v>
      </c>
      <c r="N17" s="854"/>
      <c r="O17" s="867"/>
      <c r="P17" s="847"/>
      <c r="Q17" s="847"/>
    </row>
    <row r="18" spans="1:17">
      <c r="A18" s="848"/>
      <c r="B18" s="1204">
        <f t="shared" si="1"/>
        <v>13</v>
      </c>
      <c r="C18" s="1011" t="s">
        <v>241</v>
      </c>
      <c r="D18" s="1205">
        <v>3000</v>
      </c>
      <c r="E18" s="1205"/>
      <c r="F18" s="991"/>
      <c r="G18" s="991">
        <f t="shared" si="0"/>
        <v>3000</v>
      </c>
      <c r="H18" s="1220">
        <f>8*60+49</f>
        <v>529</v>
      </c>
      <c r="I18" s="991"/>
      <c r="J18" s="1221">
        <v>0</v>
      </c>
      <c r="K18" s="1003">
        <f t="shared" si="3"/>
        <v>0</v>
      </c>
      <c r="L18" s="846">
        <f t="shared" si="2"/>
        <v>110.20833333333334</v>
      </c>
      <c r="M18" s="1003">
        <v>0</v>
      </c>
      <c r="N18" s="854"/>
      <c r="O18" s="991"/>
      <c r="P18" s="548"/>
      <c r="Q18" s="548"/>
    </row>
    <row r="19" spans="1:17">
      <c r="A19" s="848"/>
      <c r="B19" s="1204">
        <f>+B18+1</f>
        <v>14</v>
      </c>
      <c r="C19" s="1011" t="s">
        <v>243</v>
      </c>
      <c r="D19" s="1205">
        <v>3200</v>
      </c>
      <c r="E19" s="1205"/>
      <c r="F19" s="991"/>
      <c r="G19" s="991">
        <f t="shared" si="0"/>
        <v>3200</v>
      </c>
      <c r="H19" s="1071">
        <f>3*60+34</f>
        <v>214</v>
      </c>
      <c r="I19" s="867"/>
      <c r="J19" s="855">
        <v>0</v>
      </c>
      <c r="K19" s="846">
        <f t="shared" si="3"/>
        <v>0</v>
      </c>
      <c r="L19" s="846">
        <f t="shared" si="2"/>
        <v>47.555555555555557</v>
      </c>
      <c r="M19" s="846">
        <v>0</v>
      </c>
      <c r="N19" s="854"/>
      <c r="O19" s="867"/>
      <c r="P19" s="847"/>
      <c r="Q19" s="847"/>
    </row>
    <row r="20" spans="1:17">
      <c r="A20" s="848"/>
      <c r="B20" s="1204">
        <f t="shared" si="1"/>
        <v>15</v>
      </c>
      <c r="C20" s="1011" t="s">
        <v>245</v>
      </c>
      <c r="D20" s="1205">
        <v>2800</v>
      </c>
      <c r="E20" s="1205">
        <v>113</v>
      </c>
      <c r="F20" s="991"/>
      <c r="G20" s="991">
        <f t="shared" si="0"/>
        <v>2913</v>
      </c>
      <c r="H20" s="1071">
        <v>97</v>
      </c>
      <c r="I20" s="1072"/>
      <c r="J20" s="855">
        <v>0</v>
      </c>
      <c r="K20" s="846">
        <f t="shared" si="3"/>
        <v>0</v>
      </c>
      <c r="L20" s="846">
        <f t="shared" si="2"/>
        <v>19.622291666666666</v>
      </c>
      <c r="M20" s="846">
        <v>0</v>
      </c>
      <c r="N20" s="854"/>
      <c r="O20" s="851"/>
      <c r="P20" s="847"/>
      <c r="Q20" s="847"/>
    </row>
    <row r="21" spans="1:17">
      <c r="A21" s="848"/>
      <c r="B21" s="1204">
        <f t="shared" si="1"/>
        <v>16</v>
      </c>
      <c r="C21" s="1011" t="s">
        <v>247</v>
      </c>
      <c r="D21" s="1205">
        <v>2800</v>
      </c>
      <c r="E21" s="1205">
        <v>113</v>
      </c>
      <c r="F21" s="991"/>
      <c r="G21" s="991">
        <f t="shared" si="0"/>
        <v>2913</v>
      </c>
      <c r="H21" s="1071">
        <v>133</v>
      </c>
      <c r="I21" s="867"/>
      <c r="J21" s="855">
        <v>0</v>
      </c>
      <c r="K21" s="846">
        <f t="shared" si="3"/>
        <v>0</v>
      </c>
      <c r="L21" s="846">
        <f t="shared" si="2"/>
        <v>26.904791666666664</v>
      </c>
      <c r="M21" s="846">
        <v>0</v>
      </c>
      <c r="N21" s="854"/>
      <c r="O21" s="851"/>
      <c r="P21" s="847"/>
      <c r="Q21" s="847"/>
    </row>
    <row r="22" spans="1:17">
      <c r="A22" s="848"/>
      <c r="B22" s="1204">
        <f t="shared" si="1"/>
        <v>17</v>
      </c>
      <c r="C22" s="1011" t="s">
        <v>249</v>
      </c>
      <c r="D22" s="1205">
        <v>1200</v>
      </c>
      <c r="E22" s="1205"/>
      <c r="F22" s="991"/>
      <c r="G22" s="991">
        <f t="shared" si="0"/>
        <v>1200</v>
      </c>
      <c r="H22" s="1071"/>
      <c r="I22" s="867"/>
      <c r="J22" s="855">
        <v>0</v>
      </c>
      <c r="K22" s="846">
        <f t="shared" si="3"/>
        <v>0</v>
      </c>
      <c r="L22" s="846">
        <f>(+G22/$L$2/8/60)*H22</f>
        <v>0</v>
      </c>
      <c r="M22" s="846">
        <v>0</v>
      </c>
      <c r="N22" s="854"/>
      <c r="O22" s="851"/>
      <c r="P22" s="847"/>
      <c r="Q22" s="847"/>
    </row>
    <row r="23" spans="1:17">
      <c r="A23" s="848"/>
      <c r="B23" s="1204">
        <f t="shared" si="1"/>
        <v>18</v>
      </c>
      <c r="C23" s="1222" t="s">
        <v>251</v>
      </c>
      <c r="D23" s="1205">
        <v>2800</v>
      </c>
      <c r="E23" s="1205"/>
      <c r="F23" s="991"/>
      <c r="G23" s="991">
        <f t="shared" si="0"/>
        <v>2800</v>
      </c>
      <c r="H23" s="1071">
        <v>33</v>
      </c>
      <c r="I23" s="867"/>
      <c r="J23" s="855">
        <v>0</v>
      </c>
      <c r="K23" s="846">
        <f t="shared" si="3"/>
        <v>0</v>
      </c>
      <c r="L23" s="846">
        <f t="shared" si="2"/>
        <v>6.416666666666667</v>
      </c>
      <c r="M23" s="846">
        <v>0</v>
      </c>
      <c r="N23" s="854"/>
      <c r="O23" s="851"/>
      <c r="P23" s="847"/>
      <c r="Q23" s="847"/>
    </row>
    <row r="24" spans="1:17">
      <c r="A24" s="848"/>
      <c r="B24" s="1204">
        <f t="shared" si="1"/>
        <v>19</v>
      </c>
      <c r="C24" s="1011" t="s">
        <v>253</v>
      </c>
      <c r="D24" s="1205">
        <v>2800</v>
      </c>
      <c r="E24" s="1205"/>
      <c r="F24" s="991"/>
      <c r="G24" s="991">
        <f t="shared" si="0"/>
        <v>2800</v>
      </c>
      <c r="H24" s="1071">
        <v>145</v>
      </c>
      <c r="I24" s="867"/>
      <c r="J24" s="855">
        <v>0</v>
      </c>
      <c r="K24" s="846">
        <f t="shared" si="3"/>
        <v>0</v>
      </c>
      <c r="L24" s="846">
        <f t="shared" si="2"/>
        <v>28.194444444444446</v>
      </c>
      <c r="M24" s="846">
        <v>0</v>
      </c>
      <c r="N24" s="854"/>
      <c r="O24" s="851"/>
      <c r="P24" s="847"/>
      <c r="Q24" s="847"/>
    </row>
    <row r="25" spans="1:17">
      <c r="A25" s="848"/>
      <c r="B25" s="1204">
        <f t="shared" si="1"/>
        <v>20</v>
      </c>
      <c r="C25" s="1011" t="s">
        <v>256</v>
      </c>
      <c r="D25" s="1205">
        <v>2500</v>
      </c>
      <c r="E25" s="1205"/>
      <c r="F25" s="991"/>
      <c r="G25" s="991">
        <f t="shared" si="0"/>
        <v>2500</v>
      </c>
      <c r="H25" s="1071">
        <f>2*60+53</f>
        <v>173</v>
      </c>
      <c r="I25" s="867"/>
      <c r="J25" s="855">
        <v>0</v>
      </c>
      <c r="K25" s="846">
        <f t="shared" si="3"/>
        <v>0</v>
      </c>
      <c r="L25" s="846">
        <f t="shared" si="2"/>
        <v>30.034722222222221</v>
      </c>
      <c r="M25" s="846">
        <v>0</v>
      </c>
      <c r="N25" s="854"/>
      <c r="O25" s="851"/>
      <c r="P25" s="847"/>
      <c r="Q25" s="847"/>
    </row>
    <row r="26" spans="1:17">
      <c r="A26" s="848"/>
      <c r="B26" s="1204">
        <f t="shared" si="1"/>
        <v>21</v>
      </c>
      <c r="C26" s="1011" t="s">
        <v>259</v>
      </c>
      <c r="D26" s="1205">
        <v>2500</v>
      </c>
      <c r="E26" s="1205"/>
      <c r="F26" s="991"/>
      <c r="G26" s="991">
        <f t="shared" si="0"/>
        <v>2500</v>
      </c>
      <c r="H26" s="1071"/>
      <c r="I26" s="867"/>
      <c r="J26" s="855">
        <v>0</v>
      </c>
      <c r="K26" s="846">
        <f t="shared" si="3"/>
        <v>0</v>
      </c>
      <c r="L26" s="846">
        <f t="shared" si="2"/>
        <v>0</v>
      </c>
      <c r="M26" s="846">
        <v>0</v>
      </c>
      <c r="N26" s="854"/>
      <c r="O26" s="851"/>
      <c r="P26" s="847"/>
      <c r="Q26" s="847"/>
    </row>
    <row r="27" spans="1:17">
      <c r="A27" s="848"/>
      <c r="B27" s="1204">
        <f t="shared" si="1"/>
        <v>22</v>
      </c>
      <c r="C27" s="1011" t="s">
        <v>261</v>
      </c>
      <c r="D27" s="1205">
        <v>2500</v>
      </c>
      <c r="E27" s="1205"/>
      <c r="F27" s="991"/>
      <c r="G27" s="991">
        <f t="shared" si="0"/>
        <v>2500</v>
      </c>
      <c r="H27" s="1071">
        <v>38</v>
      </c>
      <c r="I27" s="867"/>
      <c r="J27" s="855">
        <v>0</v>
      </c>
      <c r="K27" s="846">
        <f t="shared" si="3"/>
        <v>0</v>
      </c>
      <c r="L27" s="846">
        <f t="shared" si="2"/>
        <v>6.5972222222222223</v>
      </c>
      <c r="M27" s="846">
        <v>0</v>
      </c>
      <c r="N27" s="854"/>
      <c r="O27" s="851"/>
      <c r="P27" s="847"/>
      <c r="Q27" s="847"/>
    </row>
    <row r="28" spans="1:17">
      <c r="A28" s="848"/>
      <c r="B28" s="1204">
        <f t="shared" si="1"/>
        <v>23</v>
      </c>
      <c r="C28" s="1219" t="s">
        <v>265</v>
      </c>
      <c r="D28" s="1205">
        <v>2800</v>
      </c>
      <c r="E28" s="1218"/>
      <c r="F28" s="991"/>
      <c r="G28" s="991">
        <f t="shared" si="0"/>
        <v>2800</v>
      </c>
      <c r="H28" s="1071"/>
      <c r="I28" s="867"/>
      <c r="J28" s="855">
        <v>0</v>
      </c>
      <c r="K28" s="846">
        <f t="shared" si="3"/>
        <v>0</v>
      </c>
      <c r="L28" s="846">
        <f t="shared" si="2"/>
        <v>0</v>
      </c>
      <c r="M28" s="846">
        <v>0</v>
      </c>
      <c r="N28" s="854"/>
      <c r="O28" s="851"/>
      <c r="P28" s="847"/>
      <c r="Q28" s="847"/>
    </row>
    <row r="29" spans="1:17">
      <c r="A29" s="848"/>
      <c r="B29" s="1204">
        <f t="shared" si="1"/>
        <v>24</v>
      </c>
      <c r="C29" s="1011" t="s">
        <v>267</v>
      </c>
      <c r="D29" s="1205">
        <v>2500</v>
      </c>
      <c r="E29" s="1205"/>
      <c r="F29" s="991"/>
      <c r="G29" s="991">
        <f t="shared" si="0"/>
        <v>2500</v>
      </c>
      <c r="H29" s="1071">
        <f>2*60+44</f>
        <v>164</v>
      </c>
      <c r="I29" s="867"/>
      <c r="J29" s="855">
        <v>0</v>
      </c>
      <c r="K29" s="846">
        <f t="shared" si="3"/>
        <v>0</v>
      </c>
      <c r="L29" s="846">
        <f t="shared" si="2"/>
        <v>28.472222222222221</v>
      </c>
      <c r="M29" s="846">
        <v>0</v>
      </c>
      <c r="N29" s="854"/>
      <c r="O29" s="851"/>
      <c r="P29" s="847"/>
      <c r="Q29" s="847"/>
    </row>
    <row r="30" spans="1:17">
      <c r="A30" s="848"/>
      <c r="B30" s="1204">
        <f t="shared" si="1"/>
        <v>25</v>
      </c>
      <c r="C30" s="1011" t="s">
        <v>269</v>
      </c>
      <c r="D30" s="1205">
        <v>2500</v>
      </c>
      <c r="E30" s="1205"/>
      <c r="F30" s="991"/>
      <c r="G30" s="991">
        <f t="shared" si="0"/>
        <v>2500</v>
      </c>
      <c r="H30" s="1071"/>
      <c r="I30" s="867"/>
      <c r="J30" s="855">
        <v>0</v>
      </c>
      <c r="K30" s="846">
        <f t="shared" si="3"/>
        <v>0</v>
      </c>
      <c r="L30" s="846">
        <f t="shared" si="2"/>
        <v>0</v>
      </c>
      <c r="M30" s="846"/>
      <c r="N30" s="854"/>
      <c r="O30" s="852"/>
      <c r="P30" s="847"/>
      <c r="Q30" s="847"/>
    </row>
    <row r="31" spans="1:17">
      <c r="B31" s="1204">
        <f t="shared" si="1"/>
        <v>26</v>
      </c>
      <c r="C31" s="1011" t="s">
        <v>270</v>
      </c>
      <c r="D31" s="1205">
        <v>2800</v>
      </c>
      <c r="E31" s="1205"/>
      <c r="F31" s="991"/>
      <c r="G31" s="991">
        <f t="shared" si="0"/>
        <v>2800</v>
      </c>
      <c r="H31" s="1071">
        <v>60</v>
      </c>
      <c r="I31" s="867"/>
      <c r="J31" s="855">
        <v>0</v>
      </c>
      <c r="K31" s="846">
        <f t="shared" si="3"/>
        <v>0</v>
      </c>
      <c r="L31" s="846">
        <f t="shared" si="2"/>
        <v>11.666666666666666</v>
      </c>
      <c r="M31" s="846"/>
      <c r="N31" s="854"/>
      <c r="O31" s="852"/>
      <c r="P31" s="847"/>
      <c r="Q31" s="847"/>
    </row>
    <row r="32" spans="1:17">
      <c r="B32" s="1204">
        <f t="shared" si="1"/>
        <v>27</v>
      </c>
      <c r="C32" s="1011" t="s">
        <v>272</v>
      </c>
      <c r="D32" s="1205">
        <v>2000</v>
      </c>
      <c r="E32" s="1205"/>
      <c r="F32" s="991"/>
      <c r="G32" s="991">
        <f t="shared" si="0"/>
        <v>2000</v>
      </c>
      <c r="H32" s="1071">
        <v>86</v>
      </c>
      <c r="I32" s="867"/>
      <c r="J32" s="855">
        <v>0</v>
      </c>
      <c r="K32" s="846">
        <f t="shared" si="3"/>
        <v>0</v>
      </c>
      <c r="L32" s="846">
        <f t="shared" si="2"/>
        <v>11.944444444444445</v>
      </c>
      <c r="M32" s="846"/>
      <c r="N32" s="852"/>
      <c r="O32" s="852"/>
      <c r="P32" s="847"/>
      <c r="Q32" s="847"/>
    </row>
    <row r="33" spans="2:19">
      <c r="B33" s="1204">
        <f t="shared" si="1"/>
        <v>28</v>
      </c>
      <c r="C33" s="1011" t="s">
        <v>273</v>
      </c>
      <c r="D33" s="1205">
        <v>2200</v>
      </c>
      <c r="E33" s="1205"/>
      <c r="F33" s="991"/>
      <c r="G33" s="991">
        <f t="shared" si="0"/>
        <v>2200</v>
      </c>
      <c r="H33" s="1071">
        <v>21</v>
      </c>
      <c r="I33" s="867"/>
      <c r="J33" s="855">
        <v>0</v>
      </c>
      <c r="K33" s="846">
        <f>+D33/$L$2*I33</f>
        <v>0</v>
      </c>
      <c r="L33" s="846">
        <f t="shared" si="2"/>
        <v>3.208333333333333</v>
      </c>
      <c r="M33" s="846"/>
      <c r="N33" s="852"/>
      <c r="O33" s="852"/>
      <c r="P33" s="847"/>
      <c r="Q33" s="847"/>
      <c r="S33" s="1184"/>
    </row>
    <row r="34" spans="2:19">
      <c r="B34" s="1204">
        <f t="shared" si="1"/>
        <v>29</v>
      </c>
      <c r="C34" s="1011" t="s">
        <v>275</v>
      </c>
      <c r="D34" s="1205">
        <v>2300</v>
      </c>
      <c r="E34" s="1205"/>
      <c r="F34" s="991"/>
      <c r="G34" s="991">
        <f t="shared" si="0"/>
        <v>2300</v>
      </c>
      <c r="H34" s="1071"/>
      <c r="I34" s="867"/>
      <c r="J34" s="855">
        <v>0</v>
      </c>
      <c r="K34" s="846">
        <f t="shared" ref="K34:K44" si="4">+D34/$L$2*I34</f>
        <v>0</v>
      </c>
      <c r="L34" s="846">
        <f t="shared" si="2"/>
        <v>0</v>
      </c>
      <c r="M34" s="846"/>
      <c r="N34" s="854"/>
      <c r="O34" s="852"/>
      <c r="P34" s="847"/>
      <c r="Q34" s="847"/>
    </row>
    <row r="35" spans="2:19">
      <c r="B35" s="1204">
        <f t="shared" si="1"/>
        <v>30</v>
      </c>
      <c r="C35" s="1011" t="s">
        <v>277</v>
      </c>
      <c r="D35" s="1205">
        <v>2500</v>
      </c>
      <c r="E35" s="1205">
        <v>113</v>
      </c>
      <c r="F35" s="852"/>
      <c r="G35" s="991">
        <f t="shared" si="0"/>
        <v>2613</v>
      </c>
      <c r="H35" s="1071">
        <f>6*60+10</f>
        <v>370</v>
      </c>
      <c r="I35" s="1075"/>
      <c r="J35" s="855">
        <v>0</v>
      </c>
      <c r="K35" s="846">
        <f t="shared" si="4"/>
        <v>0</v>
      </c>
      <c r="L35" s="846">
        <f t="shared" si="2"/>
        <v>67.139583333333334</v>
      </c>
      <c r="M35" s="852"/>
      <c r="N35" s="852"/>
      <c r="O35" s="852">
        <v>0</v>
      </c>
      <c r="P35" s="1182"/>
      <c r="Q35" s="848"/>
    </row>
    <row r="36" spans="2:19">
      <c r="B36" s="1204">
        <f>+B35+1</f>
        <v>31</v>
      </c>
      <c r="C36" s="1011" t="s">
        <v>280</v>
      </c>
      <c r="D36" s="1205">
        <v>1800</v>
      </c>
      <c r="E36" s="1205"/>
      <c r="F36" s="852"/>
      <c r="G36" s="991">
        <f t="shared" si="0"/>
        <v>1800</v>
      </c>
      <c r="H36" s="1074">
        <v>50</v>
      </c>
      <c r="I36" s="1075"/>
      <c r="J36" s="855">
        <v>0</v>
      </c>
      <c r="K36" s="846">
        <f t="shared" si="4"/>
        <v>0</v>
      </c>
      <c r="L36" s="846">
        <f t="shared" si="2"/>
        <v>6.25</v>
      </c>
      <c r="M36" s="996"/>
      <c r="N36" s="996"/>
      <c r="O36" s="996"/>
    </row>
    <row r="37" spans="2:19">
      <c r="B37" s="1204">
        <f t="shared" si="1"/>
        <v>32</v>
      </c>
      <c r="C37" s="1011" t="s">
        <v>282</v>
      </c>
      <c r="D37" s="1205">
        <v>1700</v>
      </c>
      <c r="E37" s="1205">
        <v>113</v>
      </c>
      <c r="F37" s="852"/>
      <c r="G37" s="991">
        <f t="shared" si="0"/>
        <v>1813</v>
      </c>
      <c r="H37" s="1074">
        <f>60+41</f>
        <v>101</v>
      </c>
      <c r="I37" s="1075"/>
      <c r="J37" s="855">
        <v>0</v>
      </c>
      <c r="K37" s="846">
        <f t="shared" si="4"/>
        <v>0</v>
      </c>
      <c r="L37" s="846">
        <f t="shared" si="2"/>
        <v>12.716180555555555</v>
      </c>
      <c r="M37" s="996"/>
      <c r="N37" s="996"/>
      <c r="O37" s="996"/>
    </row>
    <row r="38" spans="2:19">
      <c r="B38" s="1204">
        <f t="shared" si="1"/>
        <v>33</v>
      </c>
      <c r="C38" s="1011" t="s">
        <v>283</v>
      </c>
      <c r="D38" s="1205">
        <v>1500</v>
      </c>
      <c r="E38" s="1205">
        <v>113</v>
      </c>
      <c r="F38" s="852"/>
      <c r="G38" s="991">
        <f t="shared" si="0"/>
        <v>1613</v>
      </c>
      <c r="H38" s="1074">
        <v>49</v>
      </c>
      <c r="I38" s="1075"/>
      <c r="J38" s="855">
        <v>0</v>
      </c>
      <c r="K38" s="846">
        <f t="shared" si="4"/>
        <v>0</v>
      </c>
      <c r="L38" s="846">
        <f t="shared" si="2"/>
        <v>5.4886805555555558</v>
      </c>
      <c r="M38" s="996"/>
      <c r="N38" s="996"/>
      <c r="O38" s="996"/>
    </row>
    <row r="39" spans="2:19">
      <c r="B39" s="1204">
        <f t="shared" si="1"/>
        <v>34</v>
      </c>
      <c r="C39" s="1011" t="s">
        <v>285</v>
      </c>
      <c r="D39" s="1205">
        <v>2000</v>
      </c>
      <c r="E39" s="1205"/>
      <c r="F39" s="852"/>
      <c r="G39" s="991">
        <f t="shared" si="0"/>
        <v>2000</v>
      </c>
      <c r="H39" s="1074">
        <v>15</v>
      </c>
      <c r="I39" s="1075"/>
      <c r="J39" s="855">
        <v>0</v>
      </c>
      <c r="K39" s="846">
        <f>+D39/$L$2*I39</f>
        <v>0</v>
      </c>
      <c r="L39" s="846">
        <f t="shared" si="2"/>
        <v>2.0833333333333335</v>
      </c>
      <c r="M39" s="996"/>
      <c r="N39" s="996"/>
      <c r="O39" s="996"/>
      <c r="P39" s="1183"/>
    </row>
    <row r="40" spans="2:19">
      <c r="B40" s="1204">
        <f t="shared" si="1"/>
        <v>35</v>
      </c>
      <c r="C40" s="1011" t="s">
        <v>766</v>
      </c>
      <c r="D40" s="1205">
        <v>1500</v>
      </c>
      <c r="E40" s="1205"/>
      <c r="F40" s="852"/>
      <c r="G40" s="991">
        <f t="shared" si="0"/>
        <v>1500</v>
      </c>
      <c r="H40" s="1074">
        <v>49</v>
      </c>
      <c r="I40" s="1190"/>
      <c r="J40" s="855">
        <v>0</v>
      </c>
      <c r="K40" s="846">
        <f t="shared" si="4"/>
        <v>0</v>
      </c>
      <c r="L40" s="846">
        <f t="shared" si="2"/>
        <v>5.104166666666667</v>
      </c>
      <c r="M40" s="996"/>
      <c r="N40" s="996"/>
      <c r="O40" s="996"/>
    </row>
    <row r="41" spans="2:19">
      <c r="B41" s="1204">
        <f t="shared" si="1"/>
        <v>36</v>
      </c>
      <c r="C41" s="1011" t="s">
        <v>765</v>
      </c>
      <c r="D41" s="1205">
        <v>2850</v>
      </c>
      <c r="E41" s="1205"/>
      <c r="F41" s="852"/>
      <c r="G41" s="991">
        <f t="shared" si="0"/>
        <v>2850</v>
      </c>
      <c r="H41" s="1074">
        <v>50</v>
      </c>
      <c r="I41" s="1075"/>
      <c r="J41" s="855">
        <v>0</v>
      </c>
      <c r="K41" s="846">
        <f t="shared" si="4"/>
        <v>0</v>
      </c>
      <c r="L41" s="846">
        <f t="shared" si="2"/>
        <v>9.8958333333333321</v>
      </c>
      <c r="M41" s="996"/>
      <c r="N41" s="996"/>
      <c r="O41" s="852"/>
      <c r="P41" s="848"/>
      <c r="Q41" s="848"/>
    </row>
    <row r="42" spans="2:19">
      <c r="B42" s="1204">
        <f t="shared" si="1"/>
        <v>37</v>
      </c>
      <c r="C42" s="1011" t="s">
        <v>769</v>
      </c>
      <c r="D42" s="1205">
        <v>1700</v>
      </c>
      <c r="E42" s="1205"/>
      <c r="F42" s="852"/>
      <c r="G42" s="991">
        <f t="shared" si="0"/>
        <v>1700</v>
      </c>
      <c r="H42" s="1074">
        <v>38</v>
      </c>
      <c r="I42" s="1075"/>
      <c r="J42" s="855">
        <v>0</v>
      </c>
      <c r="K42" s="846">
        <f t="shared" si="4"/>
        <v>0</v>
      </c>
      <c r="L42" s="846">
        <f t="shared" si="2"/>
        <v>4.4861111111111107</v>
      </c>
      <c r="M42" s="996"/>
      <c r="N42" s="996"/>
      <c r="O42" s="852"/>
      <c r="P42" s="848"/>
      <c r="Q42" s="848"/>
    </row>
    <row r="43" spans="2:19">
      <c r="B43" s="1204">
        <f t="shared" si="1"/>
        <v>38</v>
      </c>
      <c r="C43" s="1011" t="s">
        <v>770</v>
      </c>
      <c r="D43" s="1205">
        <v>2000</v>
      </c>
      <c r="E43" s="1205">
        <v>113</v>
      </c>
      <c r="F43" s="852"/>
      <c r="G43" s="991">
        <f t="shared" si="0"/>
        <v>2113</v>
      </c>
      <c r="H43" s="1074"/>
      <c r="I43" s="1075"/>
      <c r="J43" s="855">
        <v>0</v>
      </c>
      <c r="K43" s="846">
        <f t="shared" si="4"/>
        <v>0</v>
      </c>
      <c r="L43" s="846">
        <f t="shared" si="2"/>
        <v>0</v>
      </c>
      <c r="M43" s="996"/>
      <c r="N43" s="996"/>
      <c r="O43" s="852"/>
      <c r="P43" s="848"/>
      <c r="Q43" s="848"/>
    </row>
    <row r="44" spans="2:19">
      <c r="B44" s="1204">
        <f t="shared" si="1"/>
        <v>39</v>
      </c>
      <c r="C44" s="1011" t="s">
        <v>774</v>
      </c>
      <c r="D44" s="1205">
        <v>2800</v>
      </c>
      <c r="E44" s="1205"/>
      <c r="F44" s="852"/>
      <c r="G44" s="991">
        <f t="shared" ref="G44" si="5">+D44+E44</f>
        <v>2800</v>
      </c>
      <c r="H44" s="1074">
        <v>40</v>
      </c>
      <c r="I44" s="1075"/>
      <c r="J44" s="855">
        <v>0</v>
      </c>
      <c r="K44" s="846">
        <f t="shared" si="4"/>
        <v>0</v>
      </c>
      <c r="L44" s="846">
        <f t="shared" si="2"/>
        <v>7.7777777777777777</v>
      </c>
      <c r="M44" s="996"/>
      <c r="N44" s="996"/>
      <c r="O44" s="852"/>
      <c r="P44" s="853"/>
      <c r="Q44" s="848"/>
    </row>
    <row r="45" spans="2:19">
      <c r="B45" s="1204">
        <f t="shared" si="1"/>
        <v>40</v>
      </c>
      <c r="C45" s="1011" t="s">
        <v>775</v>
      </c>
      <c r="D45" s="1205">
        <v>1400</v>
      </c>
      <c r="E45" s="1205"/>
      <c r="F45" s="852"/>
      <c r="G45" s="991">
        <f>+D45+E45</f>
        <v>1400</v>
      </c>
      <c r="H45" s="1074">
        <f>60+25</f>
        <v>85</v>
      </c>
      <c r="I45" s="1075"/>
      <c r="J45" s="855">
        <v>0</v>
      </c>
      <c r="K45" s="846">
        <f>+D45/$L$2*I45</f>
        <v>0</v>
      </c>
      <c r="L45" s="846">
        <f>(+G45/$L$2/8/60)*H45</f>
        <v>8.2638888888888893</v>
      </c>
      <c r="M45" s="996"/>
      <c r="N45" s="996"/>
      <c r="O45" s="852"/>
      <c r="P45" s="848"/>
      <c r="Q45" s="848"/>
    </row>
    <row r="46" spans="2:19">
      <c r="B46" s="1204">
        <f t="shared" si="1"/>
        <v>41</v>
      </c>
      <c r="C46" s="1011" t="s">
        <v>776</v>
      </c>
      <c r="D46" s="1205">
        <v>2000</v>
      </c>
      <c r="E46" s="1205"/>
      <c r="F46" s="852"/>
      <c r="G46" s="991">
        <f>+D46+E46</f>
        <v>2000</v>
      </c>
      <c r="H46" s="1074"/>
      <c r="I46" s="1075"/>
      <c r="J46" s="855">
        <v>0</v>
      </c>
      <c r="K46" s="846">
        <f>+D46/$L$2*I46</f>
        <v>0</v>
      </c>
      <c r="L46" s="846">
        <f>(+G46/$L$2/8/60)*H46</f>
        <v>0</v>
      </c>
      <c r="M46" s="996"/>
      <c r="N46" s="996"/>
      <c r="O46" s="852"/>
      <c r="P46" s="848"/>
      <c r="Q46" s="848"/>
    </row>
    <row r="47" spans="2:19">
      <c r="B47" s="1204">
        <f t="shared" si="1"/>
        <v>42</v>
      </c>
      <c r="C47" s="1011" t="s">
        <v>777</v>
      </c>
      <c r="D47" s="1205">
        <v>1200</v>
      </c>
      <c r="E47" s="1205">
        <v>113</v>
      </c>
      <c r="F47" s="852"/>
      <c r="G47" s="991">
        <f>+D47+E47</f>
        <v>1313</v>
      </c>
      <c r="H47" s="1074">
        <v>39</v>
      </c>
      <c r="I47" s="1075"/>
      <c r="J47" s="855">
        <v>0</v>
      </c>
      <c r="K47" s="846">
        <f>+D47/$L$2*I47</f>
        <v>0</v>
      </c>
      <c r="L47" s="846">
        <f>(+G47/$L$2/8/60)*H47</f>
        <v>3.5560416666666668</v>
      </c>
      <c r="M47" s="996"/>
      <c r="N47" s="996"/>
      <c r="O47" s="852"/>
      <c r="P47" s="848"/>
      <c r="Q47" s="848"/>
    </row>
    <row r="48" spans="2:19">
      <c r="B48" s="1204">
        <f t="shared" si="1"/>
        <v>43</v>
      </c>
      <c r="C48" s="1011" t="s">
        <v>807</v>
      </c>
      <c r="D48" s="1205">
        <v>2000</v>
      </c>
      <c r="E48" s="1205"/>
      <c r="F48" s="852"/>
      <c r="G48" s="991">
        <f>+D48+E48</f>
        <v>2000</v>
      </c>
      <c r="H48" s="1074">
        <v>16</v>
      </c>
      <c r="I48" s="1075"/>
      <c r="J48" s="855">
        <v>0</v>
      </c>
      <c r="K48" s="846">
        <f>+D48/$L$2*I48</f>
        <v>0</v>
      </c>
      <c r="L48" s="846">
        <f>(+G48/$L$2/8/60)*H48</f>
        <v>2.2222222222222223</v>
      </c>
      <c r="M48" s="996"/>
      <c r="N48" s="996"/>
      <c r="O48" s="852"/>
    </row>
  </sheetData>
  <autoFilter ref="B3:E48" xr:uid="{EF359DCA-E633-47F1-BF3B-C5AFF74F52F4}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9BD4-083F-42D5-9673-B5517C5A1115}">
  <dimension ref="A1:P59"/>
  <sheetViews>
    <sheetView topLeftCell="A10" zoomScale="85" zoomScaleNormal="85" workbookViewId="0">
      <selection activeCell="R35" sqref="R35"/>
    </sheetView>
  </sheetViews>
  <sheetFormatPr baseColWidth="10" defaultColWidth="11.42578125" defaultRowHeight="15"/>
  <cols>
    <col min="1" max="1" width="4.28515625" style="597" customWidth="1"/>
    <col min="2" max="2" width="37.85546875" style="597" customWidth="1"/>
    <col min="3" max="3" width="10.5703125" style="597" customWidth="1"/>
    <col min="4" max="6" width="9.7109375" style="597" customWidth="1"/>
    <col min="7" max="7" width="28" style="597" customWidth="1"/>
    <col min="8" max="8" width="11.7109375" style="597" customWidth="1"/>
    <col min="9" max="10" width="12.28515625" style="597" customWidth="1"/>
    <col min="11" max="11" width="11.5703125" style="597" customWidth="1"/>
    <col min="12" max="12" width="11.42578125" style="287"/>
    <col min="13" max="13" width="12" style="738" customWidth="1"/>
    <col min="14" max="16384" width="11.42578125" style="287"/>
  </cols>
  <sheetData>
    <row r="1" spans="1:16">
      <c r="A1" s="739">
        <v>1</v>
      </c>
      <c r="B1" s="739">
        <v>2</v>
      </c>
      <c r="C1" s="739"/>
      <c r="D1" s="739"/>
      <c r="E1" s="739"/>
      <c r="F1" s="739"/>
      <c r="G1" s="739"/>
      <c r="H1" s="739">
        <v>6</v>
      </c>
      <c r="I1" s="739"/>
      <c r="J1" s="739"/>
      <c r="K1" s="739">
        <v>14</v>
      </c>
    </row>
    <row r="2" spans="1:16">
      <c r="A2" s="287"/>
      <c r="B2" s="287"/>
      <c r="C2" s="287"/>
      <c r="D2" s="287"/>
      <c r="E2" s="287"/>
      <c r="F2" s="287"/>
      <c r="G2" s="287"/>
      <c r="H2" s="287"/>
      <c r="I2" s="287"/>
      <c r="J2" s="287"/>
      <c r="K2" s="287"/>
    </row>
    <row r="3" spans="1:16">
      <c r="A3" s="783" t="s">
        <v>119</v>
      </c>
      <c r="B3" s="784"/>
      <c r="C3" s="784"/>
      <c r="D3" s="784"/>
      <c r="E3" s="784"/>
      <c r="F3" s="784"/>
      <c r="G3" s="784"/>
      <c r="H3" s="784"/>
      <c r="I3" s="784"/>
      <c r="J3" s="784"/>
      <c r="K3" s="587"/>
    </row>
    <row r="4" spans="1:16">
      <c r="A4" s="287"/>
      <c r="B4" s="287"/>
      <c r="C4" s="287"/>
      <c r="D4" s="287"/>
      <c r="E4" s="287"/>
      <c r="F4" s="287"/>
      <c r="G4" s="287"/>
      <c r="H4" s="287"/>
      <c r="I4" s="287"/>
      <c r="J4" s="287"/>
      <c r="K4" s="287"/>
    </row>
    <row r="5" spans="1:16">
      <c r="A5" s="784"/>
      <c r="B5" s="784"/>
      <c r="C5" s="784"/>
      <c r="D5" s="784"/>
      <c r="E5" s="784"/>
      <c r="F5" s="784"/>
      <c r="G5" s="784"/>
      <c r="H5" s="587"/>
      <c r="I5" s="587"/>
      <c r="J5" s="587"/>
      <c r="K5" s="587"/>
    </row>
    <row r="6" spans="1:16">
      <c r="A6" s="287"/>
      <c r="B6" s="287"/>
      <c r="C6" s="287"/>
      <c r="D6" s="287"/>
      <c r="E6" s="287"/>
      <c r="F6" s="287"/>
      <c r="G6" s="287"/>
      <c r="H6" s="287"/>
      <c r="I6" s="287"/>
      <c r="J6" s="287"/>
      <c r="K6" s="287"/>
    </row>
    <row r="7" spans="1:16">
      <c r="A7" s="784"/>
      <c r="B7" s="593"/>
      <c r="C7" s="593"/>
      <c r="D7" s="593"/>
      <c r="E7" s="593"/>
      <c r="F7" s="593"/>
      <c r="G7" s="593"/>
      <c r="H7" s="593"/>
      <c r="I7" s="593"/>
      <c r="J7" s="593"/>
      <c r="K7" s="590"/>
    </row>
    <row r="8" spans="1:16">
      <c r="A8" s="785"/>
      <c r="B8" s="786" t="s">
        <v>121</v>
      </c>
      <c r="C8" s="786"/>
      <c r="D8" s="786"/>
      <c r="E8" s="786"/>
      <c r="F8" s="786"/>
      <c r="G8" s="786"/>
      <c r="H8" s="786" t="s">
        <v>122</v>
      </c>
      <c r="I8" s="787"/>
      <c r="J8" s="787"/>
      <c r="K8" s="287"/>
    </row>
    <row r="9" spans="1:16">
      <c r="A9" s="788" t="s">
        <v>2</v>
      </c>
      <c r="B9" s="786" t="s">
        <v>128</v>
      </c>
      <c r="C9" s="788"/>
      <c r="D9" s="789" t="s">
        <v>129</v>
      </c>
      <c r="E9" s="789" t="s">
        <v>129</v>
      </c>
      <c r="F9" s="789" t="s">
        <v>129</v>
      </c>
      <c r="G9" s="785"/>
      <c r="H9" s="790" t="s">
        <v>62</v>
      </c>
      <c r="I9" s="785"/>
      <c r="J9" s="791"/>
      <c r="K9" s="799" t="s">
        <v>130</v>
      </c>
      <c r="L9" s="802"/>
      <c r="M9" s="813"/>
      <c r="N9" s="802"/>
      <c r="O9" s="802"/>
      <c r="P9" s="802"/>
    </row>
    <row r="10" spans="1:16" ht="24.75">
      <c r="A10" s="788"/>
      <c r="B10" s="785" t="s">
        <v>153</v>
      </c>
      <c r="C10" s="788" t="s">
        <v>154</v>
      </c>
      <c r="D10" s="788" t="s">
        <v>155</v>
      </c>
      <c r="E10" s="788" t="s">
        <v>155</v>
      </c>
      <c r="F10" s="788" t="s">
        <v>155</v>
      </c>
      <c r="G10" s="788" t="s">
        <v>3</v>
      </c>
      <c r="H10" s="791" t="s">
        <v>156</v>
      </c>
      <c r="I10" s="792" t="s">
        <v>157</v>
      </c>
      <c r="J10" s="793" t="s">
        <v>158</v>
      </c>
      <c r="K10" s="800" t="s">
        <v>163</v>
      </c>
      <c r="L10" s="805" t="s">
        <v>509</v>
      </c>
      <c r="M10" s="814" t="s">
        <v>510</v>
      </c>
      <c r="N10" s="806" t="s">
        <v>511</v>
      </c>
      <c r="O10" s="806" t="s">
        <v>72</v>
      </c>
      <c r="P10" s="807"/>
    </row>
    <row r="11" spans="1:16">
      <c r="A11" s="794"/>
      <c r="B11" s="794"/>
      <c r="C11" s="794"/>
      <c r="D11" s="788" t="s">
        <v>190</v>
      </c>
      <c r="E11" s="788" t="s">
        <v>191</v>
      </c>
      <c r="F11" s="794" t="s">
        <v>192</v>
      </c>
      <c r="G11" s="794"/>
      <c r="H11" s="795" t="s">
        <v>144</v>
      </c>
      <c r="I11" s="794"/>
      <c r="J11" s="796"/>
      <c r="K11" s="801"/>
      <c r="L11" s="803" t="s">
        <v>447</v>
      </c>
      <c r="M11" s="815" t="s">
        <v>512</v>
      </c>
      <c r="N11" s="804" t="s">
        <v>175</v>
      </c>
      <c r="O11" s="804" t="s">
        <v>513</v>
      </c>
      <c r="P11" s="804" t="s">
        <v>447</v>
      </c>
    </row>
    <row r="12" spans="1:16">
      <c r="A12" s="746">
        <f t="shared" ref="A12:A27" si="0">+A11+1</f>
        <v>1</v>
      </c>
      <c r="B12" s="580" t="s">
        <v>234</v>
      </c>
      <c r="C12" s="747" t="s">
        <v>235</v>
      </c>
      <c r="D12" s="820">
        <v>33557</v>
      </c>
      <c r="E12" s="748">
        <v>44896</v>
      </c>
      <c r="F12" s="749"/>
      <c r="G12" s="750" t="s">
        <v>236</v>
      </c>
      <c r="H12" s="751" t="s">
        <v>73</v>
      </c>
      <c r="I12" s="590">
        <v>2500</v>
      </c>
      <c r="J12" s="752"/>
      <c r="K12" s="578">
        <v>2500</v>
      </c>
      <c r="L12" s="808">
        <f t="shared" ref="L12:L45" si="1">+J12+K12</f>
        <v>2500</v>
      </c>
      <c r="M12" s="813">
        <f>+L12*12</f>
        <v>30000</v>
      </c>
      <c r="N12" s="802">
        <v>0.15</v>
      </c>
      <c r="O12" s="818">
        <f t="shared" ref="O12:O44" si="2">+M12*N12/100</f>
        <v>45</v>
      </c>
      <c r="P12" s="802"/>
    </row>
    <row r="13" spans="1:16">
      <c r="A13" s="746">
        <f t="shared" si="0"/>
        <v>2</v>
      </c>
      <c r="B13" s="580" t="s">
        <v>531</v>
      </c>
      <c r="C13" s="753" t="s">
        <v>268</v>
      </c>
      <c r="D13" s="754">
        <v>36860</v>
      </c>
      <c r="E13" s="749">
        <v>45658</v>
      </c>
      <c r="F13" s="749"/>
      <c r="G13" s="750" t="s">
        <v>523</v>
      </c>
      <c r="H13" s="751" t="s">
        <v>72</v>
      </c>
      <c r="I13" s="590">
        <v>1800</v>
      </c>
      <c r="J13" s="578"/>
      <c r="K13" s="578">
        <v>1800</v>
      </c>
      <c r="L13" s="809">
        <f t="shared" si="1"/>
        <v>1800</v>
      </c>
      <c r="M13" s="816">
        <f t="shared" ref="M13:M45" si="3">+L13*12</f>
        <v>21600</v>
      </c>
      <c r="N13" s="810">
        <v>0.15</v>
      </c>
      <c r="O13" s="819">
        <f t="shared" si="2"/>
        <v>32.4</v>
      </c>
      <c r="P13" s="810"/>
    </row>
    <row r="14" spans="1:16">
      <c r="A14" s="746">
        <f t="shared" si="0"/>
        <v>3</v>
      </c>
      <c r="B14" s="580" t="s">
        <v>253</v>
      </c>
      <c r="C14" s="753" t="s">
        <v>254</v>
      </c>
      <c r="D14" s="754">
        <v>26434</v>
      </c>
      <c r="E14" s="749">
        <v>45474</v>
      </c>
      <c r="F14" s="749"/>
      <c r="G14" s="750" t="s">
        <v>518</v>
      </c>
      <c r="H14" s="751" t="s">
        <v>72</v>
      </c>
      <c r="I14" s="590">
        <v>2050</v>
      </c>
      <c r="J14" s="578"/>
      <c r="K14" s="578">
        <v>2050</v>
      </c>
      <c r="L14" s="809">
        <f t="shared" si="1"/>
        <v>2050</v>
      </c>
      <c r="M14" s="816">
        <f t="shared" si="3"/>
        <v>24600</v>
      </c>
      <c r="N14" s="810">
        <v>0.39</v>
      </c>
      <c r="O14" s="819">
        <f t="shared" si="2"/>
        <v>95.94</v>
      </c>
      <c r="P14" s="810"/>
    </row>
    <row r="15" spans="1:16">
      <c r="A15" s="746">
        <f t="shared" si="0"/>
        <v>4</v>
      </c>
      <c r="B15" s="580" t="s">
        <v>226</v>
      </c>
      <c r="C15" s="753">
        <v>44030334</v>
      </c>
      <c r="D15" s="754">
        <v>31334</v>
      </c>
      <c r="E15" s="749">
        <v>44321</v>
      </c>
      <c r="F15" s="749"/>
      <c r="G15" s="750" t="s">
        <v>227</v>
      </c>
      <c r="H15" s="751" t="s">
        <v>72</v>
      </c>
      <c r="I15" s="590">
        <v>2000</v>
      </c>
      <c r="J15" s="578">
        <v>113</v>
      </c>
      <c r="K15" s="578">
        <v>2000</v>
      </c>
      <c r="L15" s="809">
        <f t="shared" si="1"/>
        <v>2113</v>
      </c>
      <c r="M15" s="816">
        <f t="shared" si="3"/>
        <v>25356</v>
      </c>
      <c r="N15" s="810">
        <v>0.39</v>
      </c>
      <c r="O15" s="819">
        <f t="shared" si="2"/>
        <v>98.888400000000004</v>
      </c>
      <c r="P15" s="810"/>
    </row>
    <row r="16" spans="1:16">
      <c r="A16" s="746">
        <f t="shared" si="0"/>
        <v>5</v>
      </c>
      <c r="B16" s="580" t="s">
        <v>525</v>
      </c>
      <c r="C16" s="753" t="s">
        <v>526</v>
      </c>
      <c r="D16" s="754">
        <v>29546</v>
      </c>
      <c r="E16" s="749">
        <v>45691</v>
      </c>
      <c r="F16" s="749"/>
      <c r="G16" s="750" t="s">
        <v>524</v>
      </c>
      <c r="H16" s="751" t="s">
        <v>72</v>
      </c>
      <c r="I16" s="590">
        <v>3200</v>
      </c>
      <c r="J16" s="578">
        <v>113</v>
      </c>
      <c r="K16" s="578">
        <v>3200</v>
      </c>
      <c r="L16" s="809">
        <f t="shared" si="1"/>
        <v>3313</v>
      </c>
      <c r="M16" s="816">
        <f t="shared" si="3"/>
        <v>39756</v>
      </c>
      <c r="N16" s="810">
        <v>0.39</v>
      </c>
      <c r="O16" s="819">
        <f t="shared" si="2"/>
        <v>155.04840000000002</v>
      </c>
      <c r="P16" s="810"/>
    </row>
    <row r="17" spans="1:16">
      <c r="A17" s="746">
        <f t="shared" si="0"/>
        <v>6</v>
      </c>
      <c r="B17" s="580" t="s">
        <v>219</v>
      </c>
      <c r="C17" s="753">
        <v>45538866</v>
      </c>
      <c r="D17" s="754">
        <v>32147</v>
      </c>
      <c r="E17" s="749">
        <v>42955</v>
      </c>
      <c r="F17" s="749"/>
      <c r="G17" s="750" t="s">
        <v>515</v>
      </c>
      <c r="H17" s="751" t="s">
        <v>144</v>
      </c>
      <c r="I17" s="590">
        <v>4500</v>
      </c>
      <c r="J17" s="578"/>
      <c r="K17" s="776">
        <v>10158.540000000001</v>
      </c>
      <c r="L17" s="809">
        <f t="shared" si="1"/>
        <v>10158.540000000001</v>
      </c>
      <c r="M17" s="816">
        <f t="shared" si="3"/>
        <v>121902.48000000001</v>
      </c>
      <c r="N17" s="810">
        <v>0.39</v>
      </c>
      <c r="O17" s="816">
        <f t="shared" si="2"/>
        <v>475.41967200000005</v>
      </c>
      <c r="P17" s="810"/>
    </row>
    <row r="18" spans="1:16">
      <c r="A18" s="746">
        <f t="shared" si="0"/>
        <v>7</v>
      </c>
      <c r="B18" s="580" t="s">
        <v>245</v>
      </c>
      <c r="C18" s="753">
        <v>25849757</v>
      </c>
      <c r="D18" s="754"/>
      <c r="E18" s="749">
        <v>45341</v>
      </c>
      <c r="F18" s="749"/>
      <c r="G18" s="750" t="s">
        <v>246</v>
      </c>
      <c r="H18" s="751" t="s">
        <v>71</v>
      </c>
      <c r="I18" s="590">
        <v>2800</v>
      </c>
      <c r="J18" s="578">
        <v>113</v>
      </c>
      <c r="K18" s="776">
        <f>3570.16-113</f>
        <v>3457.16</v>
      </c>
      <c r="L18" s="809">
        <f t="shared" si="1"/>
        <v>3570.16</v>
      </c>
      <c r="M18" s="816">
        <f t="shared" si="3"/>
        <v>42841.919999999998</v>
      </c>
      <c r="N18" s="810">
        <v>0.39</v>
      </c>
      <c r="O18" s="816">
        <f t="shared" si="2"/>
        <v>167.08348799999999</v>
      </c>
      <c r="P18" s="810"/>
    </row>
    <row r="19" spans="1:16">
      <c r="A19" s="746">
        <f t="shared" si="0"/>
        <v>8</v>
      </c>
      <c r="B19" s="580" t="s">
        <v>270</v>
      </c>
      <c r="C19" s="753" t="s">
        <v>527</v>
      </c>
      <c r="D19" s="754">
        <v>28259</v>
      </c>
      <c r="E19" s="749">
        <v>45698</v>
      </c>
      <c r="F19" s="749"/>
      <c r="G19" s="750" t="s">
        <v>271</v>
      </c>
      <c r="H19" s="751" t="s">
        <v>144</v>
      </c>
      <c r="I19" s="590">
        <v>2800</v>
      </c>
      <c r="J19" s="578"/>
      <c r="K19" s="578">
        <v>2800</v>
      </c>
      <c r="L19" s="809">
        <f t="shared" si="1"/>
        <v>2800</v>
      </c>
      <c r="M19" s="816">
        <f t="shared" si="3"/>
        <v>33600</v>
      </c>
      <c r="N19" s="810">
        <v>0.39</v>
      </c>
      <c r="O19" s="816">
        <f t="shared" si="2"/>
        <v>131.04</v>
      </c>
      <c r="P19" s="810"/>
    </row>
    <row r="20" spans="1:16">
      <c r="A20" s="746">
        <f t="shared" si="0"/>
        <v>9</v>
      </c>
      <c r="B20" s="580" t="s">
        <v>241</v>
      </c>
      <c r="C20" s="747" t="s">
        <v>242</v>
      </c>
      <c r="D20" s="754">
        <v>31380</v>
      </c>
      <c r="E20" s="749">
        <v>45005</v>
      </c>
      <c r="F20" s="749"/>
      <c r="G20" s="750" t="s">
        <v>255</v>
      </c>
      <c r="H20" s="751" t="s">
        <v>71</v>
      </c>
      <c r="I20" s="590">
        <v>3000</v>
      </c>
      <c r="J20" s="578"/>
      <c r="K20" s="578">
        <v>3000</v>
      </c>
      <c r="L20" s="809">
        <f t="shared" si="1"/>
        <v>3000</v>
      </c>
      <c r="M20" s="816">
        <f t="shared" si="3"/>
        <v>36000</v>
      </c>
      <c r="N20" s="810">
        <v>0.39</v>
      </c>
      <c r="O20" s="816">
        <f t="shared" si="2"/>
        <v>140.4</v>
      </c>
      <c r="P20" s="810"/>
    </row>
    <row r="21" spans="1:16">
      <c r="A21" s="746">
        <f t="shared" si="0"/>
        <v>10</v>
      </c>
      <c r="B21" s="580" t="s">
        <v>211</v>
      </c>
      <c r="C21" s="753">
        <v>41675364</v>
      </c>
      <c r="D21" s="754">
        <v>29556</v>
      </c>
      <c r="E21" s="749">
        <v>42513</v>
      </c>
      <c r="F21" s="749"/>
      <c r="G21" s="750" t="s">
        <v>212</v>
      </c>
      <c r="H21" s="751" t="s">
        <v>71</v>
      </c>
      <c r="I21" s="590">
        <v>4000</v>
      </c>
      <c r="J21" s="578">
        <v>113</v>
      </c>
      <c r="K21" s="581">
        <v>4000</v>
      </c>
      <c r="L21" s="809">
        <f t="shared" si="1"/>
        <v>4113</v>
      </c>
      <c r="M21" s="816">
        <f t="shared" si="3"/>
        <v>49356</v>
      </c>
      <c r="N21" s="810">
        <v>0.39</v>
      </c>
      <c r="O21" s="816">
        <f t="shared" si="2"/>
        <v>192.48840000000001</v>
      </c>
      <c r="P21" s="810"/>
    </row>
    <row r="22" spans="1:16">
      <c r="A22" s="746">
        <f t="shared" si="0"/>
        <v>11</v>
      </c>
      <c r="B22" s="580" t="s">
        <v>519</v>
      </c>
      <c r="C22" s="753" t="s">
        <v>520</v>
      </c>
      <c r="D22" s="754">
        <v>31311</v>
      </c>
      <c r="E22" s="749">
        <v>45512</v>
      </c>
      <c r="F22" s="749"/>
      <c r="G22" s="750" t="s">
        <v>264</v>
      </c>
      <c r="H22" s="751" t="s">
        <v>71</v>
      </c>
      <c r="I22" s="590">
        <v>1600</v>
      </c>
      <c r="J22" s="578">
        <v>113</v>
      </c>
      <c r="K22" s="581">
        <v>1600</v>
      </c>
      <c r="L22" s="809">
        <f t="shared" si="1"/>
        <v>1713</v>
      </c>
      <c r="M22" s="816">
        <f t="shared" si="3"/>
        <v>20556</v>
      </c>
      <c r="N22" s="810">
        <v>0.39</v>
      </c>
      <c r="O22" s="816">
        <f t="shared" si="2"/>
        <v>80.168400000000005</v>
      </c>
      <c r="P22" s="810"/>
    </row>
    <row r="23" spans="1:16">
      <c r="A23" s="746">
        <f t="shared" si="0"/>
        <v>12</v>
      </c>
      <c r="B23" s="580" t="s">
        <v>205</v>
      </c>
      <c r="C23" s="753">
        <v>9594953</v>
      </c>
      <c r="D23" s="754">
        <v>26364</v>
      </c>
      <c r="E23" s="749">
        <v>41548</v>
      </c>
      <c r="F23" s="749"/>
      <c r="G23" s="750" t="s">
        <v>206</v>
      </c>
      <c r="H23" s="751" t="s">
        <v>73</v>
      </c>
      <c r="I23" s="590">
        <v>6000</v>
      </c>
      <c r="J23" s="578">
        <v>113</v>
      </c>
      <c r="K23" s="578">
        <v>6000</v>
      </c>
      <c r="L23" s="809">
        <f t="shared" si="1"/>
        <v>6113</v>
      </c>
      <c r="M23" s="816">
        <f t="shared" si="3"/>
        <v>73356</v>
      </c>
      <c r="N23" s="810">
        <v>0.39</v>
      </c>
      <c r="O23" s="819">
        <f t="shared" si="2"/>
        <v>286.08839999999998</v>
      </c>
      <c r="P23" s="810"/>
    </row>
    <row r="24" spans="1:16">
      <c r="A24" s="746">
        <f t="shared" si="0"/>
        <v>13</v>
      </c>
      <c r="B24" s="580" t="s">
        <v>221</v>
      </c>
      <c r="C24" s="753">
        <v>71127068</v>
      </c>
      <c r="D24" s="754">
        <v>34500</v>
      </c>
      <c r="E24" s="749">
        <v>43045</v>
      </c>
      <c r="F24" s="749"/>
      <c r="G24" s="750" t="s">
        <v>222</v>
      </c>
      <c r="H24" s="751" t="s">
        <v>144</v>
      </c>
      <c r="I24" s="590">
        <v>2100</v>
      </c>
      <c r="J24" s="578"/>
      <c r="K24" s="578">
        <v>2100</v>
      </c>
      <c r="L24" s="809">
        <f t="shared" si="1"/>
        <v>2100</v>
      </c>
      <c r="M24" s="816">
        <f t="shared" si="3"/>
        <v>25200</v>
      </c>
      <c r="N24" s="810">
        <v>0.15</v>
      </c>
      <c r="O24" s="816">
        <f t="shared" si="2"/>
        <v>37.799999999999997</v>
      </c>
      <c r="P24" s="810"/>
    </row>
    <row r="25" spans="1:16">
      <c r="A25" s="746">
        <f t="shared" si="0"/>
        <v>14</v>
      </c>
      <c r="B25" s="580" t="s">
        <v>256</v>
      </c>
      <c r="C25" s="753" t="s">
        <v>257</v>
      </c>
      <c r="D25" s="754">
        <v>34632</v>
      </c>
      <c r="E25" s="749">
        <v>45537</v>
      </c>
      <c r="F25" s="749"/>
      <c r="G25" s="750" t="s">
        <v>258</v>
      </c>
      <c r="H25" s="751" t="s">
        <v>72</v>
      </c>
      <c r="I25" s="590">
        <v>1700</v>
      </c>
      <c r="J25" s="578"/>
      <c r="K25" s="578">
        <v>1700</v>
      </c>
      <c r="L25" s="809">
        <f t="shared" si="1"/>
        <v>1700</v>
      </c>
      <c r="M25" s="816">
        <f t="shared" si="3"/>
        <v>20400</v>
      </c>
      <c r="N25" s="810">
        <v>0.15</v>
      </c>
      <c r="O25" s="816">
        <f t="shared" si="2"/>
        <v>30.6</v>
      </c>
      <c r="P25" s="810"/>
    </row>
    <row r="26" spans="1:16">
      <c r="A26" s="746">
        <f t="shared" si="0"/>
        <v>15</v>
      </c>
      <c r="B26" s="580" t="s">
        <v>259</v>
      </c>
      <c r="C26" s="753" t="s">
        <v>260</v>
      </c>
      <c r="D26" s="754">
        <v>35803</v>
      </c>
      <c r="E26" s="749">
        <v>45581</v>
      </c>
      <c r="F26" s="749"/>
      <c r="G26" s="750" t="s">
        <v>258</v>
      </c>
      <c r="H26" s="751" t="s">
        <v>71</v>
      </c>
      <c r="I26" s="590">
        <v>2000</v>
      </c>
      <c r="J26" s="578"/>
      <c r="K26" s="578">
        <v>1800</v>
      </c>
      <c r="L26" s="809">
        <f t="shared" si="1"/>
        <v>1800</v>
      </c>
      <c r="M26" s="816">
        <f t="shared" si="3"/>
        <v>21600</v>
      </c>
      <c r="N26" s="810">
        <v>0.15</v>
      </c>
      <c r="O26" s="816">
        <f t="shared" si="2"/>
        <v>32.4</v>
      </c>
      <c r="P26" s="810"/>
    </row>
    <row r="27" spans="1:16">
      <c r="A27" s="746">
        <f t="shared" si="0"/>
        <v>16</v>
      </c>
      <c r="B27" s="580" t="s">
        <v>314</v>
      </c>
      <c r="C27" s="753" t="s">
        <v>313</v>
      </c>
      <c r="D27" s="754">
        <v>33567</v>
      </c>
      <c r="E27" s="749">
        <v>45691</v>
      </c>
      <c r="F27" s="749"/>
      <c r="G27" s="750" t="s">
        <v>524</v>
      </c>
      <c r="H27" s="751" t="s">
        <v>71</v>
      </c>
      <c r="I27" s="590">
        <v>3200</v>
      </c>
      <c r="J27" s="578"/>
      <c r="K27" s="578">
        <v>3200</v>
      </c>
      <c r="L27" s="809">
        <f t="shared" si="1"/>
        <v>3200</v>
      </c>
      <c r="M27" s="816">
        <f t="shared" si="3"/>
        <v>38400</v>
      </c>
      <c r="N27" s="810">
        <v>0.15</v>
      </c>
      <c r="O27" s="816">
        <f t="shared" si="2"/>
        <v>57.6</v>
      </c>
      <c r="P27" s="810"/>
    </row>
    <row r="28" spans="1:16">
      <c r="A28" s="746">
        <v>1</v>
      </c>
      <c r="B28" s="580" t="s">
        <v>201</v>
      </c>
      <c r="C28" s="747">
        <v>10305226</v>
      </c>
      <c r="D28" s="821">
        <v>27747</v>
      </c>
      <c r="E28" s="749">
        <v>39114</v>
      </c>
      <c r="F28" s="749"/>
      <c r="G28" s="750" t="s">
        <v>202</v>
      </c>
      <c r="H28" s="751" t="s">
        <v>71</v>
      </c>
      <c r="I28" s="590">
        <v>12000</v>
      </c>
      <c r="J28" s="578">
        <v>113</v>
      </c>
      <c r="K28" s="776">
        <f>12027.91-113</f>
        <v>11914.91</v>
      </c>
      <c r="L28" s="809">
        <f t="shared" si="1"/>
        <v>12027.91</v>
      </c>
      <c r="M28" s="816">
        <f t="shared" si="3"/>
        <v>144334.91999999998</v>
      </c>
      <c r="N28" s="810">
        <v>0.39</v>
      </c>
      <c r="O28" s="816">
        <f t="shared" si="2"/>
        <v>562.90618799999993</v>
      </c>
      <c r="P28" s="810"/>
    </row>
    <row r="29" spans="1:16">
      <c r="A29" s="746">
        <f t="shared" ref="A29:A45" si="4">+A28+1</f>
        <v>2</v>
      </c>
      <c r="B29" s="580" t="s">
        <v>214</v>
      </c>
      <c r="C29" s="753">
        <v>44425022</v>
      </c>
      <c r="D29" s="754">
        <v>31996</v>
      </c>
      <c r="E29" s="749">
        <v>42917</v>
      </c>
      <c r="F29" s="749"/>
      <c r="G29" s="750" t="s">
        <v>215</v>
      </c>
      <c r="H29" s="751" t="s">
        <v>71</v>
      </c>
      <c r="I29" s="590">
        <v>3360</v>
      </c>
      <c r="J29" s="578"/>
      <c r="K29" s="578">
        <v>3360</v>
      </c>
      <c r="L29" s="809">
        <f t="shared" si="1"/>
        <v>3360</v>
      </c>
      <c r="M29" s="816">
        <f t="shared" si="3"/>
        <v>40320</v>
      </c>
      <c r="N29" s="810">
        <v>0.39</v>
      </c>
      <c r="O29" s="816">
        <f t="shared" si="2"/>
        <v>157.24800000000002</v>
      </c>
      <c r="P29" s="810"/>
    </row>
    <row r="30" spans="1:16">
      <c r="A30" s="746">
        <f t="shared" si="4"/>
        <v>3</v>
      </c>
      <c r="B30" s="580" t="s">
        <v>230</v>
      </c>
      <c r="C30" s="747" t="s">
        <v>231</v>
      </c>
      <c r="D30" s="754">
        <v>30874</v>
      </c>
      <c r="E30" s="749">
        <v>44697</v>
      </c>
      <c r="F30" s="749"/>
      <c r="G30" s="750" t="s">
        <v>232</v>
      </c>
      <c r="H30" s="751" t="s">
        <v>73</v>
      </c>
      <c r="I30" s="590">
        <v>1200</v>
      </c>
      <c r="J30" s="578">
        <v>113</v>
      </c>
      <c r="K30" s="578">
        <v>1200</v>
      </c>
      <c r="L30" s="809">
        <f t="shared" si="1"/>
        <v>1313</v>
      </c>
      <c r="M30" s="816">
        <f t="shared" si="3"/>
        <v>15756</v>
      </c>
      <c r="N30" s="810">
        <v>0.39</v>
      </c>
      <c r="O30" s="816">
        <f t="shared" si="2"/>
        <v>61.448399999999999</v>
      </c>
      <c r="P30" s="810"/>
    </row>
    <row r="31" spans="1:16">
      <c r="A31" s="746">
        <f t="shared" si="4"/>
        <v>4</v>
      </c>
      <c r="B31" s="580" t="s">
        <v>217</v>
      </c>
      <c r="C31" s="753">
        <v>43172155</v>
      </c>
      <c r="D31" s="754">
        <v>31249</v>
      </c>
      <c r="E31" s="749">
        <v>42948</v>
      </c>
      <c r="F31" s="749"/>
      <c r="G31" s="750" t="s">
        <v>218</v>
      </c>
      <c r="H31" s="751" t="s">
        <v>71</v>
      </c>
      <c r="I31" s="590">
        <v>6000</v>
      </c>
      <c r="J31" s="578">
        <v>113</v>
      </c>
      <c r="K31" s="578">
        <v>6000</v>
      </c>
      <c r="L31" s="809">
        <f t="shared" si="1"/>
        <v>6113</v>
      </c>
      <c r="M31" s="816">
        <f t="shared" si="3"/>
        <v>73356</v>
      </c>
      <c r="N31" s="810">
        <v>0.39</v>
      </c>
      <c r="O31" s="816">
        <f t="shared" si="2"/>
        <v>286.08839999999998</v>
      </c>
      <c r="P31" s="810"/>
    </row>
    <row r="32" spans="1:16">
      <c r="A32" s="746">
        <f t="shared" si="4"/>
        <v>5</v>
      </c>
      <c r="B32" s="580" t="s">
        <v>249</v>
      </c>
      <c r="C32" s="753">
        <v>45654429</v>
      </c>
      <c r="D32" s="754">
        <v>30383</v>
      </c>
      <c r="E32" s="749">
        <v>45398</v>
      </c>
      <c r="F32" s="749"/>
      <c r="G32" s="750" t="s">
        <v>250</v>
      </c>
      <c r="H32" s="751" t="s">
        <v>144</v>
      </c>
      <c r="I32" s="590">
        <v>1130</v>
      </c>
      <c r="J32" s="578"/>
      <c r="K32" s="578">
        <v>1130</v>
      </c>
      <c r="L32" s="809">
        <f t="shared" si="1"/>
        <v>1130</v>
      </c>
      <c r="M32" s="816">
        <f t="shared" si="3"/>
        <v>13560</v>
      </c>
      <c r="N32" s="810">
        <v>0.39</v>
      </c>
      <c r="O32" s="816">
        <f t="shared" si="2"/>
        <v>52.884000000000007</v>
      </c>
      <c r="P32" s="810"/>
    </row>
    <row r="33" spans="1:16">
      <c r="A33" s="746">
        <f t="shared" si="4"/>
        <v>6</v>
      </c>
      <c r="B33" s="580" t="s">
        <v>228</v>
      </c>
      <c r="C33" s="753" t="s">
        <v>311</v>
      </c>
      <c r="D33" s="754">
        <v>26945</v>
      </c>
      <c r="E33" s="749">
        <v>44593</v>
      </c>
      <c r="F33" s="749"/>
      <c r="G33" s="750" t="s">
        <v>229</v>
      </c>
      <c r="H33" s="751" t="s">
        <v>72</v>
      </c>
      <c r="I33" s="590">
        <v>3500</v>
      </c>
      <c r="J33" s="578">
        <v>113</v>
      </c>
      <c r="K33" s="776">
        <f>6895.21-113</f>
        <v>6782.21</v>
      </c>
      <c r="L33" s="809">
        <f t="shared" si="1"/>
        <v>6895.21</v>
      </c>
      <c r="M33" s="816">
        <f t="shared" si="3"/>
        <v>82742.52</v>
      </c>
      <c r="N33" s="810">
        <v>0.39</v>
      </c>
      <c r="O33" s="816">
        <f t="shared" si="2"/>
        <v>322.69582800000006</v>
      </c>
      <c r="P33" s="810"/>
    </row>
    <row r="34" spans="1:16">
      <c r="A34" s="746">
        <f t="shared" si="4"/>
        <v>7</v>
      </c>
      <c r="B34" s="580" t="s">
        <v>521</v>
      </c>
      <c r="C34" s="753">
        <v>43831490</v>
      </c>
      <c r="D34" s="754">
        <v>31666</v>
      </c>
      <c r="E34" s="749">
        <v>45628</v>
      </c>
      <c r="F34" s="749"/>
      <c r="G34" s="750" t="s">
        <v>522</v>
      </c>
      <c r="H34" s="751" t="s">
        <v>70</v>
      </c>
      <c r="I34" s="590">
        <v>2800</v>
      </c>
      <c r="J34" s="578"/>
      <c r="K34" s="581">
        <v>2800</v>
      </c>
      <c r="L34" s="809">
        <f t="shared" si="1"/>
        <v>2800</v>
      </c>
      <c r="M34" s="816">
        <f t="shared" si="3"/>
        <v>33600</v>
      </c>
      <c r="N34" s="810">
        <v>0.39</v>
      </c>
      <c r="O34" s="816">
        <f t="shared" si="2"/>
        <v>131.04</v>
      </c>
      <c r="P34" s="810"/>
    </row>
    <row r="35" spans="1:16">
      <c r="A35" s="746">
        <f t="shared" si="4"/>
        <v>8</v>
      </c>
      <c r="B35" s="580" t="s">
        <v>243</v>
      </c>
      <c r="C35" s="747" t="s">
        <v>244</v>
      </c>
      <c r="D35" s="754">
        <v>34355</v>
      </c>
      <c r="E35" s="749">
        <v>45307</v>
      </c>
      <c r="F35" s="749"/>
      <c r="G35" s="750" t="s">
        <v>258</v>
      </c>
      <c r="H35" s="751" t="s">
        <v>70</v>
      </c>
      <c r="I35" s="590">
        <v>2000</v>
      </c>
      <c r="J35" s="578"/>
      <c r="K35" s="581">
        <v>2000</v>
      </c>
      <c r="L35" s="809">
        <f t="shared" si="1"/>
        <v>2000</v>
      </c>
      <c r="M35" s="816">
        <f t="shared" si="3"/>
        <v>24000</v>
      </c>
      <c r="N35" s="810">
        <v>0.15</v>
      </c>
      <c r="O35" s="816">
        <f t="shared" si="2"/>
        <v>36</v>
      </c>
      <c r="P35" s="810"/>
    </row>
    <row r="36" spans="1:16">
      <c r="A36" s="746">
        <f t="shared" si="4"/>
        <v>9</v>
      </c>
      <c r="B36" s="580" t="s">
        <v>277</v>
      </c>
      <c r="C36" s="753" t="s">
        <v>278</v>
      </c>
      <c r="D36" s="754">
        <v>30308</v>
      </c>
      <c r="E36" s="749">
        <v>45446</v>
      </c>
      <c r="F36" s="749"/>
      <c r="G36" s="750" t="s">
        <v>250</v>
      </c>
      <c r="H36" s="751" t="s">
        <v>144</v>
      </c>
      <c r="I36" s="590">
        <v>2000</v>
      </c>
      <c r="J36" s="578">
        <v>113</v>
      </c>
      <c r="K36" s="581">
        <v>2000</v>
      </c>
      <c r="L36" s="809">
        <f t="shared" si="1"/>
        <v>2113</v>
      </c>
      <c r="M36" s="816">
        <f t="shared" si="3"/>
        <v>25356</v>
      </c>
      <c r="N36" s="810">
        <v>0.39</v>
      </c>
      <c r="O36" s="816">
        <f t="shared" si="2"/>
        <v>98.888400000000004</v>
      </c>
      <c r="P36" s="810"/>
    </row>
    <row r="37" spans="1:16">
      <c r="A37" s="746">
        <f t="shared" si="4"/>
        <v>10</v>
      </c>
      <c r="B37" s="580" t="s">
        <v>247</v>
      </c>
      <c r="C37" s="753">
        <v>42953954</v>
      </c>
      <c r="D37" s="754">
        <v>31117</v>
      </c>
      <c r="E37" s="749">
        <v>45398</v>
      </c>
      <c r="F37" s="749"/>
      <c r="G37" s="750" t="s">
        <v>517</v>
      </c>
      <c r="H37" s="751" t="s">
        <v>71</v>
      </c>
      <c r="I37" s="590">
        <v>2500</v>
      </c>
      <c r="J37" s="578">
        <v>113</v>
      </c>
      <c r="K37" s="581">
        <v>2500</v>
      </c>
      <c r="L37" s="809">
        <f t="shared" si="1"/>
        <v>2613</v>
      </c>
      <c r="M37" s="816">
        <f t="shared" si="3"/>
        <v>31356</v>
      </c>
      <c r="N37" s="810">
        <v>0.39</v>
      </c>
      <c r="O37" s="816">
        <f t="shared" si="2"/>
        <v>122.2884</v>
      </c>
      <c r="P37" s="810"/>
    </row>
    <row r="38" spans="1:16">
      <c r="A38" s="746">
        <f t="shared" si="4"/>
        <v>11</v>
      </c>
      <c r="B38" s="580" t="s">
        <v>208</v>
      </c>
      <c r="C38" s="747">
        <v>46335654</v>
      </c>
      <c r="D38" s="754">
        <v>33029</v>
      </c>
      <c r="E38" s="749">
        <v>42327</v>
      </c>
      <c r="F38" s="749"/>
      <c r="G38" s="750" t="s">
        <v>514</v>
      </c>
      <c r="H38" s="751" t="s">
        <v>71</v>
      </c>
      <c r="I38" s="590">
        <v>3000</v>
      </c>
      <c r="J38" s="578">
        <v>113</v>
      </c>
      <c r="K38" s="581">
        <v>3000</v>
      </c>
      <c r="L38" s="809">
        <f t="shared" si="1"/>
        <v>3113</v>
      </c>
      <c r="M38" s="816">
        <f t="shared" si="3"/>
        <v>37356</v>
      </c>
      <c r="N38" s="810">
        <v>0.15</v>
      </c>
      <c r="O38" s="816">
        <f t="shared" si="2"/>
        <v>56.033999999999999</v>
      </c>
      <c r="P38" s="810"/>
    </row>
    <row r="39" spans="1:16">
      <c r="A39" s="746">
        <f t="shared" si="4"/>
        <v>12</v>
      </c>
      <c r="B39" s="580" t="s">
        <v>238</v>
      </c>
      <c r="C39" s="747" t="s">
        <v>239</v>
      </c>
      <c r="D39" s="754">
        <v>34906</v>
      </c>
      <c r="E39" s="749">
        <v>44972</v>
      </c>
      <c r="F39" s="749"/>
      <c r="G39" s="750" t="s">
        <v>240</v>
      </c>
      <c r="H39" s="751" t="s">
        <v>71</v>
      </c>
      <c r="I39" s="590">
        <v>2000</v>
      </c>
      <c r="J39" s="578"/>
      <c r="K39" s="581">
        <v>2000</v>
      </c>
      <c r="L39" s="809">
        <f t="shared" si="1"/>
        <v>2000</v>
      </c>
      <c r="M39" s="816">
        <f t="shared" si="3"/>
        <v>24000</v>
      </c>
      <c r="N39" s="810">
        <v>0.15</v>
      </c>
      <c r="O39" s="816">
        <f t="shared" si="2"/>
        <v>36</v>
      </c>
      <c r="P39" s="810"/>
    </row>
    <row r="40" spans="1:16">
      <c r="A40" s="746">
        <f t="shared" si="4"/>
        <v>13</v>
      </c>
      <c r="B40" s="580" t="s">
        <v>269</v>
      </c>
      <c r="C40" s="753" t="s">
        <v>312</v>
      </c>
      <c r="D40" s="754">
        <v>36161</v>
      </c>
      <c r="E40" s="749">
        <v>45689</v>
      </c>
      <c r="F40" s="749"/>
      <c r="G40" s="750" t="s">
        <v>229</v>
      </c>
      <c r="H40" s="751" t="s">
        <v>71</v>
      </c>
      <c r="I40" s="590">
        <v>2500</v>
      </c>
      <c r="J40" s="578"/>
      <c r="K40" s="581">
        <v>2500</v>
      </c>
      <c r="L40" s="809">
        <f t="shared" si="1"/>
        <v>2500</v>
      </c>
      <c r="M40" s="816">
        <f t="shared" si="3"/>
        <v>30000</v>
      </c>
      <c r="N40" s="810">
        <v>0.15</v>
      </c>
      <c r="O40" s="816">
        <f t="shared" si="2"/>
        <v>45</v>
      </c>
      <c r="P40" s="810"/>
    </row>
    <row r="41" spans="1:16">
      <c r="A41" s="746">
        <f t="shared" si="4"/>
        <v>14</v>
      </c>
      <c r="B41" s="580" t="s">
        <v>265</v>
      </c>
      <c r="C41" s="753" t="s">
        <v>266</v>
      </c>
      <c r="D41" s="754">
        <v>32383</v>
      </c>
      <c r="E41" s="749">
        <v>45658</v>
      </c>
      <c r="F41" s="749"/>
      <c r="G41" s="750" t="s">
        <v>236</v>
      </c>
      <c r="H41" s="751" t="s">
        <v>72</v>
      </c>
      <c r="I41" s="590">
        <v>2400</v>
      </c>
      <c r="J41" s="578"/>
      <c r="K41" s="581">
        <v>2400</v>
      </c>
      <c r="L41" s="809">
        <f t="shared" si="1"/>
        <v>2400</v>
      </c>
      <c r="M41" s="816">
        <f t="shared" si="3"/>
        <v>28800</v>
      </c>
      <c r="N41" s="810">
        <v>0.15</v>
      </c>
      <c r="O41" s="816">
        <f t="shared" si="2"/>
        <v>43.2</v>
      </c>
      <c r="P41" s="810"/>
    </row>
    <row r="42" spans="1:16">
      <c r="A42" s="746">
        <f t="shared" si="4"/>
        <v>15</v>
      </c>
      <c r="B42" s="580" t="s">
        <v>223</v>
      </c>
      <c r="C42" s="753">
        <v>46497553</v>
      </c>
      <c r="D42" s="754">
        <v>33124</v>
      </c>
      <c r="E42" s="749">
        <v>44018</v>
      </c>
      <c r="F42" s="749"/>
      <c r="G42" s="750" t="s">
        <v>224</v>
      </c>
      <c r="H42" s="751" t="s">
        <v>71</v>
      </c>
      <c r="I42" s="590">
        <v>2500</v>
      </c>
      <c r="J42" s="578"/>
      <c r="K42" s="581">
        <v>2500</v>
      </c>
      <c r="L42" s="809">
        <f t="shared" si="1"/>
        <v>2500</v>
      </c>
      <c r="M42" s="816">
        <f t="shared" si="3"/>
        <v>30000</v>
      </c>
      <c r="N42" s="810">
        <v>0.15</v>
      </c>
      <c r="O42" s="816">
        <f t="shared" si="2"/>
        <v>45</v>
      </c>
      <c r="P42" s="810"/>
    </row>
    <row r="43" spans="1:16">
      <c r="A43" s="746">
        <f t="shared" si="4"/>
        <v>16</v>
      </c>
      <c r="B43" s="580" t="s">
        <v>333</v>
      </c>
      <c r="C43" s="753" t="s">
        <v>516</v>
      </c>
      <c r="D43" s="754">
        <v>36115</v>
      </c>
      <c r="E43" s="749">
        <v>45306</v>
      </c>
      <c r="F43" s="749"/>
      <c r="G43" s="750" t="s">
        <v>229</v>
      </c>
      <c r="H43" s="751" t="s">
        <v>72</v>
      </c>
      <c r="I43" s="590">
        <v>2000</v>
      </c>
      <c r="J43" s="578">
        <v>113</v>
      </c>
      <c r="K43" s="822">
        <f>2737.4-J43</f>
        <v>2624.4</v>
      </c>
      <c r="L43" s="809">
        <f t="shared" si="1"/>
        <v>2737.4</v>
      </c>
      <c r="M43" s="816">
        <f t="shared" si="3"/>
        <v>32848.800000000003</v>
      </c>
      <c r="N43" s="810">
        <v>0.15</v>
      </c>
      <c r="O43" s="816">
        <f t="shared" si="2"/>
        <v>49.273200000000003</v>
      </c>
      <c r="P43" s="810"/>
    </row>
    <row r="44" spans="1:16">
      <c r="A44" s="746">
        <f t="shared" si="4"/>
        <v>17</v>
      </c>
      <c r="B44" s="580" t="s">
        <v>261</v>
      </c>
      <c r="C44" s="753" t="s">
        <v>262</v>
      </c>
      <c r="D44" s="754" t="s">
        <v>263</v>
      </c>
      <c r="E44" s="749">
        <v>45627</v>
      </c>
      <c r="F44" s="749"/>
      <c r="G44" s="750" t="s">
        <v>264</v>
      </c>
      <c r="H44" s="751" t="s">
        <v>71</v>
      </c>
      <c r="I44" s="590">
        <v>2200</v>
      </c>
      <c r="J44" s="578"/>
      <c r="K44" s="581">
        <v>2200</v>
      </c>
      <c r="L44" s="809">
        <f t="shared" si="1"/>
        <v>2200</v>
      </c>
      <c r="M44" s="816">
        <f t="shared" si="3"/>
        <v>26400</v>
      </c>
      <c r="N44" s="810">
        <v>0.15</v>
      </c>
      <c r="O44" s="816">
        <f t="shared" si="2"/>
        <v>39.6</v>
      </c>
      <c r="P44" s="810"/>
    </row>
    <row r="45" spans="1:16">
      <c r="A45" s="746">
        <f t="shared" si="4"/>
        <v>18</v>
      </c>
      <c r="B45" s="580" t="s">
        <v>251</v>
      </c>
      <c r="C45" s="753" t="s">
        <v>309</v>
      </c>
      <c r="D45" s="754">
        <v>34560</v>
      </c>
      <c r="E45" s="749">
        <v>45418</v>
      </c>
      <c r="F45" s="749"/>
      <c r="G45" s="750" t="s">
        <v>252</v>
      </c>
      <c r="H45" s="751" t="s">
        <v>71</v>
      </c>
      <c r="I45" s="590">
        <v>2000</v>
      </c>
      <c r="J45" s="578"/>
      <c r="K45" s="581">
        <v>2000</v>
      </c>
      <c r="L45" s="809">
        <f t="shared" si="1"/>
        <v>2000</v>
      </c>
      <c r="M45" s="816">
        <f t="shared" si="3"/>
        <v>24000</v>
      </c>
      <c r="N45" s="810">
        <v>0.15</v>
      </c>
      <c r="O45" s="816">
        <f>+M45*N45/100</f>
        <v>36</v>
      </c>
      <c r="P45" s="810"/>
    </row>
    <row r="46" spans="1:16">
      <c r="A46" s="746">
        <f t="shared" ref="A46:A47" si="5">+A45+1</f>
        <v>19</v>
      </c>
      <c r="B46" s="580" t="s">
        <v>528</v>
      </c>
      <c r="C46" s="753">
        <v>46544434</v>
      </c>
      <c r="D46" s="754">
        <v>33107</v>
      </c>
      <c r="E46" s="749">
        <v>45719</v>
      </c>
      <c r="F46" s="749"/>
      <c r="G46" s="750" t="s">
        <v>529</v>
      </c>
      <c r="H46" s="751" t="s">
        <v>73</v>
      </c>
      <c r="I46" s="590">
        <v>1500</v>
      </c>
      <c r="J46" s="578"/>
      <c r="K46" s="581">
        <f>50*29</f>
        <v>1450</v>
      </c>
      <c r="L46" s="809">
        <f t="shared" ref="L46:L47" si="6">+J46+K46</f>
        <v>1450</v>
      </c>
      <c r="M46" s="816">
        <f t="shared" ref="M46:M48" si="7">+L46*12</f>
        <v>17400</v>
      </c>
      <c r="N46" s="810"/>
      <c r="O46" s="816">
        <f t="shared" ref="O46:O48" si="8">+M46*N46/100</f>
        <v>0</v>
      </c>
      <c r="P46" s="810"/>
    </row>
    <row r="47" spans="1:16">
      <c r="A47" s="746">
        <f t="shared" si="5"/>
        <v>20</v>
      </c>
      <c r="B47" s="580" t="s">
        <v>272</v>
      </c>
      <c r="C47" s="753">
        <v>48461873</v>
      </c>
      <c r="D47" s="754">
        <v>34304</v>
      </c>
      <c r="E47" s="749">
        <v>45719</v>
      </c>
      <c r="F47" s="749"/>
      <c r="G47" s="750" t="s">
        <v>530</v>
      </c>
      <c r="H47" s="751" t="s">
        <v>71</v>
      </c>
      <c r="I47" s="590">
        <v>1700</v>
      </c>
      <c r="J47" s="578"/>
      <c r="K47" s="581">
        <v>1700</v>
      </c>
      <c r="L47" s="809">
        <f t="shared" si="6"/>
        <v>1700</v>
      </c>
      <c r="M47" s="816">
        <f t="shared" si="7"/>
        <v>20400</v>
      </c>
      <c r="N47" s="810"/>
      <c r="O47" s="816">
        <f t="shared" si="8"/>
        <v>0</v>
      </c>
      <c r="P47" s="810"/>
    </row>
    <row r="48" spans="1:16">
      <c r="A48" s="746"/>
      <c r="B48" s="580"/>
      <c r="C48" s="753"/>
      <c r="D48" s="754"/>
      <c r="E48" s="749"/>
      <c r="F48" s="749"/>
      <c r="G48" s="750"/>
      <c r="H48" s="751"/>
      <c r="I48" s="590"/>
      <c r="J48" s="578"/>
      <c r="K48" s="576">
        <v>2850</v>
      </c>
      <c r="L48" s="576">
        <v>2850</v>
      </c>
      <c r="M48" s="816">
        <f t="shared" si="7"/>
        <v>34200</v>
      </c>
      <c r="N48" s="810"/>
      <c r="O48" s="816">
        <f t="shared" si="8"/>
        <v>0</v>
      </c>
      <c r="P48" s="810"/>
    </row>
    <row r="49" spans="1:16" ht="15.75" thickBot="1">
      <c r="A49" s="797"/>
      <c r="B49" s="584"/>
      <c r="C49" s="604"/>
      <c r="D49" s="583"/>
      <c r="E49" s="606"/>
      <c r="F49" s="606"/>
      <c r="G49" s="606"/>
      <c r="H49" s="605"/>
      <c r="I49" s="632"/>
      <c r="J49" s="632"/>
      <c r="K49" s="578"/>
      <c r="L49" s="811"/>
      <c r="M49" s="817"/>
      <c r="N49" s="812"/>
      <c r="O49" s="812"/>
      <c r="P49" s="812"/>
    </row>
    <row r="50" spans="1:16" ht="15.75" thickBot="1">
      <c r="A50" s="784"/>
      <c r="B50" s="784"/>
      <c r="C50" s="784"/>
      <c r="D50" s="784"/>
      <c r="E50" s="784"/>
      <c r="F50" s="784"/>
      <c r="G50" s="784"/>
      <c r="H50" s="784"/>
      <c r="I50" s="784"/>
      <c r="J50" s="798">
        <f t="shared" ref="J50" si="9">SUM(J12:J49)</f>
        <v>1582</v>
      </c>
      <c r="K50" s="798">
        <f t="shared" ref="K50" si="10">SUM(K12:K49)</f>
        <v>116277.22</v>
      </c>
      <c r="O50" s="823">
        <f>SUM(O12:O49)</f>
        <v>4239.9599760000001</v>
      </c>
    </row>
    <row r="51" spans="1:16">
      <c r="A51" s="784"/>
      <c r="B51" s="784"/>
      <c r="C51" s="784"/>
      <c r="D51" s="784"/>
      <c r="E51" s="784"/>
      <c r="F51" s="784"/>
      <c r="G51" s="784"/>
      <c r="H51" s="784"/>
      <c r="I51" s="784"/>
      <c r="J51" s="784"/>
      <c r="K51" s="587"/>
    </row>
    <row r="52" spans="1:16">
      <c r="B52" s="791"/>
      <c r="C52" s="791"/>
      <c r="D52" s="791"/>
      <c r="E52" s="791"/>
      <c r="F52" s="791"/>
      <c r="G52" s="791"/>
      <c r="O52" s="287">
        <v>4239.96</v>
      </c>
    </row>
    <row r="53" spans="1:16">
      <c r="O53" s="823">
        <f>+O52-O50</f>
        <v>2.3999999939405825E-5</v>
      </c>
    </row>
    <row r="58" spans="1:16">
      <c r="B58" s="634"/>
      <c r="C58" s="634"/>
      <c r="D58" s="634"/>
      <c r="E58" s="634"/>
      <c r="F58" s="634"/>
      <c r="G58" s="634"/>
    </row>
    <row r="59" spans="1:16">
      <c r="B59" s="634"/>
      <c r="C59" s="634"/>
      <c r="D59" s="634"/>
      <c r="E59" s="634"/>
      <c r="F59" s="634"/>
      <c r="G59" s="634"/>
    </row>
  </sheetData>
  <sortState xmlns:xlrd2="http://schemas.microsoft.com/office/spreadsheetml/2017/richdata2" ref="A12:P45">
    <sortCondition ref="B12:B45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1A8B5-51BF-4B16-A1A5-462D9D00D576}">
  <dimension ref="A1"/>
  <sheetViews>
    <sheetView workbookViewId="0">
      <selection activeCell="M61" sqref="M61"/>
    </sheetView>
  </sheetViews>
  <sheetFormatPr baseColWidth="10" defaultColWidth="11.42578125" defaultRowHeight="1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9B4C2-A103-4921-99EB-FA9269C6469D}">
  <dimension ref="A1:S144"/>
  <sheetViews>
    <sheetView topLeftCell="A12" workbookViewId="0">
      <selection activeCell="L29" sqref="L29"/>
    </sheetView>
  </sheetViews>
  <sheetFormatPr baseColWidth="10" defaultColWidth="11.42578125" defaultRowHeight="12"/>
  <cols>
    <col min="1" max="1" width="11.42578125" style="1369"/>
    <col min="2" max="2" width="39" style="1369" customWidth="1"/>
    <col min="3" max="3" width="11.42578125" style="1369"/>
    <col min="4" max="4" width="14.28515625" style="1369" customWidth="1"/>
    <col min="5" max="5" width="11.42578125" style="1369"/>
    <col min="6" max="7" width="11" style="1369" customWidth="1"/>
    <col min="8" max="16384" width="11.42578125" style="1369"/>
  </cols>
  <sheetData>
    <row r="1" spans="1:12">
      <c r="A1" s="1366" t="s">
        <v>817</v>
      </c>
      <c r="B1" s="1367"/>
      <c r="C1" s="1367"/>
      <c r="D1" s="1367"/>
      <c r="E1" s="1367"/>
      <c r="F1" s="1367"/>
      <c r="G1" s="1367"/>
      <c r="H1" s="1367"/>
      <c r="I1" s="1367"/>
      <c r="J1" s="1368"/>
      <c r="K1" s="1367"/>
      <c r="L1" s="1367"/>
    </row>
    <row r="2" spans="1:12">
      <c r="A2" s="1368"/>
      <c r="B2" s="1367"/>
      <c r="C2" s="1367"/>
      <c r="D2" s="1367"/>
      <c r="E2" s="1367"/>
      <c r="F2" s="1367"/>
      <c r="G2" s="1367"/>
      <c r="H2" s="1367"/>
      <c r="I2" s="1367"/>
      <c r="J2" s="1368"/>
      <c r="K2" s="1367"/>
      <c r="L2" s="1367"/>
    </row>
    <row r="3" spans="1:12">
      <c r="A3" s="1527" t="s">
        <v>818</v>
      </c>
      <c r="B3" s="1527"/>
      <c r="C3" s="1527"/>
      <c r="D3" s="1527"/>
      <c r="E3" s="1527"/>
      <c r="F3" s="1527"/>
      <c r="G3" s="1527"/>
      <c r="H3" s="1527"/>
      <c r="I3" s="1527"/>
      <c r="J3" s="1527"/>
      <c r="K3" s="1527"/>
      <c r="L3" s="1367"/>
    </row>
    <row r="4" spans="1:12">
      <c r="A4" s="1366" t="s">
        <v>819</v>
      </c>
      <c r="B4" s="1367"/>
      <c r="C4" s="1366" t="s">
        <v>820</v>
      </c>
      <c r="D4" s="1366"/>
      <c r="E4" s="1367"/>
      <c r="F4" s="1366"/>
      <c r="G4" s="1367"/>
      <c r="H4" s="1367"/>
      <c r="I4" s="1367"/>
      <c r="J4" s="1366"/>
      <c r="K4" s="1367"/>
      <c r="L4" s="1367"/>
    </row>
    <row r="5" spans="1:12">
      <c r="A5" s="1366" t="s">
        <v>821</v>
      </c>
      <c r="B5" s="1367"/>
      <c r="C5" s="1366" t="s">
        <v>822</v>
      </c>
      <c r="D5" s="1366"/>
      <c r="E5" s="1367"/>
      <c r="F5" s="1366"/>
      <c r="G5" s="1367"/>
      <c r="H5" s="1367"/>
      <c r="I5" s="1367"/>
      <c r="J5" s="1366"/>
      <c r="K5" s="1367"/>
      <c r="L5" s="1367"/>
    </row>
    <row r="6" spans="1:12">
      <c r="A6" s="1366" t="s">
        <v>823</v>
      </c>
      <c r="B6" s="1367"/>
      <c r="C6" s="1366" t="s">
        <v>824</v>
      </c>
      <c r="D6" s="1366"/>
      <c r="E6" s="1367"/>
      <c r="F6" s="1366" t="s">
        <v>825</v>
      </c>
      <c r="G6" s="1367" t="s">
        <v>826</v>
      </c>
      <c r="H6" s="1367"/>
      <c r="I6" s="1367"/>
      <c r="J6" s="1366"/>
      <c r="K6" s="1367"/>
      <c r="L6" s="1367"/>
    </row>
    <row r="7" spans="1:12">
      <c r="A7" s="1370"/>
      <c r="B7" s="1370"/>
      <c r="C7" s="1370"/>
      <c r="D7" s="1370"/>
      <c r="E7" s="1370"/>
      <c r="F7" s="1371" t="s">
        <v>827</v>
      </c>
      <c r="G7" s="1371" t="s">
        <v>827</v>
      </c>
      <c r="H7" s="1370"/>
      <c r="I7" s="1370"/>
      <c r="J7" s="1370"/>
      <c r="K7" s="1370"/>
      <c r="L7" s="1367"/>
    </row>
    <row r="8" spans="1:12">
      <c r="A8" s="1372" t="s">
        <v>828</v>
      </c>
      <c r="B8" s="1372" t="s">
        <v>829</v>
      </c>
      <c r="C8" s="1372" t="s">
        <v>830</v>
      </c>
      <c r="D8" s="1372" t="s">
        <v>831</v>
      </c>
      <c r="E8" s="1372" t="s">
        <v>832</v>
      </c>
      <c r="F8" s="1372" t="s">
        <v>833</v>
      </c>
      <c r="G8" s="1372" t="s">
        <v>834</v>
      </c>
      <c r="H8" s="1372" t="s">
        <v>835</v>
      </c>
      <c r="I8" s="1372" t="s">
        <v>836</v>
      </c>
      <c r="J8" s="1372" t="s">
        <v>837</v>
      </c>
      <c r="K8" s="1372" t="s">
        <v>838</v>
      </c>
      <c r="L8" s="1367"/>
    </row>
    <row r="9" spans="1:12" ht="12.95" customHeight="1">
      <c r="A9" s="1368" t="s">
        <v>839</v>
      </c>
      <c r="B9" s="1368" t="s">
        <v>840</v>
      </c>
      <c r="C9" s="1368"/>
      <c r="D9" s="1368" t="s">
        <v>204</v>
      </c>
      <c r="E9" s="1368" t="s">
        <v>288</v>
      </c>
      <c r="F9" s="1373">
        <f>+'[9]PLANILLA MENSUAL'!Q64</f>
        <v>9130</v>
      </c>
      <c r="G9" s="1373">
        <v>0</v>
      </c>
      <c r="H9" s="1374" t="s">
        <v>841</v>
      </c>
      <c r="I9" s="1368" t="s">
        <v>842</v>
      </c>
      <c r="J9" s="1375">
        <v>45747</v>
      </c>
      <c r="K9" s="1368" t="s">
        <v>843</v>
      </c>
      <c r="L9" s="1367"/>
    </row>
    <row r="10" spans="1:12" ht="12.95" customHeight="1">
      <c r="A10" s="1368" t="s">
        <v>844</v>
      </c>
      <c r="B10" s="1368" t="s">
        <v>845</v>
      </c>
      <c r="C10" s="1368"/>
      <c r="D10" s="1368" t="s">
        <v>204</v>
      </c>
      <c r="E10" s="1368" t="s">
        <v>288</v>
      </c>
      <c r="F10" s="1373">
        <f>+'[9]PLANILLA MENSUAL'!R64</f>
        <v>226</v>
      </c>
      <c r="G10" s="1373">
        <v>0</v>
      </c>
      <c r="H10" s="1374" t="s">
        <v>841</v>
      </c>
      <c r="I10" s="1368" t="s">
        <v>842</v>
      </c>
      <c r="J10" s="1375">
        <v>45747</v>
      </c>
      <c r="K10" s="1368" t="s">
        <v>843</v>
      </c>
      <c r="L10" s="1367"/>
    </row>
    <row r="11" spans="1:12" ht="12.95" customHeight="1">
      <c r="A11" s="1368" t="s">
        <v>846</v>
      </c>
      <c r="B11" s="1368" t="s">
        <v>847</v>
      </c>
      <c r="C11" s="1368"/>
      <c r="D11" s="1368" t="s">
        <v>204</v>
      </c>
      <c r="E11" s="1368" t="s">
        <v>288</v>
      </c>
      <c r="F11" s="1373">
        <f>+'[9]PLANILLA MENSUAL'!X64</f>
        <v>100</v>
      </c>
      <c r="G11" s="1373">
        <v>0</v>
      </c>
      <c r="H11" s="1374" t="s">
        <v>841</v>
      </c>
      <c r="I11" s="1368" t="s">
        <v>842</v>
      </c>
      <c r="J11" s="1375">
        <v>45747</v>
      </c>
      <c r="K11" s="1368" t="s">
        <v>843</v>
      </c>
      <c r="L11" s="1367"/>
    </row>
    <row r="12" spans="1:12" ht="12.95" customHeight="1">
      <c r="A12" s="1368" t="s">
        <v>848</v>
      </c>
      <c r="B12" s="1368" t="s">
        <v>849</v>
      </c>
      <c r="C12" s="1368"/>
      <c r="D12" s="1368" t="s">
        <v>204</v>
      </c>
      <c r="E12" s="1368" t="s">
        <v>288</v>
      </c>
      <c r="F12" s="1373">
        <f>+'[9]PLANILLA MENSUAL'!BI64</f>
        <v>842.04000000000008</v>
      </c>
      <c r="G12" s="1373">
        <v>0</v>
      </c>
      <c r="H12" s="1374" t="s">
        <v>841</v>
      </c>
      <c r="I12" s="1368" t="s">
        <v>842</v>
      </c>
      <c r="J12" s="1375">
        <v>45747</v>
      </c>
      <c r="K12" s="1368" t="s">
        <v>843</v>
      </c>
      <c r="L12" s="1367"/>
    </row>
    <row r="13" spans="1:12" ht="6" customHeight="1">
      <c r="A13" s="1368"/>
      <c r="B13" s="1368"/>
      <c r="C13" s="1368"/>
      <c r="D13" s="1368"/>
      <c r="E13" s="1368"/>
      <c r="F13" s="1373"/>
      <c r="G13" s="1373"/>
      <c r="H13" s="1368"/>
      <c r="I13" s="1368"/>
      <c r="J13" s="1375"/>
      <c r="K13" s="1368"/>
      <c r="L13" s="1367"/>
    </row>
    <row r="14" spans="1:12" ht="12.95" customHeight="1">
      <c r="A14" s="1368" t="s">
        <v>839</v>
      </c>
      <c r="B14" s="1368" t="s">
        <v>840</v>
      </c>
      <c r="C14" s="1368"/>
      <c r="D14" s="1368" t="s">
        <v>233</v>
      </c>
      <c r="E14" s="1368" t="s">
        <v>295</v>
      </c>
      <c r="F14" s="1373">
        <f>+'[9]PLANILLA MENSUAL'!Q65</f>
        <v>8300</v>
      </c>
      <c r="G14" s="1373">
        <v>0</v>
      </c>
      <c r="H14" s="1374" t="s">
        <v>841</v>
      </c>
      <c r="I14" s="1368" t="s">
        <v>842</v>
      </c>
      <c r="J14" s="1375">
        <v>45747</v>
      </c>
      <c r="K14" s="1368" t="s">
        <v>843</v>
      </c>
      <c r="L14" s="1367"/>
    </row>
    <row r="15" spans="1:12" ht="12.95" customHeight="1">
      <c r="A15" s="1368" t="s">
        <v>846</v>
      </c>
      <c r="B15" s="1368" t="s">
        <v>847</v>
      </c>
      <c r="C15" s="1368"/>
      <c r="D15" s="1368" t="s">
        <v>233</v>
      </c>
      <c r="E15" s="1368" t="s">
        <v>295</v>
      </c>
      <c r="F15" s="1373">
        <f>+'[9]PLANILLA MENSUAL'!X65</f>
        <v>100</v>
      </c>
      <c r="G15" s="1373">
        <v>0</v>
      </c>
      <c r="H15" s="1374" t="s">
        <v>841</v>
      </c>
      <c r="I15" s="1368" t="s">
        <v>842</v>
      </c>
      <c r="J15" s="1375">
        <v>45747</v>
      </c>
      <c r="K15" s="1368" t="s">
        <v>843</v>
      </c>
      <c r="L15" s="1367"/>
    </row>
    <row r="16" spans="1:12" ht="12.95" customHeight="1">
      <c r="A16" s="1368" t="s">
        <v>848</v>
      </c>
      <c r="B16" s="1368" t="s">
        <v>849</v>
      </c>
      <c r="C16" s="1368"/>
      <c r="D16" s="1368" t="s">
        <v>233</v>
      </c>
      <c r="E16" s="1368" t="s">
        <v>295</v>
      </c>
      <c r="F16" s="1373">
        <f>+'[9]PLANILLA MENSUAL'!BI65</f>
        <v>747</v>
      </c>
      <c r="G16" s="1373">
        <v>0</v>
      </c>
      <c r="H16" s="1374" t="s">
        <v>841</v>
      </c>
      <c r="I16" s="1368" t="s">
        <v>842</v>
      </c>
      <c r="J16" s="1375">
        <v>45747</v>
      </c>
      <c r="K16" s="1368" t="s">
        <v>843</v>
      </c>
      <c r="L16" s="1367"/>
    </row>
    <row r="17" spans="1:12" ht="4.5" customHeight="1">
      <c r="A17" s="1368"/>
      <c r="B17" s="1368"/>
      <c r="C17" s="1368"/>
      <c r="D17" s="1368"/>
      <c r="E17" s="1368"/>
      <c r="F17" s="1373"/>
      <c r="G17" s="1373"/>
      <c r="H17" s="1368"/>
      <c r="I17" s="1368"/>
      <c r="J17" s="1375"/>
      <c r="K17" s="1368"/>
      <c r="L17" s="1367"/>
    </row>
    <row r="18" spans="1:12" ht="12.95" customHeight="1">
      <c r="A18" s="1368" t="s">
        <v>839</v>
      </c>
      <c r="B18" s="1368" t="s">
        <v>840</v>
      </c>
      <c r="C18" s="1368"/>
      <c r="D18" s="1368" t="s">
        <v>213</v>
      </c>
      <c r="E18" s="1368" t="s">
        <v>296</v>
      </c>
      <c r="F18" s="1373">
        <f>+'[9]PLANILLA MENSUAL'!Q66</f>
        <v>4960</v>
      </c>
      <c r="G18" s="1373">
        <v>0</v>
      </c>
      <c r="H18" s="1374" t="s">
        <v>841</v>
      </c>
      <c r="I18" s="1368" t="s">
        <v>842</v>
      </c>
      <c r="J18" s="1375">
        <v>45747</v>
      </c>
      <c r="K18" s="1368" t="s">
        <v>843</v>
      </c>
      <c r="L18" s="1367"/>
    </row>
    <row r="19" spans="1:12" ht="12.95" customHeight="1">
      <c r="A19" s="1368" t="s">
        <v>846</v>
      </c>
      <c r="B19" s="1368" t="s">
        <v>847</v>
      </c>
      <c r="C19" s="1368"/>
      <c r="D19" s="1368" t="s">
        <v>213</v>
      </c>
      <c r="E19" s="1368" t="s">
        <v>296</v>
      </c>
      <c r="F19" s="1373">
        <f>+'[9]PLANILLA MENSUAL'!X66</f>
        <v>76.190476190476161</v>
      </c>
      <c r="G19" s="1373">
        <v>0</v>
      </c>
      <c r="H19" s="1374" t="s">
        <v>841</v>
      </c>
      <c r="I19" s="1368" t="s">
        <v>842</v>
      </c>
      <c r="J19" s="1375">
        <v>45747</v>
      </c>
      <c r="K19" s="1368" t="s">
        <v>843</v>
      </c>
      <c r="L19" s="1367"/>
    </row>
    <row r="20" spans="1:12" ht="12.95" customHeight="1">
      <c r="A20" s="1368" t="s">
        <v>848</v>
      </c>
      <c r="B20" s="1368" t="s">
        <v>849</v>
      </c>
      <c r="C20" s="1368"/>
      <c r="D20" s="1368" t="s">
        <v>213</v>
      </c>
      <c r="E20" s="1368" t="s">
        <v>296</v>
      </c>
      <c r="F20" s="1373">
        <f>+'[9]PLANILLA MENSUAL'!BI66</f>
        <v>579.59999999999991</v>
      </c>
      <c r="G20" s="1373">
        <v>0</v>
      </c>
      <c r="H20" s="1374" t="s">
        <v>841</v>
      </c>
      <c r="I20" s="1368" t="s">
        <v>842</v>
      </c>
      <c r="J20" s="1375">
        <v>45747</v>
      </c>
      <c r="K20" s="1368" t="s">
        <v>843</v>
      </c>
      <c r="L20" s="1367"/>
    </row>
    <row r="21" spans="1:12" ht="5.25" customHeight="1">
      <c r="A21" s="1368"/>
      <c r="B21" s="1368"/>
      <c r="C21" s="1368"/>
      <c r="D21" s="1368"/>
      <c r="E21" s="1368"/>
      <c r="F21" s="1373"/>
      <c r="G21" s="1373"/>
      <c r="H21" s="1368"/>
      <c r="I21" s="1368"/>
      <c r="J21" s="1375"/>
      <c r="K21" s="1368"/>
      <c r="L21" s="1367"/>
    </row>
    <row r="22" spans="1:12" ht="12.95" customHeight="1">
      <c r="A22" s="1368" t="s">
        <v>850</v>
      </c>
      <c r="B22" s="1368" t="s">
        <v>840</v>
      </c>
      <c r="C22" s="1368"/>
      <c r="D22" s="1368" t="s">
        <v>851</v>
      </c>
      <c r="E22" s="1368" t="s">
        <v>297</v>
      </c>
      <c r="F22" s="1373">
        <f>+'[9]PLANILLA MENSUAL'!Q68</f>
        <v>38800</v>
      </c>
      <c r="G22" s="1373">
        <v>0</v>
      </c>
      <c r="H22" s="1374" t="s">
        <v>841</v>
      </c>
      <c r="I22" s="1368" t="s">
        <v>842</v>
      </c>
      <c r="J22" s="1375">
        <v>45747</v>
      </c>
      <c r="K22" s="1368" t="s">
        <v>843</v>
      </c>
      <c r="L22" s="1367"/>
    </row>
    <row r="23" spans="1:12" ht="12.95" customHeight="1">
      <c r="A23" s="1368" t="s">
        <v>852</v>
      </c>
      <c r="B23" s="1368" t="s">
        <v>845</v>
      </c>
      <c r="C23" s="1368"/>
      <c r="D23" s="1368" t="s">
        <v>851</v>
      </c>
      <c r="E23" s="1368" t="s">
        <v>297</v>
      </c>
      <c r="F23" s="1373">
        <f>+'[9]PLANILLA MENSUAL'!R68</f>
        <v>452</v>
      </c>
      <c r="G23" s="1373">
        <v>0</v>
      </c>
      <c r="H23" s="1374" t="s">
        <v>841</v>
      </c>
      <c r="I23" s="1368" t="s">
        <v>842</v>
      </c>
      <c r="J23" s="1375">
        <v>45747</v>
      </c>
      <c r="K23" s="1368" t="s">
        <v>843</v>
      </c>
      <c r="L23" s="1367"/>
    </row>
    <row r="24" spans="1:12" ht="12.95" customHeight="1">
      <c r="A24" s="1368" t="s">
        <v>853</v>
      </c>
      <c r="B24" s="1368" t="s">
        <v>854</v>
      </c>
      <c r="C24" s="1368"/>
      <c r="D24" s="1368" t="s">
        <v>851</v>
      </c>
      <c r="E24" s="1368" t="s">
        <v>297</v>
      </c>
      <c r="F24" s="1373">
        <f>+'[9]PLANILLA MENSUAL'!S68</f>
        <v>23159.636756440679</v>
      </c>
      <c r="G24" s="1373">
        <v>0</v>
      </c>
      <c r="H24" s="1374" t="s">
        <v>841</v>
      </c>
      <c r="I24" s="1368" t="s">
        <v>842</v>
      </c>
      <c r="J24" s="1375">
        <v>45747</v>
      </c>
      <c r="K24" s="1368" t="s">
        <v>843</v>
      </c>
      <c r="L24" s="1367"/>
    </row>
    <row r="25" spans="1:12" ht="12.95" customHeight="1">
      <c r="A25" s="1368" t="s">
        <v>855</v>
      </c>
      <c r="B25" s="1368" t="s">
        <v>849</v>
      </c>
      <c r="C25" s="1368"/>
      <c r="D25" s="1368" t="s">
        <v>851</v>
      </c>
      <c r="E25" s="1368" t="s">
        <v>297</v>
      </c>
      <c r="F25" s="1373">
        <f>+'[9]PLANILLA MENSUAL'!BI68</f>
        <v>5689.0473080796601</v>
      </c>
      <c r="G25" s="1373">
        <v>0</v>
      </c>
      <c r="H25" s="1374" t="s">
        <v>841</v>
      </c>
      <c r="I25" s="1368" t="s">
        <v>842</v>
      </c>
      <c r="J25" s="1375">
        <v>45747</v>
      </c>
      <c r="K25" s="1368" t="s">
        <v>843</v>
      </c>
      <c r="L25" s="1367"/>
    </row>
    <row r="26" spans="1:12" ht="4.5" customHeight="1">
      <c r="A26" s="1368"/>
      <c r="B26" s="1368"/>
      <c r="C26" s="1368"/>
      <c r="D26" s="1368"/>
      <c r="E26" s="1368"/>
      <c r="F26" s="1373"/>
      <c r="G26" s="1373"/>
      <c r="H26" s="1368"/>
      <c r="I26" s="1368"/>
      <c r="J26" s="1375"/>
      <c r="K26" s="1368"/>
      <c r="L26" s="1367"/>
    </row>
    <row r="27" spans="1:12" ht="12.95" customHeight="1">
      <c r="A27" s="1368" t="s">
        <v>850</v>
      </c>
      <c r="B27" s="1368" t="s">
        <v>840</v>
      </c>
      <c r="C27" s="1368"/>
      <c r="D27" s="1368" t="s">
        <v>207</v>
      </c>
      <c r="E27" s="1368" t="s">
        <v>298</v>
      </c>
      <c r="F27" s="1373">
        <f>+'[9]PLANILLA MENSUAL'!Q69</f>
        <v>19300</v>
      </c>
      <c r="G27" s="1373">
        <v>0</v>
      </c>
      <c r="H27" s="1374" t="s">
        <v>841</v>
      </c>
      <c r="I27" s="1368" t="s">
        <v>842</v>
      </c>
      <c r="J27" s="1375">
        <v>45747</v>
      </c>
      <c r="K27" s="1368" t="s">
        <v>843</v>
      </c>
      <c r="L27" s="1367"/>
    </row>
    <row r="28" spans="1:12" ht="12.95" customHeight="1">
      <c r="A28" s="1368" t="s">
        <v>852</v>
      </c>
      <c r="B28" s="1368" t="s">
        <v>845</v>
      </c>
      <c r="C28" s="1368"/>
      <c r="D28" s="1368" t="s">
        <v>207</v>
      </c>
      <c r="E28" s="1368" t="s">
        <v>298</v>
      </c>
      <c r="F28" s="1373">
        <f>+'[9]PLANILLA MENSUAL'!R69</f>
        <v>339</v>
      </c>
      <c r="G28" s="1373">
        <v>0</v>
      </c>
      <c r="H28" s="1374" t="s">
        <v>841</v>
      </c>
      <c r="I28" s="1368" t="s">
        <v>842</v>
      </c>
      <c r="J28" s="1375">
        <v>45747</v>
      </c>
      <c r="K28" s="1368" t="s">
        <v>843</v>
      </c>
      <c r="L28" s="1367"/>
    </row>
    <row r="29" spans="1:12" ht="12.95" customHeight="1">
      <c r="A29" s="1368" t="s">
        <v>856</v>
      </c>
      <c r="B29" s="1368" t="s">
        <v>308</v>
      </c>
      <c r="C29" s="1368"/>
      <c r="D29" s="1368" t="s">
        <v>207</v>
      </c>
      <c r="E29" s="1368" t="s">
        <v>298</v>
      </c>
      <c r="F29" s="1373">
        <f>+'[9]PLANILLA MENSUAL'!U69+'[9]PLANILLA MENSUAL'!V69</f>
        <v>0</v>
      </c>
      <c r="G29" s="1373">
        <v>0</v>
      </c>
      <c r="H29" s="1374" t="s">
        <v>841</v>
      </c>
      <c r="I29" s="1368" t="s">
        <v>842</v>
      </c>
      <c r="J29" s="1375">
        <v>45747</v>
      </c>
      <c r="K29" s="1368" t="s">
        <v>843</v>
      </c>
      <c r="L29" s="1367"/>
    </row>
    <row r="30" spans="1:12" ht="12.95" customHeight="1">
      <c r="A30" s="1368" t="s">
        <v>857</v>
      </c>
      <c r="B30" s="1368" t="s">
        <v>847</v>
      </c>
      <c r="C30" s="1368"/>
      <c r="D30" s="1368" t="s">
        <v>207</v>
      </c>
      <c r="E30" s="1368" t="s">
        <v>298</v>
      </c>
      <c r="F30" s="1373">
        <f>+'[9]PLANILLA MENSUAL'!X69</f>
        <v>100</v>
      </c>
      <c r="G30" s="1373">
        <v>0</v>
      </c>
      <c r="H30" s="1374" t="s">
        <v>841</v>
      </c>
      <c r="I30" s="1368" t="s">
        <v>842</v>
      </c>
      <c r="J30" s="1375">
        <v>45747</v>
      </c>
      <c r="K30" s="1368" t="s">
        <v>843</v>
      </c>
      <c r="L30" s="1367"/>
    </row>
    <row r="31" spans="1:12" ht="12.95" customHeight="1">
      <c r="A31" s="1368" t="s">
        <v>855</v>
      </c>
      <c r="B31" s="1368" t="s">
        <v>849</v>
      </c>
      <c r="C31" s="1368"/>
      <c r="D31" s="1368" t="s">
        <v>207</v>
      </c>
      <c r="E31" s="1368" t="s">
        <v>298</v>
      </c>
      <c r="F31" s="1373">
        <f>+'[9]PLANILLA MENSUAL'!BI69</f>
        <v>1767.51</v>
      </c>
      <c r="G31" s="1373">
        <v>0</v>
      </c>
      <c r="H31" s="1374" t="s">
        <v>841</v>
      </c>
      <c r="I31" s="1368" t="s">
        <v>842</v>
      </c>
      <c r="J31" s="1375">
        <v>45747</v>
      </c>
      <c r="K31" s="1368" t="s">
        <v>843</v>
      </c>
      <c r="L31" s="1367"/>
    </row>
    <row r="32" spans="1:12" ht="6" customHeight="1">
      <c r="A32" s="1368"/>
      <c r="B32" s="1368"/>
      <c r="C32" s="1368"/>
      <c r="D32" s="1368"/>
      <c r="E32" s="1368"/>
      <c r="F32" s="1373"/>
      <c r="G32" s="1373"/>
      <c r="H32" s="1368"/>
      <c r="I32" s="1368"/>
      <c r="J32" s="1375"/>
      <c r="K32" s="1368"/>
      <c r="L32" s="1367"/>
    </row>
    <row r="33" spans="1:12" ht="12.95" customHeight="1">
      <c r="A33" s="1368" t="s">
        <v>850</v>
      </c>
      <c r="B33" s="1368" t="s">
        <v>840</v>
      </c>
      <c r="C33" s="1368"/>
      <c r="D33" s="1368" t="s">
        <v>237</v>
      </c>
      <c r="E33" s="1368" t="s">
        <v>299</v>
      </c>
      <c r="F33" s="1373">
        <f>+'[9]PLANILLA MENSUAL'!Q70</f>
        <v>3200</v>
      </c>
      <c r="G33" s="1373">
        <v>0</v>
      </c>
      <c r="H33" s="1374" t="s">
        <v>841</v>
      </c>
      <c r="I33" s="1368" t="s">
        <v>842</v>
      </c>
      <c r="J33" s="1375">
        <v>45747</v>
      </c>
      <c r="K33" s="1368" t="s">
        <v>843</v>
      </c>
      <c r="L33" s="1367"/>
    </row>
    <row r="34" spans="1:12" ht="12.95" customHeight="1">
      <c r="A34" s="1368" t="s">
        <v>855</v>
      </c>
      <c r="B34" s="1368" t="s">
        <v>849</v>
      </c>
      <c r="C34" s="1368"/>
      <c r="D34" s="1368" t="s">
        <v>237</v>
      </c>
      <c r="E34" s="1368" t="s">
        <v>299</v>
      </c>
      <c r="F34" s="1373">
        <f>+'[9]PLANILLA MENSUAL'!BI70</f>
        <v>288.00000000000006</v>
      </c>
      <c r="G34" s="1373">
        <v>0</v>
      </c>
      <c r="H34" s="1374" t="s">
        <v>841</v>
      </c>
      <c r="I34" s="1368" t="s">
        <v>842</v>
      </c>
      <c r="J34" s="1375">
        <v>45747</v>
      </c>
      <c r="K34" s="1368" t="s">
        <v>843</v>
      </c>
      <c r="L34" s="1367"/>
    </row>
    <row r="35" spans="1:12" ht="5.25" customHeight="1">
      <c r="A35" s="1368"/>
      <c r="B35" s="1368"/>
      <c r="C35" s="1368"/>
      <c r="D35" s="1368"/>
      <c r="E35" s="1368"/>
      <c r="F35" s="1373"/>
      <c r="G35" s="1373"/>
      <c r="H35" s="1368"/>
      <c r="I35" s="1368"/>
      <c r="J35" s="1375"/>
      <c r="K35" s="1368"/>
      <c r="L35" s="1367"/>
    </row>
    <row r="36" spans="1:12" ht="12.95" customHeight="1">
      <c r="A36" s="1368" t="s">
        <v>850</v>
      </c>
      <c r="B36" s="1368" t="s">
        <v>840</v>
      </c>
      <c r="C36" s="1368"/>
      <c r="D36" s="1368" t="s">
        <v>302</v>
      </c>
      <c r="E36" s="1368" t="s">
        <v>301</v>
      </c>
      <c r="F36" s="1373">
        <f>+'[9]PLANILLA MENSUAL'!Q71</f>
        <v>12050</v>
      </c>
      <c r="G36" s="1373">
        <v>0</v>
      </c>
      <c r="H36" s="1374" t="s">
        <v>841</v>
      </c>
      <c r="I36" s="1368" t="s">
        <v>842</v>
      </c>
      <c r="J36" s="1375">
        <v>45747</v>
      </c>
      <c r="K36" s="1368" t="s">
        <v>843</v>
      </c>
      <c r="L36" s="1367"/>
    </row>
    <row r="37" spans="1:12" ht="12.95" customHeight="1">
      <c r="A37" s="1368" t="s">
        <v>852</v>
      </c>
      <c r="B37" s="1368" t="s">
        <v>845</v>
      </c>
      <c r="C37" s="1368"/>
      <c r="D37" s="1368" t="s">
        <v>302</v>
      </c>
      <c r="E37" s="1368" t="s">
        <v>301</v>
      </c>
      <c r="F37" s="1373">
        <f>+'[9]PLANILLA MENSUAL'!R71</f>
        <v>113</v>
      </c>
      <c r="G37" s="1373">
        <v>0</v>
      </c>
      <c r="H37" s="1374" t="s">
        <v>841</v>
      </c>
      <c r="I37" s="1368" t="s">
        <v>842</v>
      </c>
      <c r="J37" s="1375">
        <v>45747</v>
      </c>
      <c r="K37" s="1368" t="s">
        <v>843</v>
      </c>
      <c r="L37" s="1367"/>
    </row>
    <row r="38" spans="1:12" ht="12.95" customHeight="1">
      <c r="A38" s="1368" t="s">
        <v>855</v>
      </c>
      <c r="B38" s="1368" t="s">
        <v>849</v>
      </c>
      <c r="C38" s="1368"/>
      <c r="D38" s="1368" t="s">
        <v>302</v>
      </c>
      <c r="E38" s="1368" t="s">
        <v>301</v>
      </c>
      <c r="F38" s="1373">
        <f>+'[9]PLANILLA MENSUAL'!BI71</f>
        <v>1114.2450000000001</v>
      </c>
      <c r="G38" s="1373">
        <v>0</v>
      </c>
      <c r="H38" s="1374" t="s">
        <v>841</v>
      </c>
      <c r="I38" s="1368" t="s">
        <v>842</v>
      </c>
      <c r="J38" s="1375">
        <v>45747</v>
      </c>
      <c r="K38" s="1368" t="s">
        <v>843</v>
      </c>
      <c r="L38" s="1367"/>
    </row>
    <row r="39" spans="1:12" ht="5.25" customHeight="1">
      <c r="A39" s="1368"/>
      <c r="B39" s="1368"/>
      <c r="C39" s="1368"/>
      <c r="D39" s="1368"/>
      <c r="E39" s="1368"/>
      <c r="F39" s="1373"/>
      <c r="G39" s="1373"/>
      <c r="H39" s="1368"/>
      <c r="I39" s="1368"/>
      <c r="J39" s="1375"/>
      <c r="K39" s="1368"/>
      <c r="L39" s="1367"/>
    </row>
    <row r="40" spans="1:12" ht="12.95" customHeight="1">
      <c r="A40" s="1368" t="s">
        <v>850</v>
      </c>
      <c r="B40" s="1368" t="s">
        <v>840</v>
      </c>
      <c r="C40" s="1368"/>
      <c r="D40" s="1368" t="s">
        <v>225</v>
      </c>
      <c r="E40" s="1368" t="s">
        <v>303</v>
      </c>
      <c r="F40" s="1373">
        <f>+'[9]PLANILLA MENSUAL'!Q72</f>
        <v>13006.966666666667</v>
      </c>
      <c r="G40" s="1373">
        <v>0</v>
      </c>
      <c r="H40" s="1374" t="s">
        <v>841</v>
      </c>
      <c r="I40" s="1368" t="s">
        <v>842</v>
      </c>
      <c r="J40" s="1375">
        <v>45747</v>
      </c>
      <c r="K40" s="1368" t="s">
        <v>843</v>
      </c>
      <c r="L40" s="1367"/>
    </row>
    <row r="41" spans="1:12" ht="12.95" customHeight="1">
      <c r="A41" s="1368" t="s">
        <v>852</v>
      </c>
      <c r="B41" s="1368" t="s">
        <v>845</v>
      </c>
      <c r="C41" s="1368"/>
      <c r="D41" s="1368" t="s">
        <v>225</v>
      </c>
      <c r="E41" s="1368" t="s">
        <v>303</v>
      </c>
      <c r="F41" s="1373">
        <f>+'[9]PLANILLA MENSUAL'!R72</f>
        <v>452</v>
      </c>
      <c r="G41" s="1373">
        <v>0</v>
      </c>
      <c r="H41" s="1374" t="s">
        <v>841</v>
      </c>
      <c r="I41" s="1368" t="s">
        <v>842</v>
      </c>
      <c r="J41" s="1375">
        <v>45747</v>
      </c>
      <c r="K41" s="1368" t="s">
        <v>843</v>
      </c>
      <c r="L41" s="1367"/>
    </row>
    <row r="42" spans="1:12" ht="12.95" customHeight="1">
      <c r="A42" s="1368" t="s">
        <v>856</v>
      </c>
      <c r="B42" s="1368" t="s">
        <v>308</v>
      </c>
      <c r="C42" s="1368"/>
      <c r="D42" s="1368" t="s">
        <v>225</v>
      </c>
      <c r="E42" s="1368" t="s">
        <v>303</v>
      </c>
      <c r="F42" s="1373">
        <f>+'[9]PLANILLA MENSUAL'!U72+'[9]PLANILLA MENSUAL'!V72</f>
        <v>0</v>
      </c>
      <c r="G42" s="1373">
        <v>0</v>
      </c>
      <c r="H42" s="1374" t="s">
        <v>841</v>
      </c>
      <c r="I42" s="1368" t="s">
        <v>842</v>
      </c>
      <c r="J42" s="1375">
        <v>45747</v>
      </c>
      <c r="K42" s="1368" t="s">
        <v>843</v>
      </c>
      <c r="L42" s="1367"/>
    </row>
    <row r="43" spans="1:12" ht="12.95" customHeight="1">
      <c r="A43" s="1368" t="s">
        <v>857</v>
      </c>
      <c r="B43" s="1368" t="s">
        <v>847</v>
      </c>
      <c r="C43" s="1368"/>
      <c r="D43" s="1368" t="s">
        <v>225</v>
      </c>
      <c r="E43" s="1368" t="s">
        <v>303</v>
      </c>
      <c r="F43" s="1373">
        <f>+'[9]PLANILLA MENSUAL'!X72</f>
        <v>100</v>
      </c>
      <c r="G43" s="1373">
        <v>0</v>
      </c>
      <c r="H43" s="1374" t="s">
        <v>841</v>
      </c>
      <c r="I43" s="1368" t="s">
        <v>842</v>
      </c>
      <c r="J43" s="1375">
        <v>45747</v>
      </c>
      <c r="K43" s="1368" t="s">
        <v>843</v>
      </c>
      <c r="L43" s="1367"/>
    </row>
    <row r="44" spans="1:12" ht="12.95" customHeight="1">
      <c r="A44" s="1368" t="s">
        <v>855</v>
      </c>
      <c r="B44" s="1368" t="s">
        <v>849</v>
      </c>
      <c r="C44" s="1368"/>
      <c r="D44" s="1368" t="s">
        <v>225</v>
      </c>
      <c r="E44" s="1368" t="s">
        <v>303</v>
      </c>
      <c r="F44" s="1373">
        <f>+'[9]PLANILLA MENSUAL'!BI72</f>
        <v>1249.3800000000001</v>
      </c>
      <c r="G44" s="1373">
        <v>0</v>
      </c>
      <c r="H44" s="1374" t="s">
        <v>841</v>
      </c>
      <c r="I44" s="1368" t="s">
        <v>842</v>
      </c>
      <c r="J44" s="1375">
        <v>45747</v>
      </c>
      <c r="K44" s="1368" t="s">
        <v>843</v>
      </c>
      <c r="L44" s="1367"/>
    </row>
    <row r="45" spans="1:12" ht="6" customHeight="1">
      <c r="A45" s="1368"/>
      <c r="B45" s="1368"/>
      <c r="C45" s="1368"/>
      <c r="D45" s="1368"/>
      <c r="E45" s="1368"/>
      <c r="F45" s="1373"/>
      <c r="G45" s="1373"/>
      <c r="H45" s="1374"/>
      <c r="I45" s="1368"/>
      <c r="J45" s="1375"/>
      <c r="K45" s="1368"/>
      <c r="L45" s="1367"/>
    </row>
    <row r="46" spans="1:12" ht="12.95" customHeight="1">
      <c r="A46" s="1368" t="s">
        <v>858</v>
      </c>
      <c r="B46" s="1368" t="s">
        <v>859</v>
      </c>
      <c r="C46" s="1376" t="s">
        <v>860</v>
      </c>
      <c r="D46" s="1368" t="s">
        <v>226</v>
      </c>
      <c r="E46" s="1367"/>
      <c r="F46" s="1373"/>
      <c r="G46" s="1373">
        <f>+'[9]PLANILLA MENSUAL'!AZ21</f>
        <v>500</v>
      </c>
      <c r="H46" s="1374" t="s">
        <v>841</v>
      </c>
      <c r="I46" s="1368" t="s">
        <v>861</v>
      </c>
      <c r="J46" s="1375">
        <v>45747</v>
      </c>
      <c r="K46" s="1368" t="s">
        <v>843</v>
      </c>
      <c r="L46" s="1367"/>
    </row>
    <row r="47" spans="1:12" ht="12.95" customHeight="1">
      <c r="A47" s="1368" t="s">
        <v>858</v>
      </c>
      <c r="B47" s="1368" t="s">
        <v>859</v>
      </c>
      <c r="C47" s="1368" t="s">
        <v>309</v>
      </c>
      <c r="D47" s="1368" t="s">
        <v>251</v>
      </c>
      <c r="E47" s="1367"/>
      <c r="F47" s="1373"/>
      <c r="G47" s="1373">
        <f>+'[9]PLANILLA MENSUAL'!AZ30</f>
        <v>500</v>
      </c>
      <c r="H47" s="1374" t="s">
        <v>841</v>
      </c>
      <c r="I47" s="1368" t="s">
        <v>862</v>
      </c>
      <c r="J47" s="1375">
        <v>45747</v>
      </c>
      <c r="K47" s="1368" t="s">
        <v>843</v>
      </c>
      <c r="L47" s="1367"/>
    </row>
    <row r="48" spans="1:12" ht="12.95" customHeight="1">
      <c r="A48" s="1368" t="s">
        <v>863</v>
      </c>
      <c r="B48" s="1368" t="s">
        <v>864</v>
      </c>
      <c r="C48" s="1368" t="s">
        <v>865</v>
      </c>
      <c r="D48" s="1368" t="s">
        <v>201</v>
      </c>
      <c r="E48" s="1367"/>
      <c r="F48" s="1373"/>
      <c r="G48" s="1373">
        <f>+'[9]PLANILLA MENSUAL'!AY12</f>
        <v>10338.514593013182</v>
      </c>
      <c r="H48" s="1374" t="s">
        <v>841</v>
      </c>
      <c r="I48" s="1368" t="s">
        <v>842</v>
      </c>
      <c r="J48" s="1375">
        <v>45747</v>
      </c>
      <c r="K48" s="1368" t="s">
        <v>843</v>
      </c>
      <c r="L48" s="1367"/>
    </row>
    <row r="49" spans="1:12" ht="12.95" customHeight="1">
      <c r="A49" s="1368" t="s">
        <v>863</v>
      </c>
      <c r="B49" s="1368" t="s">
        <v>864</v>
      </c>
      <c r="C49" s="1376" t="s">
        <v>866</v>
      </c>
      <c r="D49" s="1368" t="s">
        <v>205</v>
      </c>
      <c r="E49" s="1367"/>
      <c r="F49" s="1373"/>
      <c r="G49" s="1373">
        <f>+'[9]PLANILLA MENSUAL'!AY13</f>
        <v>3565.916666666667</v>
      </c>
      <c r="H49" s="1374" t="s">
        <v>841</v>
      </c>
      <c r="I49" s="1368" t="s">
        <v>842</v>
      </c>
      <c r="J49" s="1375">
        <v>45747</v>
      </c>
      <c r="K49" s="1368" t="s">
        <v>843</v>
      </c>
      <c r="L49" s="1367"/>
    </row>
    <row r="50" spans="1:12" ht="12.95" customHeight="1">
      <c r="A50" s="1368" t="s">
        <v>863</v>
      </c>
      <c r="B50" s="1368" t="s">
        <v>864</v>
      </c>
      <c r="C50" s="1368" t="s">
        <v>310</v>
      </c>
      <c r="D50" s="1368" t="s">
        <v>208</v>
      </c>
      <c r="E50" s="1367"/>
      <c r="F50" s="1373"/>
      <c r="G50" s="1373">
        <f>+'[9]PLANILLA MENSUAL'!AY14</f>
        <v>2410.1266666666666</v>
      </c>
      <c r="H50" s="1374" t="s">
        <v>841</v>
      </c>
      <c r="I50" s="1368" t="s">
        <v>842</v>
      </c>
      <c r="J50" s="1375">
        <v>45747</v>
      </c>
      <c r="K50" s="1368" t="s">
        <v>843</v>
      </c>
      <c r="L50" s="1367"/>
    </row>
    <row r="51" spans="1:12" ht="12.95" customHeight="1">
      <c r="A51" s="1368" t="s">
        <v>863</v>
      </c>
      <c r="B51" s="1368" t="s">
        <v>864</v>
      </c>
      <c r="C51" s="1368" t="s">
        <v>867</v>
      </c>
      <c r="D51" s="1368" t="s">
        <v>211</v>
      </c>
      <c r="E51" s="1367"/>
      <c r="F51" s="1373"/>
      <c r="G51" s="1373">
        <f>+'[9]PLANILLA MENSUAL'!AY15</f>
        <v>2399.25</v>
      </c>
      <c r="H51" s="1374" t="s">
        <v>841</v>
      </c>
      <c r="I51" s="1368" t="s">
        <v>842</v>
      </c>
      <c r="J51" s="1375">
        <v>45747</v>
      </c>
      <c r="K51" s="1368" t="s">
        <v>843</v>
      </c>
      <c r="L51" s="1367"/>
    </row>
    <row r="52" spans="1:12" ht="12.95" customHeight="1">
      <c r="A52" s="1368" t="s">
        <v>863</v>
      </c>
      <c r="B52" s="1368" t="s">
        <v>864</v>
      </c>
      <c r="C52" s="1368" t="s">
        <v>868</v>
      </c>
      <c r="D52" s="1368" t="s">
        <v>214</v>
      </c>
      <c r="E52" s="1367"/>
      <c r="F52" s="1373"/>
      <c r="G52" s="1373">
        <f>+'[9]PLANILLA MENSUAL'!AY16</f>
        <v>2302.2222222222222</v>
      </c>
      <c r="H52" s="1374" t="s">
        <v>841</v>
      </c>
      <c r="I52" s="1368" t="s">
        <v>842</v>
      </c>
      <c r="J52" s="1375">
        <v>45747</v>
      </c>
      <c r="K52" s="1368" t="s">
        <v>843</v>
      </c>
      <c r="L52" s="1367"/>
    </row>
    <row r="53" spans="1:12" ht="12.95" customHeight="1">
      <c r="A53" s="1368" t="s">
        <v>863</v>
      </c>
      <c r="B53" s="1368" t="s">
        <v>864</v>
      </c>
      <c r="C53" s="1368" t="s">
        <v>869</v>
      </c>
      <c r="D53" s="1368" t="s">
        <v>217</v>
      </c>
      <c r="E53" s="1367"/>
      <c r="F53" s="1373"/>
      <c r="G53" s="1373">
        <f>+'[9]PLANILLA MENSUAL'!AY17</f>
        <v>3565.916666666667</v>
      </c>
      <c r="H53" s="1374" t="s">
        <v>841</v>
      </c>
      <c r="I53" s="1368" t="s">
        <v>842</v>
      </c>
      <c r="J53" s="1375">
        <v>45747</v>
      </c>
      <c r="K53" s="1368" t="s">
        <v>843</v>
      </c>
      <c r="L53" s="1367"/>
    </row>
    <row r="54" spans="1:12" ht="12.95" customHeight="1">
      <c r="A54" s="1368" t="s">
        <v>863</v>
      </c>
      <c r="B54" s="1368" t="s">
        <v>864</v>
      </c>
      <c r="C54" s="1368" t="s">
        <v>870</v>
      </c>
      <c r="D54" s="1368" t="s">
        <v>219</v>
      </c>
      <c r="E54" s="1367"/>
      <c r="F54" s="1373"/>
      <c r="G54" s="1373">
        <f>+'[9]PLANILLA MENSUAL'!AY18</f>
        <v>7206.1772197222226</v>
      </c>
      <c r="H54" s="1374" t="s">
        <v>841</v>
      </c>
      <c r="I54" s="1368" t="s">
        <v>842</v>
      </c>
      <c r="J54" s="1375">
        <v>45747</v>
      </c>
      <c r="K54" s="1368" t="s">
        <v>843</v>
      </c>
      <c r="L54" s="1367"/>
    </row>
    <row r="55" spans="1:12" ht="12.95" customHeight="1">
      <c r="A55" s="1368" t="s">
        <v>863</v>
      </c>
      <c r="B55" s="1368" t="s">
        <v>864</v>
      </c>
      <c r="C55" s="1368" t="s">
        <v>871</v>
      </c>
      <c r="D55" s="1368" t="s">
        <v>221</v>
      </c>
      <c r="E55" s="1367"/>
      <c r="F55" s="1373"/>
      <c r="G55" s="1373">
        <f>+'[9]PLANILLA MENSUAL'!AY19</f>
        <v>1625</v>
      </c>
      <c r="H55" s="1374" t="s">
        <v>841</v>
      </c>
      <c r="I55" s="1368" t="s">
        <v>842</v>
      </c>
      <c r="J55" s="1375">
        <v>45747</v>
      </c>
      <c r="K55" s="1368" t="s">
        <v>843</v>
      </c>
      <c r="L55" s="1367"/>
    </row>
    <row r="56" spans="1:12" ht="12.95" customHeight="1">
      <c r="A56" s="1368" t="s">
        <v>863</v>
      </c>
      <c r="B56" s="1368" t="s">
        <v>864</v>
      </c>
      <c r="C56" s="1368" t="s">
        <v>872</v>
      </c>
      <c r="D56" s="1368" t="s">
        <v>223</v>
      </c>
      <c r="E56" s="1367"/>
      <c r="F56" s="1373"/>
      <c r="G56" s="1373">
        <f>+'[9]PLANILLA MENSUAL'!AY20</f>
        <v>1458.3333333333333</v>
      </c>
      <c r="H56" s="1374" t="s">
        <v>841</v>
      </c>
      <c r="I56" s="1368" t="s">
        <v>842</v>
      </c>
      <c r="J56" s="1375">
        <v>45747</v>
      </c>
      <c r="K56" s="1368" t="s">
        <v>843</v>
      </c>
      <c r="L56" s="1367"/>
    </row>
    <row r="57" spans="1:12" ht="12.95" customHeight="1">
      <c r="A57" s="1368" t="s">
        <v>863</v>
      </c>
      <c r="B57" s="1368" t="s">
        <v>864</v>
      </c>
      <c r="C57" s="1368" t="s">
        <v>860</v>
      </c>
      <c r="D57" s="1368" t="s">
        <v>226</v>
      </c>
      <c r="E57" s="1367"/>
      <c r="F57" s="1373"/>
      <c r="G57" s="1373">
        <f>+'[9]PLANILLA MENSUAL'!AY21</f>
        <v>1232.5833333333333</v>
      </c>
      <c r="H57" s="1374" t="s">
        <v>841</v>
      </c>
      <c r="I57" s="1368" t="s">
        <v>842</v>
      </c>
      <c r="J57" s="1375">
        <v>45747</v>
      </c>
      <c r="K57" s="1368" t="s">
        <v>843</v>
      </c>
      <c r="L57" s="1367"/>
    </row>
    <row r="58" spans="1:12" ht="12.95" customHeight="1">
      <c r="A58" s="1368" t="s">
        <v>863</v>
      </c>
      <c r="B58" s="1368" t="s">
        <v>864</v>
      </c>
      <c r="C58" s="1368" t="s">
        <v>311</v>
      </c>
      <c r="D58" s="1368" t="s">
        <v>228</v>
      </c>
      <c r="E58" s="1367"/>
      <c r="F58" s="1373"/>
      <c r="G58" s="1373">
        <f>+'[9]PLANILLA MENSUAL'!AY22</f>
        <v>3536.7371083333337</v>
      </c>
      <c r="H58" s="1374" t="s">
        <v>841</v>
      </c>
      <c r="I58" s="1368" t="s">
        <v>842</v>
      </c>
      <c r="J58" s="1375">
        <v>45747</v>
      </c>
      <c r="K58" s="1368" t="s">
        <v>843</v>
      </c>
      <c r="L58" s="1367"/>
    </row>
    <row r="59" spans="1:12" ht="12.95" customHeight="1">
      <c r="A59" s="1368" t="s">
        <v>863</v>
      </c>
      <c r="B59" s="1368" t="s">
        <v>864</v>
      </c>
      <c r="C59" s="1368" t="s">
        <v>231</v>
      </c>
      <c r="D59" s="1368" t="s">
        <v>230</v>
      </c>
      <c r="E59" s="1367"/>
      <c r="F59" s="1373"/>
      <c r="G59" s="1373">
        <f>+'[9]PLANILLA MENSUAL'!AY23</f>
        <v>765.91666666666663</v>
      </c>
      <c r="H59" s="1374" t="s">
        <v>841</v>
      </c>
      <c r="I59" s="1368" t="s">
        <v>842</v>
      </c>
      <c r="J59" s="1375">
        <v>45747</v>
      </c>
      <c r="K59" s="1368" t="s">
        <v>843</v>
      </c>
      <c r="L59" s="1367"/>
    </row>
    <row r="60" spans="1:12" ht="12.95" customHeight="1">
      <c r="A60" s="1368" t="s">
        <v>863</v>
      </c>
      <c r="B60" s="1368" t="s">
        <v>864</v>
      </c>
      <c r="C60" s="1368" t="s">
        <v>235</v>
      </c>
      <c r="D60" s="1368" t="s">
        <v>234</v>
      </c>
      <c r="E60" s="1367"/>
      <c r="F60" s="1373"/>
      <c r="G60" s="1373">
        <f>+'[9]PLANILLA MENSUAL'!AY24</f>
        <v>1633.3333333333335</v>
      </c>
      <c r="H60" s="1374" t="s">
        <v>841</v>
      </c>
      <c r="I60" s="1368" t="s">
        <v>842</v>
      </c>
      <c r="J60" s="1375">
        <v>45747</v>
      </c>
      <c r="K60" s="1368" t="s">
        <v>843</v>
      </c>
      <c r="L60" s="1367"/>
    </row>
    <row r="61" spans="1:12" ht="12.95" customHeight="1">
      <c r="A61" s="1368" t="s">
        <v>863</v>
      </c>
      <c r="B61" s="1368" t="s">
        <v>864</v>
      </c>
      <c r="C61" s="1368" t="s">
        <v>239</v>
      </c>
      <c r="D61" s="1368" t="s">
        <v>238</v>
      </c>
      <c r="E61" s="1367"/>
      <c r="F61" s="1373"/>
      <c r="G61" s="1373" t="e">
        <f>+'[9]PLANILLA MENSUAL'!#REF!</f>
        <v>#REF!</v>
      </c>
      <c r="H61" s="1374" t="s">
        <v>841</v>
      </c>
      <c r="I61" s="1368" t="s">
        <v>842</v>
      </c>
      <c r="J61" s="1375">
        <v>45747</v>
      </c>
      <c r="K61" s="1368" t="s">
        <v>843</v>
      </c>
      <c r="L61" s="1367"/>
    </row>
    <row r="62" spans="1:12" ht="12.95" customHeight="1">
      <c r="A62" s="1368" t="s">
        <v>863</v>
      </c>
      <c r="B62" s="1368" t="s">
        <v>864</v>
      </c>
      <c r="C62" s="1376" t="s">
        <v>242</v>
      </c>
      <c r="D62" s="1368" t="s">
        <v>241</v>
      </c>
      <c r="E62" s="1367"/>
      <c r="F62" s="1373"/>
      <c r="G62" s="1373">
        <f>+'[9]PLANILLA MENSUAL'!AY25</f>
        <v>1750</v>
      </c>
      <c r="H62" s="1374" t="s">
        <v>841</v>
      </c>
      <c r="I62" s="1368" t="s">
        <v>842</v>
      </c>
      <c r="J62" s="1375">
        <v>45747</v>
      </c>
      <c r="K62" s="1368" t="s">
        <v>843</v>
      </c>
      <c r="L62" s="1367"/>
    </row>
    <row r="63" spans="1:12" ht="12.95" customHeight="1">
      <c r="A63" s="1368" t="s">
        <v>863</v>
      </c>
      <c r="B63" s="1368" t="s">
        <v>864</v>
      </c>
      <c r="C63" s="1368" t="s">
        <v>244</v>
      </c>
      <c r="D63" s="1368" t="s">
        <v>243</v>
      </c>
      <c r="E63" s="1367"/>
      <c r="F63" s="1373"/>
      <c r="G63" s="1373">
        <f>+'[9]PLANILLA MENSUAL'!AY26</f>
        <v>1633.3333333333335</v>
      </c>
      <c r="H63" s="1374" t="s">
        <v>841</v>
      </c>
      <c r="I63" s="1368" t="s">
        <v>842</v>
      </c>
      <c r="J63" s="1375">
        <v>45747</v>
      </c>
      <c r="K63" s="1368" t="s">
        <v>843</v>
      </c>
      <c r="L63" s="1367"/>
    </row>
    <row r="64" spans="1:12" ht="12.95" customHeight="1">
      <c r="A64" s="1368" t="s">
        <v>863</v>
      </c>
      <c r="B64" s="1368" t="s">
        <v>864</v>
      </c>
      <c r="C64" s="1368" t="s">
        <v>873</v>
      </c>
      <c r="D64" s="1368" t="s">
        <v>245</v>
      </c>
      <c r="E64" s="1367"/>
      <c r="F64" s="1373"/>
      <c r="G64" s="1373">
        <f>+'[9]PLANILLA MENSUAL'!AY27</f>
        <v>2739.7348467172787</v>
      </c>
      <c r="H64" s="1374" t="s">
        <v>841</v>
      </c>
      <c r="I64" s="1368" t="s">
        <v>842</v>
      </c>
      <c r="J64" s="1375">
        <v>45747</v>
      </c>
      <c r="K64" s="1368" t="s">
        <v>843</v>
      </c>
      <c r="L64" s="1367"/>
    </row>
    <row r="65" spans="1:12" ht="12.95" customHeight="1">
      <c r="A65" s="1368" t="s">
        <v>863</v>
      </c>
      <c r="B65" s="1368" t="s">
        <v>864</v>
      </c>
      <c r="C65" s="1368" t="s">
        <v>874</v>
      </c>
      <c r="D65" s="1368" t="s">
        <v>247</v>
      </c>
      <c r="E65" s="1367"/>
      <c r="F65" s="1373"/>
      <c r="G65" s="1373">
        <f>+'[9]PLANILLA MENSUAL'!AY28</f>
        <v>1524.25</v>
      </c>
      <c r="H65" s="1374" t="s">
        <v>841</v>
      </c>
      <c r="I65" s="1368" t="s">
        <v>842</v>
      </c>
      <c r="J65" s="1375">
        <v>45747</v>
      </c>
      <c r="K65" s="1368" t="s">
        <v>843</v>
      </c>
      <c r="L65" s="1367"/>
    </row>
    <row r="66" spans="1:12" ht="12.95" customHeight="1">
      <c r="A66" s="1368" t="s">
        <v>863</v>
      </c>
      <c r="B66" s="1368" t="s">
        <v>864</v>
      </c>
      <c r="C66" s="1368" t="s">
        <v>875</v>
      </c>
      <c r="D66" s="1368" t="s">
        <v>249</v>
      </c>
      <c r="E66" s="1367"/>
      <c r="F66" s="1373"/>
      <c r="G66" s="1373">
        <f>+'[9]PLANILLA MENSUAL'!AY29</f>
        <v>659.16666666666663</v>
      </c>
      <c r="H66" s="1374" t="s">
        <v>841</v>
      </c>
      <c r="I66" s="1368" t="s">
        <v>842</v>
      </c>
      <c r="J66" s="1375">
        <v>45747</v>
      </c>
      <c r="K66" s="1368" t="s">
        <v>843</v>
      </c>
      <c r="L66" s="1367"/>
    </row>
    <row r="67" spans="1:12" ht="12.95" customHeight="1">
      <c r="A67" s="1368" t="s">
        <v>863</v>
      </c>
      <c r="B67" s="1368" t="s">
        <v>864</v>
      </c>
      <c r="C67" s="1368" t="s">
        <v>309</v>
      </c>
      <c r="D67" s="1368" t="s">
        <v>251</v>
      </c>
      <c r="E67" s="1367"/>
      <c r="F67" s="1373"/>
      <c r="G67" s="1373">
        <f>+'[9]PLANILLA MENSUAL'!AY30</f>
        <v>1465.2415277777777</v>
      </c>
      <c r="H67" s="1374" t="s">
        <v>841</v>
      </c>
      <c r="I67" s="1368" t="s">
        <v>842</v>
      </c>
      <c r="J67" s="1375">
        <v>45747</v>
      </c>
      <c r="K67" s="1368" t="s">
        <v>843</v>
      </c>
      <c r="L67" s="1367"/>
    </row>
    <row r="68" spans="1:12" ht="12.95" customHeight="1">
      <c r="A68" s="1368" t="s">
        <v>863</v>
      </c>
      <c r="B68" s="1368" t="s">
        <v>864</v>
      </c>
      <c r="C68" s="1368" t="s">
        <v>254</v>
      </c>
      <c r="D68" s="1368" t="s">
        <v>253</v>
      </c>
      <c r="E68" s="1367"/>
      <c r="F68" s="1373"/>
      <c r="G68" s="1373">
        <f>+'[9]PLANILLA MENSUAL'!AY31</f>
        <v>1458.3333333333333</v>
      </c>
      <c r="H68" s="1374" t="s">
        <v>841</v>
      </c>
      <c r="I68" s="1368" t="s">
        <v>842</v>
      </c>
      <c r="J68" s="1375">
        <v>45747</v>
      </c>
      <c r="K68" s="1368" t="s">
        <v>843</v>
      </c>
      <c r="L68" s="1367"/>
    </row>
    <row r="69" spans="1:12" ht="12.95" customHeight="1">
      <c r="A69" s="1368" t="s">
        <v>863</v>
      </c>
      <c r="B69" s="1368" t="s">
        <v>864</v>
      </c>
      <c r="C69" s="1368" t="s">
        <v>257</v>
      </c>
      <c r="D69" s="1368" t="s">
        <v>256</v>
      </c>
      <c r="E69" s="1367"/>
      <c r="F69" s="1373"/>
      <c r="G69" s="1373">
        <f>+'[9]PLANILLA MENSUAL'!AY32</f>
        <v>1171.5093055555556</v>
      </c>
      <c r="H69" s="1374" t="s">
        <v>841</v>
      </c>
      <c r="I69" s="1368" t="s">
        <v>842</v>
      </c>
      <c r="J69" s="1375">
        <v>45747</v>
      </c>
      <c r="K69" s="1368" t="s">
        <v>843</v>
      </c>
      <c r="L69" s="1367"/>
    </row>
    <row r="70" spans="1:12" ht="12.95" customHeight="1">
      <c r="A70" s="1368" t="s">
        <v>863</v>
      </c>
      <c r="B70" s="1368" t="s">
        <v>864</v>
      </c>
      <c r="C70" s="1368" t="s">
        <v>260</v>
      </c>
      <c r="D70" s="1368" t="s">
        <v>259</v>
      </c>
      <c r="E70" s="1367"/>
      <c r="F70" s="1373"/>
      <c r="G70" s="1373">
        <f>+'[9]PLANILLA MENSUAL'!AY33</f>
        <v>1173.3506944444443</v>
      </c>
      <c r="H70" s="1374" t="s">
        <v>841</v>
      </c>
      <c r="I70" s="1368" t="s">
        <v>842</v>
      </c>
      <c r="J70" s="1375">
        <v>45747</v>
      </c>
      <c r="K70" s="1368" t="s">
        <v>843</v>
      </c>
      <c r="L70" s="1367"/>
    </row>
    <row r="71" spans="1:12" ht="12.95" customHeight="1">
      <c r="A71" s="1368" t="s">
        <v>863</v>
      </c>
      <c r="B71" s="1368" t="s">
        <v>864</v>
      </c>
      <c r="C71" s="1368" t="s">
        <v>876</v>
      </c>
      <c r="D71" s="1368" t="s">
        <v>261</v>
      </c>
      <c r="E71" s="1367"/>
      <c r="F71" s="1373"/>
      <c r="G71" s="1373">
        <f>+'[9]PLANILLA MENSUAL'!AY34</f>
        <v>1283.3333333333333</v>
      </c>
      <c r="H71" s="1374" t="s">
        <v>841</v>
      </c>
      <c r="I71" s="1368" t="s">
        <v>842</v>
      </c>
      <c r="J71" s="1375">
        <v>45747</v>
      </c>
      <c r="K71" s="1368" t="s">
        <v>843</v>
      </c>
      <c r="L71" s="1367"/>
    </row>
    <row r="72" spans="1:12" ht="12.95" customHeight="1">
      <c r="A72" s="1368" t="s">
        <v>863</v>
      </c>
      <c r="B72" s="1368" t="s">
        <v>864</v>
      </c>
      <c r="C72" s="1368" t="s">
        <v>877</v>
      </c>
      <c r="D72" s="1368" t="s">
        <v>878</v>
      </c>
      <c r="E72" s="1367"/>
      <c r="F72" s="1373"/>
      <c r="G72" s="1373">
        <f>+'[9]PLANILLA MENSUAL'!AY35</f>
        <v>1458.3333333333333</v>
      </c>
      <c r="H72" s="1374" t="s">
        <v>841</v>
      </c>
      <c r="I72" s="1368" t="s">
        <v>842</v>
      </c>
      <c r="J72" s="1375">
        <v>45747</v>
      </c>
      <c r="K72" s="1368" t="s">
        <v>843</v>
      </c>
      <c r="L72" s="1367"/>
    </row>
    <row r="73" spans="1:12" ht="12.95" customHeight="1">
      <c r="A73" s="1368" t="s">
        <v>863</v>
      </c>
      <c r="B73" s="1368" t="s">
        <v>864</v>
      </c>
      <c r="C73" s="1368" t="s">
        <v>268</v>
      </c>
      <c r="D73" s="1368" t="s">
        <v>879</v>
      </c>
      <c r="E73" s="1367"/>
      <c r="F73" s="1373"/>
      <c r="G73" s="1373">
        <f>+'[9]PLANILLA MENSUAL'!AY36</f>
        <v>2212.0566004943503</v>
      </c>
      <c r="H73" s="1374" t="s">
        <v>841</v>
      </c>
      <c r="I73" s="1368" t="s">
        <v>842</v>
      </c>
      <c r="J73" s="1375">
        <v>45747</v>
      </c>
      <c r="K73" s="1368" t="s">
        <v>843</v>
      </c>
      <c r="L73" s="1367"/>
    </row>
    <row r="74" spans="1:12" ht="12.95" customHeight="1">
      <c r="A74" s="1368" t="s">
        <v>863</v>
      </c>
      <c r="B74" s="1368" t="s">
        <v>864</v>
      </c>
      <c r="C74" s="1368" t="s">
        <v>312</v>
      </c>
      <c r="D74" s="1368" t="s">
        <v>269</v>
      </c>
      <c r="E74" s="1367"/>
      <c r="F74" s="1373"/>
      <c r="G74" s="1373">
        <f>+'[9]PLANILLA MENSUAL'!AY37</f>
        <v>2182.2730277777778</v>
      </c>
      <c r="H74" s="1374" t="s">
        <v>841</v>
      </c>
      <c r="I74" s="1368" t="s">
        <v>842</v>
      </c>
      <c r="J74" s="1375">
        <v>45747</v>
      </c>
      <c r="K74" s="1368" t="s">
        <v>843</v>
      </c>
      <c r="L74" s="1367"/>
    </row>
    <row r="75" spans="1:12" ht="12.95" customHeight="1">
      <c r="A75" s="1368" t="s">
        <v>863</v>
      </c>
      <c r="B75" s="1368" t="s">
        <v>864</v>
      </c>
      <c r="C75" s="1368" t="s">
        <v>313</v>
      </c>
      <c r="D75" s="1368" t="s">
        <v>314</v>
      </c>
      <c r="E75" s="1367"/>
      <c r="F75" s="1373"/>
      <c r="G75" s="1373" t="e">
        <f>+'[9]PLANILLA MENSUAL'!#REF!</f>
        <v>#REF!</v>
      </c>
      <c r="H75" s="1374" t="s">
        <v>841</v>
      </c>
      <c r="I75" s="1368" t="s">
        <v>842</v>
      </c>
      <c r="J75" s="1375">
        <v>45747</v>
      </c>
      <c r="K75" s="1368" t="s">
        <v>843</v>
      </c>
      <c r="L75" s="1367"/>
    </row>
    <row r="76" spans="1:12" ht="12.95" customHeight="1">
      <c r="A76" s="1368" t="s">
        <v>863</v>
      </c>
      <c r="B76" s="1368" t="s">
        <v>864</v>
      </c>
      <c r="C76" s="1368" t="s">
        <v>880</v>
      </c>
      <c r="D76" s="1368" t="s">
        <v>270</v>
      </c>
      <c r="E76" s="1367"/>
      <c r="F76" s="1373"/>
      <c r="G76" s="1373">
        <f>+'[9]PLANILLA MENSUAL'!AY38</f>
        <v>1633.3333333333335</v>
      </c>
      <c r="H76" s="1374" t="s">
        <v>841</v>
      </c>
      <c r="I76" s="1368" t="s">
        <v>842</v>
      </c>
      <c r="J76" s="1375">
        <v>45747</v>
      </c>
      <c r="K76" s="1368" t="s">
        <v>843</v>
      </c>
      <c r="L76" s="1367"/>
    </row>
    <row r="77" spans="1:12" ht="12.95" customHeight="1">
      <c r="A77" s="1368" t="s">
        <v>863</v>
      </c>
      <c r="B77" s="1368" t="s">
        <v>864</v>
      </c>
      <c r="C77" s="1368" t="s">
        <v>881</v>
      </c>
      <c r="D77" s="1368" t="s">
        <v>272</v>
      </c>
      <c r="E77" s="1367"/>
      <c r="F77" s="1373"/>
      <c r="G77" s="1373">
        <f>+'[9]PLANILLA MENSUAL'!AY39</f>
        <v>999.86430555555557</v>
      </c>
      <c r="H77" s="1374" t="s">
        <v>841</v>
      </c>
      <c r="I77" s="1368" t="s">
        <v>842</v>
      </c>
      <c r="J77" s="1375">
        <v>45747</v>
      </c>
      <c r="K77" s="1368" t="s">
        <v>843</v>
      </c>
      <c r="L77" s="1367"/>
    </row>
    <row r="78" spans="1:12" ht="12.95" customHeight="1">
      <c r="A78" s="1368"/>
      <c r="B78" s="1368"/>
      <c r="C78" s="1368"/>
      <c r="D78" s="1368"/>
      <c r="E78" s="1367"/>
      <c r="F78" s="1373"/>
      <c r="G78" s="1373"/>
      <c r="H78" s="1374"/>
      <c r="I78" s="1368"/>
      <c r="J78" s="1375"/>
      <c r="K78" s="1368"/>
      <c r="L78" s="1367"/>
    </row>
    <row r="79" spans="1:12" ht="12.95" customHeight="1">
      <c r="A79" s="1368"/>
      <c r="B79" s="1368"/>
      <c r="C79" s="1368"/>
      <c r="D79" s="1368"/>
      <c r="E79" s="1367"/>
      <c r="F79" s="1373"/>
      <c r="G79" s="1373"/>
      <c r="H79" s="1374"/>
      <c r="I79" s="1368"/>
      <c r="J79" s="1375"/>
      <c r="K79" s="1368"/>
      <c r="L79" s="1367"/>
    </row>
    <row r="80" spans="1:12" ht="12.95" customHeight="1">
      <c r="A80" s="1368"/>
      <c r="B80" s="1368"/>
      <c r="C80" s="1368"/>
      <c r="D80" s="1368"/>
      <c r="E80" s="1367"/>
      <c r="F80" s="1373"/>
      <c r="G80" s="1373"/>
      <c r="H80" s="1374"/>
      <c r="I80" s="1368"/>
      <c r="J80" s="1375"/>
      <c r="K80" s="1368"/>
      <c r="L80" s="1367"/>
    </row>
    <row r="81" spans="1:19" ht="12.95" customHeight="1">
      <c r="A81" s="1368"/>
      <c r="B81" s="1368"/>
      <c r="C81" s="1368"/>
      <c r="D81" s="1368"/>
      <c r="E81" s="1367"/>
      <c r="F81" s="1373"/>
      <c r="G81" s="1373"/>
      <c r="H81" s="1374"/>
      <c r="I81" s="1368"/>
      <c r="J81" s="1375"/>
      <c r="K81" s="1368"/>
      <c r="L81" s="1367"/>
    </row>
    <row r="82" spans="1:19" ht="12.95" customHeight="1">
      <c r="A82" s="1368"/>
      <c r="B82" s="1368"/>
      <c r="C82" s="1368"/>
      <c r="D82" s="1368"/>
      <c r="E82" s="1367"/>
      <c r="F82" s="1373"/>
      <c r="G82" s="1373"/>
      <c r="H82" s="1374"/>
      <c r="I82" s="1368"/>
      <c r="J82" s="1375"/>
      <c r="K82" s="1368"/>
      <c r="L82" s="1367"/>
    </row>
    <row r="83" spans="1:19" ht="12.95" customHeight="1">
      <c r="A83" s="1368"/>
      <c r="B83" s="1368"/>
      <c r="C83" s="1368"/>
      <c r="D83" s="1368"/>
      <c r="E83" s="1367"/>
      <c r="F83" s="1373"/>
      <c r="G83" s="1373"/>
      <c r="H83" s="1374"/>
      <c r="I83" s="1368"/>
      <c r="J83" s="1375"/>
      <c r="K83" s="1368"/>
      <c r="L83" s="1367"/>
    </row>
    <row r="84" spans="1:19" ht="12.95" customHeight="1">
      <c r="A84" s="1368"/>
      <c r="B84" s="1368"/>
      <c r="C84" s="1368"/>
      <c r="D84" s="1368"/>
      <c r="E84" s="1367"/>
      <c r="F84" s="1373"/>
      <c r="G84" s="1373"/>
      <c r="H84" s="1374"/>
      <c r="I84" s="1368"/>
      <c r="J84" s="1375"/>
      <c r="K84" s="1368"/>
      <c r="L84" s="1367"/>
    </row>
    <row r="85" spans="1:19" ht="12.95" customHeight="1">
      <c r="A85" s="1377" t="s">
        <v>882</v>
      </c>
      <c r="B85" s="1368" t="s">
        <v>883</v>
      </c>
      <c r="C85" s="1378" t="s">
        <v>884</v>
      </c>
      <c r="D85" s="1368" t="s">
        <v>885</v>
      </c>
      <c r="E85" s="1367"/>
      <c r="F85" s="1373"/>
      <c r="G85" s="1373" t="e">
        <f>+'[9]PLANILLA MENSUAL'!#REF!</f>
        <v>#REF!</v>
      </c>
      <c r="H85" s="1374" t="s">
        <v>886</v>
      </c>
      <c r="I85" s="1368" t="s">
        <v>887</v>
      </c>
      <c r="J85" s="1375">
        <v>45747</v>
      </c>
      <c r="K85" s="1368" t="s">
        <v>843</v>
      </c>
      <c r="L85" s="1367"/>
      <c r="N85" s="1378">
        <v>10305226</v>
      </c>
      <c r="O85" s="1368" t="s">
        <v>201</v>
      </c>
      <c r="R85" s="1369">
        <v>302.92</v>
      </c>
      <c r="S85" s="1379" t="e">
        <f>+G85-R85</f>
        <v>#REF!</v>
      </c>
    </row>
    <row r="86" spans="1:19" ht="12.95" customHeight="1">
      <c r="A86" s="1377" t="s">
        <v>882</v>
      </c>
      <c r="B86" s="1368" t="s">
        <v>883</v>
      </c>
      <c r="C86" s="1378" t="s">
        <v>884</v>
      </c>
      <c r="D86" s="1368" t="s">
        <v>885</v>
      </c>
      <c r="E86" s="1367"/>
      <c r="F86" s="1373"/>
      <c r="G86" s="1373" t="e">
        <f>+'[9]PLANILLA MENSUAL'!#REF!</f>
        <v>#REF!</v>
      </c>
      <c r="H86" s="1374" t="s">
        <v>886</v>
      </c>
      <c r="I86" s="1368" t="s">
        <v>888</v>
      </c>
      <c r="J86" s="1375">
        <v>45747</v>
      </c>
      <c r="K86" s="1368" t="s">
        <v>843</v>
      </c>
      <c r="L86" s="1367"/>
      <c r="N86" s="1378">
        <v>9594953</v>
      </c>
      <c r="O86" s="1368" t="s">
        <v>205</v>
      </c>
      <c r="R86" s="1380">
        <f>543.33/2</f>
        <v>271.66500000000002</v>
      </c>
      <c r="S86" s="1379" t="e">
        <f>+G86-R86</f>
        <v>#REF!</v>
      </c>
    </row>
    <row r="87" spans="1:19" ht="12.95" customHeight="1">
      <c r="A87" s="1377" t="s">
        <v>882</v>
      </c>
      <c r="B87" s="1368" t="s">
        <v>883</v>
      </c>
      <c r="C87" s="1378" t="s">
        <v>884</v>
      </c>
      <c r="D87" s="1368" t="s">
        <v>885</v>
      </c>
      <c r="E87" s="1367"/>
      <c r="F87" s="1373"/>
      <c r="G87" s="1373" t="e">
        <f>+'[9]PLANILLA MENSUAL'!#REF!</f>
        <v>#REF!</v>
      </c>
      <c r="H87" s="1374" t="s">
        <v>886</v>
      </c>
      <c r="I87" s="1368" t="s">
        <v>889</v>
      </c>
      <c r="J87" s="1375">
        <v>45747</v>
      </c>
      <c r="K87" s="1368" t="s">
        <v>843</v>
      </c>
      <c r="L87" s="1367"/>
      <c r="N87" s="1378">
        <v>44425022</v>
      </c>
      <c r="O87" s="1368" t="s">
        <v>214</v>
      </c>
      <c r="R87" s="1369">
        <v>158.34</v>
      </c>
      <c r="S87" s="1379" t="e">
        <f>+G87-R87</f>
        <v>#REF!</v>
      </c>
    </row>
    <row r="88" spans="1:19" ht="12.95" customHeight="1">
      <c r="A88" s="1377" t="s">
        <v>882</v>
      </c>
      <c r="B88" s="1368" t="s">
        <v>883</v>
      </c>
      <c r="C88" s="1378" t="s">
        <v>884</v>
      </c>
      <c r="D88" s="1368" t="s">
        <v>885</v>
      </c>
      <c r="E88" s="1367"/>
      <c r="F88" s="1373"/>
      <c r="G88" s="1373" t="e">
        <f>+'[9]PLANILLA MENSUAL'!#REF!</f>
        <v>#REF!</v>
      </c>
      <c r="H88" s="1374" t="s">
        <v>886</v>
      </c>
      <c r="I88" s="1368" t="s">
        <v>890</v>
      </c>
      <c r="J88" s="1375">
        <v>45747</v>
      </c>
      <c r="K88" s="1368" t="s">
        <v>843</v>
      </c>
      <c r="L88" s="1367"/>
      <c r="N88" s="1378">
        <v>43172155</v>
      </c>
      <c r="O88" s="1368" t="s">
        <v>217</v>
      </c>
      <c r="R88" s="1369">
        <v>285</v>
      </c>
      <c r="S88" s="1379" t="e">
        <f>+G88-R88</f>
        <v>#REF!</v>
      </c>
    </row>
    <row r="89" spans="1:19" s="1388" customFormat="1" ht="12.95" customHeight="1">
      <c r="A89" s="1381" t="s">
        <v>882</v>
      </c>
      <c r="B89" s="1382" t="s">
        <v>883</v>
      </c>
      <c r="C89" s="1383" t="s">
        <v>875</v>
      </c>
      <c r="D89" s="1382" t="s">
        <v>249</v>
      </c>
      <c r="E89" s="1384"/>
      <c r="F89" s="1385"/>
      <c r="G89" s="1385">
        <f>+'[9]PLANILLA MENSUAL'!BB29</f>
        <v>0</v>
      </c>
      <c r="H89" s="1386" t="s">
        <v>841</v>
      </c>
      <c r="I89" s="1382" t="s">
        <v>842</v>
      </c>
      <c r="J89" s="1387">
        <v>45747</v>
      </c>
      <c r="K89" s="1382" t="s">
        <v>843</v>
      </c>
      <c r="L89" s="1384"/>
      <c r="N89" s="1388" t="s">
        <v>891</v>
      </c>
    </row>
    <row r="90" spans="1:19" ht="12.95" customHeight="1">
      <c r="A90" s="1378" t="s">
        <v>863</v>
      </c>
      <c r="B90" s="1378" t="s">
        <v>864</v>
      </c>
      <c r="C90" s="1368" t="s">
        <v>309</v>
      </c>
      <c r="D90" s="1368" t="s">
        <v>251</v>
      </c>
      <c r="E90" s="1367"/>
      <c r="F90" s="1373"/>
      <c r="G90" s="1373">
        <f>+'[9]PLANILLA MENSUAL'!BB30</f>
        <v>0</v>
      </c>
      <c r="H90" s="1374" t="s">
        <v>841</v>
      </c>
      <c r="I90" s="1368" t="s">
        <v>892</v>
      </c>
      <c r="J90" s="1375">
        <v>45747</v>
      </c>
      <c r="K90" s="1368" t="s">
        <v>843</v>
      </c>
      <c r="L90" s="1367"/>
    </row>
    <row r="91" spans="1:19" ht="12.95" customHeight="1">
      <c r="A91" s="1368" t="s">
        <v>893</v>
      </c>
      <c r="B91" s="1368" t="s">
        <v>894</v>
      </c>
      <c r="C91" s="1368" t="s">
        <v>895</v>
      </c>
      <c r="D91" s="1368" t="s">
        <v>896</v>
      </c>
      <c r="E91" s="1367"/>
      <c r="F91" s="1373"/>
      <c r="G91" s="1385">
        <f>+'[9]PLANILLA MENSUAL'!BE54</f>
        <v>-11422.285143478852</v>
      </c>
      <c r="H91" s="1374" t="s">
        <v>841</v>
      </c>
      <c r="I91" s="1368" t="s">
        <v>842</v>
      </c>
      <c r="J91" s="1375">
        <v>45747</v>
      </c>
      <c r="K91" s="1368" t="s">
        <v>843</v>
      </c>
      <c r="L91" s="1367"/>
    </row>
    <row r="92" spans="1:19" ht="12.95" customHeight="1">
      <c r="A92" s="1368" t="s">
        <v>897</v>
      </c>
      <c r="B92" s="1368" t="s">
        <v>11</v>
      </c>
      <c r="C92" s="1368" t="s">
        <v>895</v>
      </c>
      <c r="D92" s="1368" t="s">
        <v>896</v>
      </c>
      <c r="E92" s="1367"/>
      <c r="F92" s="1373"/>
      <c r="G92" s="1389">
        <f>+'[9]PLANILLA MENSUAL'!AT66</f>
        <v>12926.042308079665</v>
      </c>
      <c r="H92" s="1374" t="s">
        <v>841</v>
      </c>
      <c r="I92" s="1368" t="s">
        <v>842</v>
      </c>
      <c r="J92" s="1375">
        <v>45747</v>
      </c>
      <c r="K92" s="1368" t="s">
        <v>843</v>
      </c>
      <c r="L92" s="1367"/>
    </row>
    <row r="93" spans="1:19" ht="12.95" customHeight="1">
      <c r="A93" s="1368" t="s">
        <v>898</v>
      </c>
      <c r="B93" s="1368" t="s">
        <v>144</v>
      </c>
      <c r="C93" s="1368" t="s">
        <v>895</v>
      </c>
      <c r="D93" s="1368" t="s">
        <v>896</v>
      </c>
      <c r="E93" s="1367"/>
      <c r="F93" s="1373"/>
      <c r="G93" s="1389">
        <f>+'[9]PLANILLA MENSUAL'!AT65</f>
        <v>3018.4661192355934</v>
      </c>
      <c r="H93" s="1374" t="s">
        <v>841</v>
      </c>
      <c r="I93" s="1368" t="s">
        <v>842</v>
      </c>
      <c r="J93" s="1375">
        <v>45747</v>
      </c>
      <c r="K93" s="1368" t="s">
        <v>843</v>
      </c>
      <c r="L93" s="1367"/>
    </row>
    <row r="94" spans="1:19" ht="12.95" customHeight="1">
      <c r="A94" s="1368" t="s">
        <v>899</v>
      </c>
      <c r="B94" s="1368" t="s">
        <v>900</v>
      </c>
      <c r="C94" s="1368" t="s">
        <v>901</v>
      </c>
      <c r="D94" s="1368" t="s">
        <v>72</v>
      </c>
      <c r="E94" s="1367"/>
      <c r="F94" s="1373"/>
      <c r="G94" s="1373">
        <f>+'[9]PLANILLA MENSUAL'!AT68</f>
        <v>4452.7931506768364</v>
      </c>
      <c r="H94" s="1374" t="s">
        <v>841</v>
      </c>
      <c r="I94" s="1368" t="s">
        <v>842</v>
      </c>
      <c r="J94" s="1375">
        <v>45747</v>
      </c>
      <c r="K94" s="1368" t="s">
        <v>843</v>
      </c>
      <c r="L94" s="1367"/>
    </row>
    <row r="95" spans="1:19" ht="12.95" customHeight="1">
      <c r="A95" s="1368" t="s">
        <v>902</v>
      </c>
      <c r="B95" s="1368" t="s">
        <v>903</v>
      </c>
      <c r="C95" s="1368" t="s">
        <v>904</v>
      </c>
      <c r="D95" s="1368" t="s">
        <v>71</v>
      </c>
      <c r="E95" s="1367"/>
      <c r="F95" s="1373"/>
      <c r="G95" s="1373">
        <f>+'[9]PLANILLA MENSUAL'!AT69</f>
        <v>7711.2219980968639</v>
      </c>
      <c r="H95" s="1374" t="s">
        <v>841</v>
      </c>
      <c r="I95" s="1368" t="s">
        <v>842</v>
      </c>
      <c r="J95" s="1375">
        <v>45747</v>
      </c>
      <c r="K95" s="1368" t="s">
        <v>843</v>
      </c>
      <c r="L95" s="1367"/>
    </row>
    <row r="96" spans="1:19" ht="12.95" customHeight="1">
      <c r="A96" s="1368" t="s">
        <v>905</v>
      </c>
      <c r="B96" s="1368" t="s">
        <v>906</v>
      </c>
      <c r="C96" s="1368" t="s">
        <v>907</v>
      </c>
      <c r="D96" s="1368" t="s">
        <v>73</v>
      </c>
      <c r="E96" s="1367"/>
      <c r="F96" s="1373"/>
      <c r="G96" s="1373">
        <f>+'[9]PLANILLA MENSUAL'!AT70</f>
        <v>1404.8772000000001</v>
      </c>
      <c r="H96" s="1374" t="s">
        <v>841</v>
      </c>
      <c r="I96" s="1368" t="s">
        <v>842</v>
      </c>
      <c r="J96" s="1375">
        <v>45747</v>
      </c>
      <c r="K96" s="1368" t="s">
        <v>843</v>
      </c>
      <c r="L96" s="1367"/>
    </row>
    <row r="97" spans="1:12" ht="12.95" customHeight="1">
      <c r="A97" s="1368" t="s">
        <v>908</v>
      </c>
      <c r="B97" s="1368" t="s">
        <v>909</v>
      </c>
      <c r="C97" s="1368" t="s">
        <v>910</v>
      </c>
      <c r="D97" s="1368" t="s">
        <v>911</v>
      </c>
      <c r="E97" s="1367"/>
      <c r="F97" s="1373"/>
      <c r="G97" s="1373">
        <f>+'[9]PLANILLA MENSUAL'!AT71</f>
        <v>626.82810000000006</v>
      </c>
      <c r="H97" s="1374" t="s">
        <v>841</v>
      </c>
      <c r="I97" s="1368" t="s">
        <v>842</v>
      </c>
      <c r="J97" s="1375">
        <v>45747</v>
      </c>
      <c r="K97" s="1368" t="s">
        <v>843</v>
      </c>
      <c r="L97" s="1367"/>
    </row>
    <row r="98" spans="1:12" ht="12.95" customHeight="1">
      <c r="A98" s="1377" t="s">
        <v>912</v>
      </c>
      <c r="B98" s="1368" t="s">
        <v>840</v>
      </c>
      <c r="C98" s="1368" t="s">
        <v>865</v>
      </c>
      <c r="D98" s="1368" t="s">
        <v>201</v>
      </c>
      <c r="E98" s="1367"/>
      <c r="F98" s="1373"/>
      <c r="G98" s="1373">
        <f>+'[9]PLANILLA MENSUAL'!BG12</f>
        <v>7600.2169711730094</v>
      </c>
      <c r="H98" s="1374" t="s">
        <v>841</v>
      </c>
      <c r="I98" s="1368" t="s">
        <v>842</v>
      </c>
      <c r="J98" s="1375">
        <v>45747</v>
      </c>
      <c r="K98" s="1368" t="s">
        <v>843</v>
      </c>
      <c r="L98" s="1367"/>
    </row>
    <row r="99" spans="1:12" ht="12.95" customHeight="1">
      <c r="A99" s="1377" t="s">
        <v>912</v>
      </c>
      <c r="B99" s="1368" t="s">
        <v>840</v>
      </c>
      <c r="C99" s="1376" t="s">
        <v>866</v>
      </c>
      <c r="D99" s="1368" t="s">
        <v>205</v>
      </c>
      <c r="E99" s="1367"/>
      <c r="F99" s="1373"/>
      <c r="G99" s="1373">
        <f>+'[9]PLANILLA MENSUAL'!BG13</f>
        <v>2483.2015271960081</v>
      </c>
      <c r="H99" s="1374" t="s">
        <v>841</v>
      </c>
      <c r="I99" s="1368" t="s">
        <v>842</v>
      </c>
      <c r="J99" s="1375">
        <v>45747</v>
      </c>
      <c r="K99" s="1368" t="s">
        <v>843</v>
      </c>
      <c r="L99" s="1367"/>
    </row>
    <row r="100" spans="1:12" ht="12.95" customHeight="1">
      <c r="A100" s="1377" t="s">
        <v>912</v>
      </c>
      <c r="B100" s="1368" t="s">
        <v>840</v>
      </c>
      <c r="C100" s="1368" t="s">
        <v>310</v>
      </c>
      <c r="D100" s="1368" t="s">
        <v>208</v>
      </c>
      <c r="E100" s="1367"/>
      <c r="F100" s="1373"/>
      <c r="G100" s="1373">
        <f>+'[9]PLANILLA MENSUAL'!BG14</f>
        <v>1718.2537659090913</v>
      </c>
      <c r="H100" s="1374" t="s">
        <v>841</v>
      </c>
      <c r="I100" s="1368" t="s">
        <v>842</v>
      </c>
      <c r="J100" s="1375">
        <v>45747</v>
      </c>
      <c r="K100" s="1368" t="s">
        <v>843</v>
      </c>
      <c r="L100" s="1367"/>
    </row>
    <row r="101" spans="1:12" ht="12.95" customHeight="1">
      <c r="A101" s="1377" t="s">
        <v>912</v>
      </c>
      <c r="B101" s="1368" t="s">
        <v>840</v>
      </c>
      <c r="C101" s="1368" t="s">
        <v>867</v>
      </c>
      <c r="D101" s="1368" t="s">
        <v>211</v>
      </c>
      <c r="E101" s="1367"/>
      <c r="F101" s="1373"/>
      <c r="G101" s="1373">
        <f>+'[9]PLANILLA MENSUAL'!BG15</f>
        <v>1821.9270438852809</v>
      </c>
      <c r="H101" s="1374" t="s">
        <v>841</v>
      </c>
      <c r="I101" s="1368" t="s">
        <v>842</v>
      </c>
      <c r="J101" s="1375">
        <v>45747</v>
      </c>
      <c r="K101" s="1368" t="s">
        <v>843</v>
      </c>
      <c r="L101" s="1367"/>
    </row>
    <row r="102" spans="1:12" ht="12.95" customHeight="1">
      <c r="A102" s="1377" t="s">
        <v>912</v>
      </c>
      <c r="B102" s="1368" t="s">
        <v>840</v>
      </c>
      <c r="C102" s="1368" t="s">
        <v>868</v>
      </c>
      <c r="D102" s="1368" t="s">
        <v>214</v>
      </c>
      <c r="E102" s="1367"/>
      <c r="F102" s="1373"/>
      <c r="G102" s="1373">
        <f>+'[9]PLANILLA MENSUAL'!BG16</f>
        <v>1975.2048631594389</v>
      </c>
      <c r="H102" s="1374" t="s">
        <v>841</v>
      </c>
      <c r="I102" s="1368" t="s">
        <v>842</v>
      </c>
      <c r="J102" s="1375">
        <v>45747</v>
      </c>
      <c r="K102" s="1368" t="s">
        <v>843</v>
      </c>
      <c r="L102" s="1367"/>
    </row>
    <row r="103" spans="1:12" ht="12.95" customHeight="1">
      <c r="A103" s="1377" t="s">
        <v>912</v>
      </c>
      <c r="B103" s="1368" t="s">
        <v>840</v>
      </c>
      <c r="C103" s="1368" t="s">
        <v>869</v>
      </c>
      <c r="D103" s="1368" t="s">
        <v>217</v>
      </c>
      <c r="E103" s="1367"/>
      <c r="F103" s="1373"/>
      <c r="G103" s="1373">
        <f>+'[9]PLANILLA MENSUAL'!BG17</f>
        <v>1355.3325919491526</v>
      </c>
      <c r="H103" s="1374" t="s">
        <v>841</v>
      </c>
      <c r="I103" s="1368" t="s">
        <v>842</v>
      </c>
      <c r="J103" s="1375">
        <v>45747</v>
      </c>
      <c r="K103" s="1368" t="s">
        <v>843</v>
      </c>
      <c r="L103" s="1367"/>
    </row>
    <row r="104" spans="1:12" ht="12.95" customHeight="1">
      <c r="A104" s="1377" t="s">
        <v>912</v>
      </c>
      <c r="B104" s="1368" t="s">
        <v>840</v>
      </c>
      <c r="C104" s="1368" t="s">
        <v>870</v>
      </c>
      <c r="D104" s="1368" t="s">
        <v>219</v>
      </c>
      <c r="E104" s="1367"/>
      <c r="F104" s="1373"/>
      <c r="G104" s="1373">
        <f>+'[9]PLANILLA MENSUAL'!BG18</f>
        <v>6474.1597730558206</v>
      </c>
      <c r="H104" s="1374" t="s">
        <v>841</v>
      </c>
      <c r="I104" s="1368" t="s">
        <v>842</v>
      </c>
      <c r="J104" s="1375">
        <v>45747</v>
      </c>
      <c r="K104" s="1368" t="s">
        <v>843</v>
      </c>
      <c r="L104" s="1367"/>
    </row>
    <row r="105" spans="1:12" ht="12.95" customHeight="1">
      <c r="A105" s="1377" t="s">
        <v>912</v>
      </c>
      <c r="B105" s="1368" t="s">
        <v>840</v>
      </c>
      <c r="C105" s="1368" t="s">
        <v>871</v>
      </c>
      <c r="D105" s="1368" t="s">
        <v>221</v>
      </c>
      <c r="E105" s="1367"/>
      <c r="F105" s="1373"/>
      <c r="G105" s="1373">
        <f>+'[9]PLANILLA MENSUAL'!BG19</f>
        <v>1836.297503701498</v>
      </c>
      <c r="H105" s="1374" t="s">
        <v>841</v>
      </c>
      <c r="I105" s="1368" t="s">
        <v>842</v>
      </c>
      <c r="J105" s="1375">
        <v>45747</v>
      </c>
      <c r="K105" s="1368" t="s">
        <v>843</v>
      </c>
      <c r="L105" s="1367"/>
    </row>
    <row r="106" spans="1:12" ht="12.95" customHeight="1">
      <c r="A106" s="1377" t="s">
        <v>912</v>
      </c>
      <c r="B106" s="1368" t="s">
        <v>840</v>
      </c>
      <c r="C106" s="1368" t="s">
        <v>872</v>
      </c>
      <c r="D106" s="1368" t="s">
        <v>223</v>
      </c>
      <c r="E106" s="1367"/>
      <c r="F106" s="1373"/>
      <c r="G106" s="1373">
        <f>+'[9]PLANILLA MENSUAL'!BG20</f>
        <v>1070.766594610589</v>
      </c>
      <c r="H106" s="1374" t="s">
        <v>841</v>
      </c>
      <c r="I106" s="1368" t="s">
        <v>842</v>
      </c>
      <c r="J106" s="1375">
        <v>45747</v>
      </c>
      <c r="K106" s="1368" t="s">
        <v>843</v>
      </c>
      <c r="L106" s="1367"/>
    </row>
    <row r="107" spans="1:12" ht="12.95" customHeight="1">
      <c r="A107" s="1377" t="s">
        <v>912</v>
      </c>
      <c r="B107" s="1368" t="s">
        <v>840</v>
      </c>
      <c r="C107" s="1368" t="s">
        <v>860</v>
      </c>
      <c r="D107" s="1368" t="s">
        <v>226</v>
      </c>
      <c r="E107" s="1367"/>
      <c r="F107" s="1373"/>
      <c r="G107" s="1373">
        <f>+'[9]PLANILLA MENSUAL'!BG21</f>
        <v>613.00390000000016</v>
      </c>
      <c r="H107" s="1374" t="s">
        <v>841</v>
      </c>
      <c r="I107" s="1368" t="s">
        <v>842</v>
      </c>
      <c r="J107" s="1375">
        <v>45747</v>
      </c>
      <c r="K107" s="1368" t="s">
        <v>843</v>
      </c>
      <c r="L107" s="1367"/>
    </row>
    <row r="108" spans="1:12" ht="12.95" customHeight="1">
      <c r="A108" s="1377" t="s">
        <v>912</v>
      </c>
      <c r="B108" s="1368" t="s">
        <v>840</v>
      </c>
      <c r="C108" s="1368" t="s">
        <v>311</v>
      </c>
      <c r="D108" s="1368" t="s">
        <v>228</v>
      </c>
      <c r="E108" s="1367"/>
      <c r="F108" s="1373"/>
      <c r="G108" s="1373">
        <f>+'[9]PLANILLA MENSUAL'!BG22</f>
        <v>4262.5647098332947</v>
      </c>
      <c r="H108" s="1374" t="s">
        <v>841</v>
      </c>
      <c r="I108" s="1368" t="s">
        <v>842</v>
      </c>
      <c r="J108" s="1375">
        <v>45747</v>
      </c>
      <c r="K108" s="1368" t="s">
        <v>843</v>
      </c>
      <c r="L108" s="1367"/>
    </row>
    <row r="109" spans="1:12" ht="12.95" customHeight="1">
      <c r="A109" s="1377" t="s">
        <v>912</v>
      </c>
      <c r="B109" s="1368" t="s">
        <v>840</v>
      </c>
      <c r="C109" s="1368" t="s">
        <v>231</v>
      </c>
      <c r="D109" s="1368" t="s">
        <v>230</v>
      </c>
      <c r="E109" s="1367"/>
      <c r="F109" s="1373"/>
      <c r="G109" s="1373">
        <f>+'[9]PLANILLA MENSUAL'!BG23</f>
        <v>719.60190000000011</v>
      </c>
      <c r="H109" s="1374" t="s">
        <v>841</v>
      </c>
      <c r="I109" s="1368" t="s">
        <v>842</v>
      </c>
      <c r="J109" s="1375">
        <v>45747</v>
      </c>
      <c r="K109" s="1368" t="s">
        <v>843</v>
      </c>
      <c r="L109" s="1367"/>
    </row>
    <row r="110" spans="1:12" ht="12.95" customHeight="1">
      <c r="A110" s="1377" t="s">
        <v>912</v>
      </c>
      <c r="B110" s="1368" t="s">
        <v>840</v>
      </c>
      <c r="C110" s="1368" t="s">
        <v>235</v>
      </c>
      <c r="D110" s="1368" t="s">
        <v>234</v>
      </c>
      <c r="E110" s="1367"/>
      <c r="F110" s="1373"/>
      <c r="G110" s="1373">
        <f>+'[9]PLANILLA MENSUAL'!BG24</f>
        <v>1143.4047345240092</v>
      </c>
      <c r="H110" s="1374" t="s">
        <v>841</v>
      </c>
      <c r="I110" s="1368" t="s">
        <v>842</v>
      </c>
      <c r="J110" s="1375">
        <v>45747</v>
      </c>
      <c r="K110" s="1368" t="s">
        <v>843</v>
      </c>
      <c r="L110" s="1367"/>
    </row>
    <row r="111" spans="1:12" ht="12.95" customHeight="1">
      <c r="A111" s="1377" t="s">
        <v>912</v>
      </c>
      <c r="B111" s="1368" t="s">
        <v>840</v>
      </c>
      <c r="C111" s="1368" t="s">
        <v>239</v>
      </c>
      <c r="D111" s="1368" t="s">
        <v>238</v>
      </c>
      <c r="E111" s="1367"/>
      <c r="F111" s="1373"/>
      <c r="G111" s="1373" t="e">
        <f>+'[9]PLANILLA MENSUAL'!#REF!</f>
        <v>#REF!</v>
      </c>
      <c r="H111" s="1374" t="s">
        <v>841</v>
      </c>
      <c r="I111" s="1368" t="s">
        <v>842</v>
      </c>
      <c r="J111" s="1375">
        <v>45747</v>
      </c>
      <c r="K111" s="1368" t="s">
        <v>843</v>
      </c>
      <c r="L111" s="1367"/>
    </row>
    <row r="112" spans="1:12" ht="12.95" customHeight="1">
      <c r="A112" s="1377" t="s">
        <v>912</v>
      </c>
      <c r="B112" s="1368" t="s">
        <v>840</v>
      </c>
      <c r="C112" s="1376" t="s">
        <v>242</v>
      </c>
      <c r="D112" s="1368" t="s">
        <v>241</v>
      </c>
      <c r="E112" s="1367"/>
      <c r="F112" s="1373"/>
      <c r="G112" s="1373">
        <f>+'[9]PLANILLA MENSUAL'!BG25</f>
        <v>1331.9097689828832</v>
      </c>
      <c r="H112" s="1374" t="s">
        <v>841</v>
      </c>
      <c r="I112" s="1368" t="s">
        <v>842</v>
      </c>
      <c r="J112" s="1375">
        <v>45747</v>
      </c>
      <c r="K112" s="1368" t="s">
        <v>843</v>
      </c>
      <c r="L112" s="1367"/>
    </row>
    <row r="113" spans="1:12" ht="12.95" customHeight="1">
      <c r="A113" s="1377" t="s">
        <v>912</v>
      </c>
      <c r="B113" s="1368" t="s">
        <v>840</v>
      </c>
      <c r="C113" s="1368" t="s">
        <v>244</v>
      </c>
      <c r="D113" s="1368" t="s">
        <v>243</v>
      </c>
      <c r="E113" s="1367"/>
      <c r="F113" s="1373"/>
      <c r="G113" s="1373">
        <f>+'[9]PLANILLA MENSUAL'!BG26</f>
        <v>1366.0950000000003</v>
      </c>
      <c r="H113" s="1374" t="s">
        <v>841</v>
      </c>
      <c r="I113" s="1368" t="s">
        <v>842</v>
      </c>
      <c r="J113" s="1375">
        <v>45747</v>
      </c>
      <c r="K113" s="1368" t="s">
        <v>843</v>
      </c>
      <c r="L113" s="1367"/>
    </row>
    <row r="114" spans="1:12" ht="12.95" customHeight="1">
      <c r="A114" s="1377" t="s">
        <v>912</v>
      </c>
      <c r="B114" s="1368" t="s">
        <v>840</v>
      </c>
      <c r="C114" s="1368" t="s">
        <v>873</v>
      </c>
      <c r="D114" s="1368" t="s">
        <v>245</v>
      </c>
      <c r="E114" s="1367"/>
      <c r="F114" s="1373"/>
      <c r="G114" s="1373">
        <f>+'[9]PLANILLA MENSUAL'!BG27</f>
        <v>1836.1624159791509</v>
      </c>
      <c r="H114" s="1374" t="s">
        <v>841</v>
      </c>
      <c r="I114" s="1368" t="s">
        <v>842</v>
      </c>
      <c r="J114" s="1375">
        <v>45747</v>
      </c>
      <c r="K114" s="1368" t="s">
        <v>843</v>
      </c>
      <c r="L114" s="1367"/>
    </row>
    <row r="115" spans="1:12" ht="12.95" customHeight="1">
      <c r="A115" s="1377" t="s">
        <v>912</v>
      </c>
      <c r="B115" s="1368" t="s">
        <v>840</v>
      </c>
      <c r="C115" s="1368" t="s">
        <v>874</v>
      </c>
      <c r="D115" s="1368" t="s">
        <v>247</v>
      </c>
      <c r="E115" s="1367"/>
      <c r="F115" s="1373"/>
      <c r="G115" s="1373">
        <f>+'[9]PLANILLA MENSUAL'!BG28</f>
        <v>1255.0969999999998</v>
      </c>
      <c r="H115" s="1374" t="s">
        <v>841</v>
      </c>
      <c r="I115" s="1368" t="s">
        <v>842</v>
      </c>
      <c r="J115" s="1375">
        <v>45747</v>
      </c>
      <c r="K115" s="1368" t="s">
        <v>843</v>
      </c>
      <c r="L115" s="1367"/>
    </row>
    <row r="116" spans="1:12" ht="12.95" customHeight="1">
      <c r="A116" s="1377" t="s">
        <v>912</v>
      </c>
      <c r="B116" s="1368" t="s">
        <v>840</v>
      </c>
      <c r="C116" s="1368" t="s">
        <v>875</v>
      </c>
      <c r="D116" s="1368" t="s">
        <v>249</v>
      </c>
      <c r="E116" s="1367"/>
      <c r="F116" s="1373"/>
      <c r="G116" s="1373">
        <f>+'[9]PLANILLA MENSUAL'!BG29</f>
        <v>470.74</v>
      </c>
      <c r="H116" s="1374" t="s">
        <v>841</v>
      </c>
      <c r="I116" s="1368" t="s">
        <v>842</v>
      </c>
      <c r="J116" s="1375">
        <v>45747</v>
      </c>
      <c r="K116" s="1368" t="s">
        <v>843</v>
      </c>
      <c r="L116" s="1367"/>
    </row>
    <row r="117" spans="1:12" ht="12.95" customHeight="1">
      <c r="A117" s="1377" t="s">
        <v>912</v>
      </c>
      <c r="B117" s="1368" t="s">
        <v>840</v>
      </c>
      <c r="C117" s="1368" t="s">
        <v>309</v>
      </c>
      <c r="D117" s="1368" t="s">
        <v>251</v>
      </c>
      <c r="E117" s="1367"/>
      <c r="F117" s="1373"/>
      <c r="G117" s="1373">
        <f>+'[9]PLANILLA MENSUAL'!BG30</f>
        <v>723.73020833333385</v>
      </c>
      <c r="H117" s="1374" t="s">
        <v>841</v>
      </c>
      <c r="I117" s="1368" t="s">
        <v>842</v>
      </c>
      <c r="J117" s="1375">
        <v>45747</v>
      </c>
      <c r="K117" s="1368" t="s">
        <v>843</v>
      </c>
      <c r="L117" s="1367"/>
    </row>
    <row r="118" spans="1:12" ht="12.95" customHeight="1">
      <c r="A118" s="1377" t="s">
        <v>912</v>
      </c>
      <c r="B118" s="1368" t="s">
        <v>840</v>
      </c>
      <c r="C118" s="1368" t="s">
        <v>254</v>
      </c>
      <c r="D118" s="1368" t="s">
        <v>253</v>
      </c>
      <c r="E118" s="1367"/>
      <c r="F118" s="1373"/>
      <c r="G118" s="1373">
        <f>+'[9]PLANILLA MENSUAL'!BG31</f>
        <v>1133.1865946105891</v>
      </c>
      <c r="H118" s="1374" t="s">
        <v>841</v>
      </c>
      <c r="I118" s="1368" t="s">
        <v>842</v>
      </c>
      <c r="J118" s="1375">
        <v>45747</v>
      </c>
      <c r="K118" s="1368" t="s">
        <v>843</v>
      </c>
      <c r="L118" s="1367"/>
    </row>
    <row r="119" spans="1:12" ht="12.95" customHeight="1">
      <c r="A119" s="1377" t="s">
        <v>912</v>
      </c>
      <c r="B119" s="1368" t="s">
        <v>840</v>
      </c>
      <c r="C119" s="1368" t="s">
        <v>257</v>
      </c>
      <c r="D119" s="1368" t="s">
        <v>256</v>
      </c>
      <c r="E119" s="1367"/>
      <c r="F119" s="1373"/>
      <c r="G119" s="1373">
        <f>+'[9]PLANILLA MENSUAL'!BG32</f>
        <v>1115.75</v>
      </c>
      <c r="H119" s="1374" t="s">
        <v>841</v>
      </c>
      <c r="I119" s="1368" t="s">
        <v>842</v>
      </c>
      <c r="J119" s="1375">
        <v>45747</v>
      </c>
      <c r="K119" s="1368" t="s">
        <v>843</v>
      </c>
      <c r="L119" s="1367"/>
    </row>
    <row r="120" spans="1:12" ht="12.95" customHeight="1">
      <c r="A120" s="1377" t="s">
        <v>912</v>
      </c>
      <c r="B120" s="1368" t="s">
        <v>840</v>
      </c>
      <c r="C120" s="1368" t="s">
        <v>260</v>
      </c>
      <c r="D120" s="1368" t="s">
        <v>259</v>
      </c>
      <c r="E120" s="1367"/>
      <c r="F120" s="1373"/>
      <c r="G120" s="1373">
        <f>+'[9]PLANILLA MENSUAL'!BG33</f>
        <v>1115.75</v>
      </c>
      <c r="H120" s="1374" t="s">
        <v>841</v>
      </c>
      <c r="I120" s="1368" t="s">
        <v>842</v>
      </c>
      <c r="J120" s="1375">
        <v>45747</v>
      </c>
      <c r="K120" s="1368" t="s">
        <v>843</v>
      </c>
      <c r="L120" s="1367"/>
    </row>
    <row r="121" spans="1:12" ht="12.95" customHeight="1">
      <c r="A121" s="1377" t="s">
        <v>912</v>
      </c>
      <c r="B121" s="1368" t="s">
        <v>840</v>
      </c>
      <c r="C121" s="1368" t="s">
        <v>876</v>
      </c>
      <c r="D121" s="1368" t="s">
        <v>261</v>
      </c>
      <c r="E121" s="1367"/>
      <c r="F121" s="1373"/>
      <c r="G121" s="1373">
        <f>+'[9]PLANILLA MENSUAL'!BG34</f>
        <v>1115.75</v>
      </c>
      <c r="H121" s="1374" t="s">
        <v>841</v>
      </c>
      <c r="I121" s="1368" t="s">
        <v>842</v>
      </c>
      <c r="J121" s="1375">
        <v>45747</v>
      </c>
      <c r="K121" s="1368" t="s">
        <v>843</v>
      </c>
      <c r="L121" s="1367"/>
    </row>
    <row r="122" spans="1:12" ht="12.95" customHeight="1">
      <c r="A122" s="1377" t="s">
        <v>912</v>
      </c>
      <c r="B122" s="1368" t="s">
        <v>840</v>
      </c>
      <c r="C122" s="1368" t="s">
        <v>877</v>
      </c>
      <c r="D122" s="1368" t="s">
        <v>878</v>
      </c>
      <c r="E122" s="1367"/>
      <c r="F122" s="1373"/>
      <c r="G122" s="1373">
        <f>+'[9]PLANILLA MENSUAL'!BG35</f>
        <v>1035.1026963055042</v>
      </c>
      <c r="H122" s="1374" t="s">
        <v>841</v>
      </c>
      <c r="I122" s="1368" t="s">
        <v>842</v>
      </c>
      <c r="J122" s="1375">
        <v>45747</v>
      </c>
      <c r="K122" s="1368" t="s">
        <v>843</v>
      </c>
      <c r="L122" s="1367"/>
    </row>
    <row r="123" spans="1:12" ht="12.95" customHeight="1">
      <c r="A123" s="1377" t="s">
        <v>912</v>
      </c>
      <c r="B123" s="1368" t="s">
        <v>840</v>
      </c>
      <c r="C123" s="1368" t="s">
        <v>268</v>
      </c>
      <c r="D123" s="1368" t="s">
        <v>879</v>
      </c>
      <c r="E123" s="1367"/>
      <c r="F123" s="1373"/>
      <c r="G123" s="1373">
        <f>+'[9]PLANILLA MENSUAL'!BG36</f>
        <v>2561.4771363719246</v>
      </c>
      <c r="H123" s="1374" t="s">
        <v>841</v>
      </c>
      <c r="I123" s="1368" t="s">
        <v>842</v>
      </c>
      <c r="J123" s="1375">
        <v>45747</v>
      </c>
      <c r="K123" s="1368" t="s">
        <v>843</v>
      </c>
      <c r="L123" s="1367"/>
    </row>
    <row r="124" spans="1:12" ht="12.95" customHeight="1">
      <c r="A124" s="1377" t="s">
        <v>912</v>
      </c>
      <c r="B124" s="1368" t="s">
        <v>840</v>
      </c>
      <c r="C124" s="1368" t="s">
        <v>312</v>
      </c>
      <c r="D124" s="1368" t="s">
        <v>269</v>
      </c>
      <c r="E124" s="1367"/>
      <c r="F124" s="1373"/>
      <c r="G124" s="1373">
        <f>+'[9]PLANILLA MENSUAL'!BG37</f>
        <v>1671.0850420249999</v>
      </c>
      <c r="H124" s="1374" t="s">
        <v>841</v>
      </c>
      <c r="I124" s="1368" t="s">
        <v>842</v>
      </c>
      <c r="J124" s="1375">
        <v>45747</v>
      </c>
      <c r="K124" s="1368" t="s">
        <v>843</v>
      </c>
      <c r="L124" s="1367"/>
    </row>
    <row r="125" spans="1:12" ht="12.95" customHeight="1">
      <c r="A125" s="1377" t="s">
        <v>912</v>
      </c>
      <c r="B125" s="1368" t="s">
        <v>840</v>
      </c>
      <c r="C125" s="1368" t="s">
        <v>313</v>
      </c>
      <c r="D125" s="1368" t="s">
        <v>314</v>
      </c>
      <c r="E125" s="1367"/>
      <c r="F125" s="1373"/>
      <c r="G125" s="1373" t="e">
        <f>+'[9]PLANILLA MENSUAL'!#REF!</f>
        <v>#REF!</v>
      </c>
      <c r="H125" s="1374" t="s">
        <v>841</v>
      </c>
      <c r="I125" s="1368" t="s">
        <v>842</v>
      </c>
      <c r="J125" s="1375">
        <v>45747</v>
      </c>
      <c r="K125" s="1368" t="s">
        <v>843</v>
      </c>
      <c r="L125" s="1367"/>
    </row>
    <row r="126" spans="1:12" ht="12.95" customHeight="1">
      <c r="A126" s="1377" t="s">
        <v>912</v>
      </c>
      <c r="B126" s="1368" t="s">
        <v>840</v>
      </c>
      <c r="C126" s="1368" t="s">
        <v>880</v>
      </c>
      <c r="D126" s="1368" t="s">
        <v>270</v>
      </c>
      <c r="E126" s="1367"/>
      <c r="F126" s="1373"/>
      <c r="G126" s="1373">
        <f>+'[9]PLANILLA MENSUAL'!BG38</f>
        <v>1227.9733333333338</v>
      </c>
      <c r="H126" s="1374" t="s">
        <v>841</v>
      </c>
      <c r="I126" s="1368" t="s">
        <v>842</v>
      </c>
      <c r="J126" s="1375">
        <v>45747</v>
      </c>
      <c r="K126" s="1368" t="s">
        <v>843</v>
      </c>
      <c r="L126" s="1367"/>
    </row>
    <row r="127" spans="1:12" ht="12.95" customHeight="1">
      <c r="A127" s="1377" t="s">
        <v>912</v>
      </c>
      <c r="B127" s="1368" t="s">
        <v>840</v>
      </c>
      <c r="C127" s="1368" t="s">
        <v>881</v>
      </c>
      <c r="D127" s="1368" t="s">
        <v>272</v>
      </c>
      <c r="E127" s="1367"/>
      <c r="F127" s="1373"/>
      <c r="G127" s="1373">
        <f>+'[9]PLANILLA MENSUAL'!BG39</f>
        <v>892.60000000000036</v>
      </c>
      <c r="H127" s="1374" t="s">
        <v>841</v>
      </c>
      <c r="I127" s="1368" t="s">
        <v>842</v>
      </c>
      <c r="J127" s="1375">
        <v>45747</v>
      </c>
      <c r="K127" s="1368" t="s">
        <v>843</v>
      </c>
      <c r="L127" s="1367"/>
    </row>
    <row r="128" spans="1:12" ht="12.95" customHeight="1">
      <c r="A128" s="1377"/>
      <c r="B128" s="1368"/>
      <c r="C128" s="1368"/>
      <c r="D128" s="1368"/>
      <c r="E128" s="1367"/>
      <c r="F128" s="1373"/>
      <c r="G128" s="1373"/>
      <c r="H128" s="1374"/>
      <c r="I128" s="1368"/>
      <c r="J128" s="1375"/>
      <c r="K128" s="1368"/>
      <c r="L128" s="1367"/>
    </row>
    <row r="129" spans="1:12" ht="12.95" customHeight="1">
      <c r="A129" s="1377"/>
      <c r="B129" s="1368"/>
      <c r="C129" s="1368"/>
      <c r="D129" s="1368"/>
      <c r="E129" s="1367"/>
      <c r="F129" s="1373"/>
      <c r="G129" s="1373"/>
      <c r="H129" s="1374"/>
      <c r="I129" s="1368"/>
      <c r="J129" s="1375"/>
      <c r="K129" s="1368"/>
      <c r="L129" s="1367"/>
    </row>
    <row r="130" spans="1:12" ht="12.95" customHeight="1">
      <c r="A130" s="1377"/>
      <c r="B130" s="1368"/>
      <c r="C130" s="1368"/>
      <c r="D130" s="1368"/>
      <c r="E130" s="1367"/>
      <c r="F130" s="1373"/>
      <c r="G130" s="1373"/>
      <c r="H130" s="1374"/>
      <c r="I130" s="1368"/>
      <c r="J130" s="1375"/>
      <c r="K130" s="1368"/>
      <c r="L130" s="1367"/>
    </row>
    <row r="131" spans="1:12" ht="12.95" customHeight="1">
      <c r="A131" s="1377"/>
      <c r="B131" s="1368"/>
      <c r="C131" s="1368"/>
      <c r="D131" s="1368"/>
      <c r="E131" s="1367"/>
      <c r="F131" s="1373"/>
      <c r="G131" s="1373"/>
      <c r="H131" s="1374"/>
      <c r="I131" s="1368"/>
      <c r="J131" s="1375"/>
      <c r="K131" s="1368"/>
      <c r="L131" s="1367"/>
    </row>
    <row r="132" spans="1:12" ht="12.95" customHeight="1">
      <c r="A132" s="1377"/>
      <c r="B132" s="1368"/>
      <c r="C132" s="1368"/>
      <c r="D132" s="1368"/>
      <c r="E132" s="1367"/>
      <c r="F132" s="1373"/>
      <c r="G132" s="1373"/>
      <c r="H132" s="1374"/>
      <c r="I132" s="1368"/>
      <c r="J132" s="1375"/>
      <c r="K132" s="1368"/>
      <c r="L132" s="1367"/>
    </row>
    <row r="133" spans="1:12" ht="12.95" customHeight="1">
      <c r="A133" s="1377"/>
      <c r="B133" s="1368"/>
      <c r="C133" s="1368"/>
      <c r="D133" s="1368"/>
      <c r="E133" s="1367"/>
      <c r="F133" s="1373"/>
      <c r="G133" s="1373"/>
      <c r="H133" s="1374"/>
      <c r="I133" s="1368"/>
      <c r="J133" s="1375"/>
      <c r="K133" s="1368"/>
      <c r="L133" s="1367"/>
    </row>
    <row r="134" spans="1:12" ht="12.95" customHeight="1">
      <c r="A134" s="1377"/>
      <c r="B134" s="1368"/>
      <c r="C134" s="1368"/>
      <c r="D134" s="1368"/>
      <c r="E134" s="1367"/>
      <c r="F134" s="1373"/>
      <c r="G134" s="1373"/>
      <c r="H134" s="1374"/>
      <c r="I134" s="1368"/>
      <c r="J134" s="1375"/>
      <c r="K134" s="1368"/>
      <c r="L134" s="1367"/>
    </row>
    <row r="135" spans="1:12" ht="12.95" customHeight="1">
      <c r="A135" s="1377"/>
      <c r="B135" s="1368"/>
      <c r="C135" s="1368"/>
      <c r="D135" s="1368"/>
      <c r="E135" s="1367"/>
      <c r="F135" s="1373"/>
      <c r="G135" s="1373"/>
      <c r="H135" s="1374"/>
      <c r="I135" s="1368"/>
      <c r="J135" s="1375"/>
      <c r="K135" s="1368"/>
      <c r="L135" s="1367"/>
    </row>
    <row r="136" spans="1:12" ht="12.95" customHeight="1">
      <c r="A136" s="1377"/>
      <c r="B136" s="1368"/>
      <c r="C136" s="1368"/>
      <c r="D136" s="1368"/>
      <c r="E136" s="1367"/>
      <c r="F136" s="1373"/>
      <c r="G136" s="1373"/>
      <c r="H136" s="1374"/>
      <c r="I136" s="1368"/>
      <c r="J136" s="1375"/>
      <c r="K136" s="1368"/>
      <c r="L136" s="1367"/>
    </row>
    <row r="137" spans="1:12" ht="12.95" customHeight="1">
      <c r="A137" s="1368" t="s">
        <v>913</v>
      </c>
      <c r="B137" s="1368" t="s">
        <v>914</v>
      </c>
      <c r="C137" s="1368" t="s">
        <v>915</v>
      </c>
      <c r="D137" s="1368" t="s">
        <v>817</v>
      </c>
      <c r="E137" s="1367"/>
      <c r="F137" s="1373"/>
      <c r="G137" s="1373">
        <f>+'[9]PLANILLA MENSUAL'!AV53</f>
        <v>0</v>
      </c>
      <c r="H137" s="1374" t="s">
        <v>841</v>
      </c>
      <c r="I137" s="1368" t="s">
        <v>842</v>
      </c>
      <c r="J137" s="1375">
        <v>45747</v>
      </c>
      <c r="K137" s="1368" t="s">
        <v>843</v>
      </c>
      <c r="L137" s="1367"/>
    </row>
    <row r="138" spans="1:12" ht="12.95" customHeight="1">
      <c r="A138" s="1368"/>
      <c r="B138" s="1368"/>
      <c r="C138" s="1368"/>
      <c r="D138" s="1368"/>
      <c r="E138" s="1367"/>
      <c r="F138" s="1373"/>
      <c r="G138" s="1373"/>
      <c r="H138" s="1368"/>
      <c r="I138" s="1368"/>
      <c r="J138" s="1375"/>
      <c r="K138" s="1368"/>
      <c r="L138" s="1367"/>
    </row>
    <row r="139" spans="1:12" ht="12.95" customHeight="1">
      <c r="A139" s="1368" t="s">
        <v>916</v>
      </c>
      <c r="B139" s="1368" t="s">
        <v>917</v>
      </c>
      <c r="C139" s="1368" t="s">
        <v>873</v>
      </c>
      <c r="D139" s="1368" t="s">
        <v>245</v>
      </c>
      <c r="E139" s="1367"/>
      <c r="F139" s="1373">
        <f>+'[9]PLANILLA MENSUAL'!T68+'[9]PLANILLA MENSUAL'!Z68</f>
        <v>0</v>
      </c>
      <c r="G139" s="1373"/>
      <c r="H139" s="1368"/>
      <c r="I139" s="1368"/>
      <c r="J139" s="1375"/>
      <c r="K139" s="1368"/>
      <c r="L139" s="1367"/>
    </row>
    <row r="140" spans="1:12" ht="12.95" customHeight="1">
      <c r="A140" s="1368" t="s">
        <v>916</v>
      </c>
      <c r="B140" s="1368" t="s">
        <v>917</v>
      </c>
      <c r="C140" s="1368" t="s">
        <v>872</v>
      </c>
      <c r="D140" s="1368" t="s">
        <v>223</v>
      </c>
      <c r="E140" s="1367"/>
      <c r="F140" s="1373">
        <f>+'[9]PLANILLA MENSUAL'!Z71</f>
        <v>0</v>
      </c>
      <c r="G140" s="1373"/>
      <c r="H140" s="1368"/>
      <c r="I140" s="1368"/>
      <c r="J140" s="1375"/>
      <c r="K140" s="1368"/>
      <c r="L140" s="1367"/>
    </row>
    <row r="141" spans="1:12" ht="12.95" customHeight="1">
      <c r="A141" s="1368"/>
      <c r="B141" s="1368"/>
      <c r="C141" s="1368"/>
      <c r="D141" s="1368"/>
      <c r="E141" s="1367"/>
      <c r="F141" s="1373"/>
      <c r="G141" s="1373"/>
      <c r="H141" s="1368"/>
      <c r="I141" s="1368"/>
      <c r="J141" s="1375"/>
      <c r="K141" s="1368"/>
      <c r="L141" s="1367"/>
    </row>
    <row r="142" spans="1:12" ht="12.95" customHeight="1">
      <c r="A142" s="1367"/>
      <c r="B142" s="1367"/>
      <c r="C142" s="1368"/>
      <c r="D142" s="1367"/>
      <c r="E142" s="1367"/>
      <c r="F142" s="1367"/>
      <c r="G142" s="1367"/>
      <c r="H142" s="1367"/>
      <c r="I142" s="1367"/>
      <c r="J142" s="1367"/>
      <c r="K142" s="1367"/>
      <c r="L142" s="1367"/>
    </row>
    <row r="143" spans="1:12">
      <c r="A143" s="1390"/>
      <c r="B143" s="1390"/>
      <c r="C143" s="1390"/>
      <c r="D143" s="1391"/>
      <c r="E143" s="1392" t="s">
        <v>918</v>
      </c>
      <c r="F143" s="1393">
        <f>SUM(F9:F142)</f>
        <v>146241.61620737749</v>
      </c>
      <c r="G143" s="1393" t="e">
        <f>SUM(G9:G142)</f>
        <v>#REF!</v>
      </c>
      <c r="H143" s="1390"/>
      <c r="I143" s="1390"/>
      <c r="J143" s="1394"/>
      <c r="K143" s="1390"/>
      <c r="L143" s="1367"/>
    </row>
    <row r="144" spans="1:12">
      <c r="A144" s="1368"/>
      <c r="B144" s="1368"/>
      <c r="C144" s="1368"/>
      <c r="D144" s="1367"/>
      <c r="E144" s="1367"/>
      <c r="F144" s="1373"/>
      <c r="G144" s="1395" t="e">
        <f>+F143-G143</f>
        <v>#REF!</v>
      </c>
      <c r="H144" s="1368"/>
      <c r="I144" s="1368"/>
      <c r="J144" s="1375"/>
      <c r="K144" s="1368"/>
      <c r="L144" s="1367"/>
    </row>
  </sheetData>
  <mergeCells count="1">
    <mergeCell ref="A3:K3"/>
  </mergeCells>
  <pageMargins left="0.7" right="0.7" top="0.75" bottom="0.75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AF52-45E4-4968-8094-8B125A1E39B4}">
  <dimension ref="B2:I32"/>
  <sheetViews>
    <sheetView topLeftCell="B21" workbookViewId="0">
      <selection activeCell="F22" sqref="F22"/>
    </sheetView>
  </sheetViews>
  <sheetFormatPr baseColWidth="10" defaultRowHeight="15"/>
  <cols>
    <col min="2" max="2" width="37" bestFit="1" customWidth="1"/>
    <col min="4" max="4" width="8.42578125" customWidth="1"/>
    <col min="5" max="5" width="12.42578125" customWidth="1"/>
  </cols>
  <sheetData>
    <row r="2" spans="2:9" ht="30">
      <c r="C2" s="1241" t="s">
        <v>780</v>
      </c>
      <c r="D2" s="1241" t="s">
        <v>781</v>
      </c>
      <c r="E2" s="1241" t="s">
        <v>782</v>
      </c>
      <c r="F2" s="1240" t="s">
        <v>790</v>
      </c>
      <c r="G2" s="1240" t="s">
        <v>791</v>
      </c>
      <c r="H2" s="1236" t="s">
        <v>784</v>
      </c>
      <c r="I2" s="1242" t="s">
        <v>783</v>
      </c>
    </row>
    <row r="3" spans="2:9">
      <c r="B3" s="1229" t="s">
        <v>208</v>
      </c>
      <c r="C3" s="1230">
        <v>4113</v>
      </c>
      <c r="D3" s="1231">
        <f t="shared" ref="D3:D8" si="0">C3/30</f>
        <v>137.1</v>
      </c>
      <c r="E3" s="1231">
        <f t="shared" ref="E3:E8" si="1">D3/8</f>
        <v>17.137499999999999</v>
      </c>
      <c r="F3" s="1232">
        <f>C23*E3*1.25</f>
        <v>267.7734375</v>
      </c>
      <c r="G3" s="1232">
        <f>E3*D23*1.35</f>
        <v>161.949375</v>
      </c>
      <c r="H3" s="1232">
        <f>E3*E23*2</f>
        <v>976.83749999999998</v>
      </c>
      <c r="I3" s="1233">
        <f t="shared" ref="I3:I8" si="2">SUM(F3:H3)</f>
        <v>1406.5603125</v>
      </c>
    </row>
    <row r="4" spans="2:9">
      <c r="B4" s="1229" t="s">
        <v>256</v>
      </c>
      <c r="C4" s="1230">
        <v>2500</v>
      </c>
      <c r="D4" s="1231">
        <f t="shared" si="0"/>
        <v>83.333333333333329</v>
      </c>
      <c r="E4" s="1231">
        <f t="shared" si="1"/>
        <v>10.416666666666666</v>
      </c>
      <c r="F4" s="1232">
        <f t="shared" ref="F4:F8" si="3">C24*E4*1.25</f>
        <v>240.88541666666663</v>
      </c>
      <c r="G4" s="1232">
        <f t="shared" ref="G4:G8" si="4">E4*D24*1.35</f>
        <v>203.90625</v>
      </c>
      <c r="H4" s="1232">
        <f t="shared" ref="H4:H8" si="5">E4*E24*2</f>
        <v>979.16666666666663</v>
      </c>
      <c r="I4" s="1233">
        <f t="shared" si="2"/>
        <v>1423.9583333333333</v>
      </c>
    </row>
    <row r="5" spans="2:9">
      <c r="B5" s="1229" t="s">
        <v>259</v>
      </c>
      <c r="C5" s="1230">
        <v>2500</v>
      </c>
      <c r="D5" s="1231">
        <f t="shared" si="0"/>
        <v>83.333333333333329</v>
      </c>
      <c r="E5" s="1231">
        <f t="shared" si="1"/>
        <v>10.416666666666666</v>
      </c>
      <c r="F5" s="1232">
        <f t="shared" si="3"/>
        <v>286.45833333333331</v>
      </c>
      <c r="G5" s="1232">
        <f t="shared" si="4"/>
        <v>172.265625</v>
      </c>
      <c r="H5" s="1232">
        <f t="shared" si="5"/>
        <v>333.33333333333331</v>
      </c>
      <c r="I5" s="1233">
        <f t="shared" si="2"/>
        <v>792.05729166666663</v>
      </c>
    </row>
    <row r="6" spans="2:9">
      <c r="B6" s="1229" t="s">
        <v>272</v>
      </c>
      <c r="C6" s="1230">
        <v>2000</v>
      </c>
      <c r="D6" s="1231">
        <f t="shared" si="0"/>
        <v>66.666666666666671</v>
      </c>
      <c r="E6" s="1231">
        <f t="shared" si="1"/>
        <v>8.3333333333333339</v>
      </c>
      <c r="F6" s="1232">
        <f t="shared" si="3"/>
        <v>151.04166666666669</v>
      </c>
      <c r="G6" s="1232">
        <f t="shared" si="4"/>
        <v>137.81250000000003</v>
      </c>
      <c r="H6" s="1232">
        <f t="shared" si="5"/>
        <v>608.33333333333337</v>
      </c>
      <c r="I6" s="1233">
        <f t="shared" si="2"/>
        <v>897.18750000000011</v>
      </c>
    </row>
    <row r="7" spans="2:9">
      <c r="B7" s="1229" t="s">
        <v>283</v>
      </c>
      <c r="C7" s="1230">
        <v>1613</v>
      </c>
      <c r="D7" s="1231">
        <f t="shared" si="0"/>
        <v>53.766666666666666</v>
      </c>
      <c r="E7" s="1231">
        <f t="shared" si="1"/>
        <v>6.7208333333333332</v>
      </c>
      <c r="F7" s="1232">
        <f t="shared" si="3"/>
        <v>33.604166666666664</v>
      </c>
      <c r="G7" s="1232">
        <f t="shared" si="4"/>
        <v>31.755937500000002</v>
      </c>
      <c r="H7" s="1232">
        <f t="shared" si="5"/>
        <v>107.53333333333333</v>
      </c>
      <c r="I7" s="1233">
        <f t="shared" si="2"/>
        <v>172.8934375</v>
      </c>
    </row>
    <row r="8" spans="2:9">
      <c r="B8" s="1229" t="s">
        <v>251</v>
      </c>
      <c r="C8" s="1230">
        <v>2800</v>
      </c>
      <c r="D8" s="1231">
        <f t="shared" si="0"/>
        <v>93.333333333333329</v>
      </c>
      <c r="E8" s="1231">
        <f t="shared" si="1"/>
        <v>11.666666666666666</v>
      </c>
      <c r="F8" s="1232">
        <f t="shared" si="3"/>
        <v>247.91666666666663</v>
      </c>
      <c r="G8" s="1232">
        <f t="shared" si="4"/>
        <v>236.25000000000003</v>
      </c>
      <c r="H8" s="1232">
        <f t="shared" si="5"/>
        <v>618.33333333333326</v>
      </c>
      <c r="I8" s="1233">
        <f t="shared" si="2"/>
        <v>1102.5</v>
      </c>
    </row>
    <row r="10" spans="2:9" hidden="1"/>
    <row r="11" spans="2:9" ht="30" hidden="1">
      <c r="B11" s="1234" t="s">
        <v>133</v>
      </c>
      <c r="C11" s="1235">
        <v>0.25</v>
      </c>
      <c r="D11" s="1235">
        <v>0.35</v>
      </c>
      <c r="E11" s="1235">
        <v>1.25</v>
      </c>
      <c r="F11" s="1235">
        <v>1.35</v>
      </c>
      <c r="G11" s="1236" t="s">
        <v>784</v>
      </c>
    </row>
    <row r="12" spans="2:9" hidden="1">
      <c r="B12" s="1237" t="s">
        <v>208</v>
      </c>
      <c r="C12" s="1238">
        <v>8</v>
      </c>
      <c r="D12" s="1238">
        <v>7</v>
      </c>
      <c r="E12" s="1238">
        <v>4.5</v>
      </c>
      <c r="F12" s="1238"/>
      <c r="G12" s="1238">
        <v>3</v>
      </c>
    </row>
    <row r="13" spans="2:9" hidden="1">
      <c r="B13" s="1239" t="s">
        <v>785</v>
      </c>
      <c r="C13" s="1238">
        <v>12</v>
      </c>
      <c r="D13" s="1238">
        <v>14</v>
      </c>
      <c r="E13" s="1238">
        <v>6.5</v>
      </c>
      <c r="F13" s="1238">
        <v>0.5</v>
      </c>
      <c r="G13" s="1238">
        <v>5</v>
      </c>
    </row>
    <row r="14" spans="2:9" hidden="1">
      <c r="B14" s="1239" t="s">
        <v>786</v>
      </c>
      <c r="C14" s="1238">
        <v>22</v>
      </c>
      <c r="D14" s="1238">
        <f>(12*60+15)/60</f>
        <v>12.25</v>
      </c>
      <c r="E14" s="1238"/>
      <c r="F14" s="1238"/>
      <c r="G14" s="1238">
        <v>2</v>
      </c>
    </row>
    <row r="15" spans="2:9" hidden="1">
      <c r="B15" s="1239" t="s">
        <v>787</v>
      </c>
      <c r="C15" s="1238">
        <v>10</v>
      </c>
      <c r="D15" s="1238">
        <f>(12*60+15)/60</f>
        <v>12.25</v>
      </c>
      <c r="E15" s="1238">
        <v>4.5</v>
      </c>
      <c r="F15" s="1238"/>
      <c r="G15" s="1238">
        <v>4</v>
      </c>
    </row>
    <row r="16" spans="2:9" hidden="1">
      <c r="B16" s="1239" t="s">
        <v>788</v>
      </c>
      <c r="C16" s="1238">
        <v>4</v>
      </c>
      <c r="D16" s="1238">
        <v>3.5</v>
      </c>
      <c r="E16" s="1238"/>
      <c r="F16" s="1238"/>
      <c r="G16" s="1238">
        <v>1</v>
      </c>
    </row>
    <row r="17" spans="2:7" hidden="1">
      <c r="B17" s="1239" t="s">
        <v>789</v>
      </c>
      <c r="C17" s="1238">
        <v>15</v>
      </c>
      <c r="D17" s="1238">
        <v>14.5</v>
      </c>
      <c r="E17" s="1238">
        <v>2</v>
      </c>
      <c r="F17" s="1238">
        <v>0.5</v>
      </c>
      <c r="G17" s="1238">
        <v>3</v>
      </c>
    </row>
    <row r="18" spans="2:7" hidden="1"/>
    <row r="19" spans="2:7" hidden="1"/>
    <row r="20" spans="2:7" hidden="1"/>
    <row r="22" spans="2:7" ht="30">
      <c r="B22" s="1234" t="s">
        <v>133</v>
      </c>
      <c r="C22" s="1240" t="s">
        <v>790</v>
      </c>
      <c r="D22" s="1240" t="s">
        <v>791</v>
      </c>
      <c r="E22" s="1236" t="s">
        <v>784</v>
      </c>
    </row>
    <row r="23" spans="2:7">
      <c r="B23" s="1237" t="s">
        <v>208</v>
      </c>
      <c r="C23" s="1238">
        <f>C12+E12</f>
        <v>12.5</v>
      </c>
      <c r="D23" s="1238">
        <v>7</v>
      </c>
      <c r="E23" s="1238">
        <v>28.5</v>
      </c>
    </row>
    <row r="24" spans="2:7">
      <c r="B24" s="1239" t="s">
        <v>785</v>
      </c>
      <c r="C24" s="1238">
        <f t="shared" ref="C24:C28" si="6">C13+E13</f>
        <v>18.5</v>
      </c>
      <c r="D24" s="1238">
        <f>D13+F13</f>
        <v>14.5</v>
      </c>
      <c r="E24" s="1238">
        <v>47</v>
      </c>
    </row>
    <row r="25" spans="2:7">
      <c r="B25" s="1239" t="s">
        <v>786</v>
      </c>
      <c r="C25" s="1238">
        <f t="shared" si="6"/>
        <v>22</v>
      </c>
      <c r="D25" s="1238">
        <f t="shared" ref="D25:D28" si="7">D14+F14</f>
        <v>12.25</v>
      </c>
      <c r="E25" s="1238">
        <v>16</v>
      </c>
    </row>
    <row r="26" spans="2:7">
      <c r="B26" s="1239" t="s">
        <v>787</v>
      </c>
      <c r="C26" s="1238">
        <f t="shared" si="6"/>
        <v>14.5</v>
      </c>
      <c r="D26" s="1238">
        <f t="shared" si="7"/>
        <v>12.25</v>
      </c>
      <c r="E26" s="1238">
        <v>36.5</v>
      </c>
    </row>
    <row r="27" spans="2:7">
      <c r="B27" s="1239" t="s">
        <v>788</v>
      </c>
      <c r="C27" s="1238">
        <f t="shared" si="6"/>
        <v>4</v>
      </c>
      <c r="D27" s="1238">
        <f t="shared" si="7"/>
        <v>3.5</v>
      </c>
      <c r="E27" s="1238">
        <v>8</v>
      </c>
    </row>
    <row r="28" spans="2:7">
      <c r="B28" s="1239" t="s">
        <v>789</v>
      </c>
      <c r="C28" s="1238">
        <f t="shared" si="6"/>
        <v>17</v>
      </c>
      <c r="D28" s="1238">
        <f t="shared" si="7"/>
        <v>15</v>
      </c>
      <c r="E28" s="1238">
        <v>26.5</v>
      </c>
    </row>
    <row r="31" spans="2:7">
      <c r="C31" s="1228">
        <v>2500</v>
      </c>
    </row>
    <row r="32" spans="2:7">
      <c r="B32">
        <f>5500*7</f>
        <v>38500</v>
      </c>
      <c r="C32">
        <f>C31*12</f>
        <v>30000</v>
      </c>
      <c r="D32">
        <f>C31+C31*9%</f>
        <v>2725</v>
      </c>
      <c r="E32">
        <f>2000</f>
        <v>2000</v>
      </c>
    </row>
  </sheetData>
  <conditionalFormatting sqref="B4:B8 B11">
    <cfRule type="duplicateValues" dxfId="1" priority="3"/>
  </conditionalFormatting>
  <conditionalFormatting sqref="B22">
    <cfRule type="duplicateValues" dxfId="0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D106"/>
  <sheetViews>
    <sheetView topLeftCell="AM65" workbookViewId="0">
      <selection activeCell="AR82" sqref="AR82:AU92"/>
    </sheetView>
  </sheetViews>
  <sheetFormatPr baseColWidth="10" defaultColWidth="9.140625" defaultRowHeight="15"/>
  <cols>
    <col min="1" max="1" width="10.140625" customWidth="1"/>
    <col min="2" max="2" width="0.7109375" customWidth="1"/>
    <col min="3" max="3" width="4.28515625" customWidth="1"/>
    <col min="4" max="4" width="13.7109375" customWidth="1"/>
    <col min="5" max="5" width="11.140625" customWidth="1"/>
    <col min="6" max="6" width="10.28515625" customWidth="1"/>
    <col min="7" max="7" width="10.85546875" customWidth="1"/>
    <col min="8" max="8" width="9.5703125" customWidth="1"/>
    <col min="9" max="9" width="17.5703125" style="139" customWidth="1"/>
    <col min="10" max="10" width="14.7109375" hidden="1" customWidth="1"/>
    <col min="11" max="11" width="10" customWidth="1"/>
    <col min="12" max="12" width="13.28515625" customWidth="1"/>
    <col min="13" max="13" width="16.28515625" customWidth="1"/>
    <col min="14" max="14" width="11.7109375" customWidth="1"/>
    <col min="15" max="15" width="13.85546875" customWidth="1"/>
    <col min="16" max="16" width="20.28515625" customWidth="1"/>
    <col min="17" max="17" width="13.7109375" customWidth="1"/>
    <col min="18" max="18" width="21.28515625" customWidth="1"/>
    <col min="19" max="19" width="8.5703125" customWidth="1"/>
    <col min="20" max="21" width="7.140625" customWidth="1"/>
    <col min="22" max="22" width="10.140625" customWidth="1"/>
    <col min="23" max="23" width="6.28515625" customWidth="1"/>
    <col min="24" max="24" width="11.5703125" customWidth="1"/>
    <col min="25" max="25" width="8.7109375" customWidth="1"/>
    <col min="26" max="26" width="6.5703125" customWidth="1"/>
    <col min="27" max="27" width="25" customWidth="1"/>
    <col min="28" max="28" width="12.28515625" customWidth="1"/>
    <col min="29" max="29" width="9.5703125" customWidth="1"/>
    <col min="30" max="30" width="12.42578125" customWidth="1"/>
    <col min="31" max="31" width="6.42578125" customWidth="1"/>
    <col min="32" max="32" width="10.140625" customWidth="1"/>
    <col min="33" max="33" width="10.85546875" customWidth="1"/>
    <col min="34" max="34" width="4.42578125" customWidth="1"/>
    <col min="35" max="35" width="9" customWidth="1"/>
    <col min="36" max="36" width="7.5703125" customWidth="1"/>
    <col min="37" max="37" width="9" customWidth="1"/>
    <col min="38" max="38" width="7.5703125" customWidth="1"/>
    <col min="39" max="39" width="8.28515625" customWidth="1"/>
    <col min="40" max="40" width="7.5703125" customWidth="1"/>
    <col min="41" max="41" width="8.28515625" customWidth="1"/>
    <col min="42" max="42" width="9.140625" customWidth="1"/>
    <col min="43" max="43" width="9" customWidth="1"/>
    <col min="44" max="44" width="9.140625" customWidth="1"/>
    <col min="45" max="45" width="10.140625" style="236" customWidth="1"/>
    <col min="46" max="46" width="8.5703125" customWidth="1"/>
    <col min="47" max="47" width="11" customWidth="1"/>
    <col min="48" max="48" width="10.85546875" customWidth="1"/>
    <col min="49" max="49" width="11.85546875" customWidth="1"/>
    <col min="50" max="50" width="10" customWidth="1"/>
    <col min="51" max="51" width="10.140625" style="292" bestFit="1" customWidth="1"/>
    <col min="52" max="52" width="7" customWidth="1"/>
    <col min="53" max="53" width="10.140625" customWidth="1"/>
    <col min="54" max="54" width="6.85546875" customWidth="1"/>
    <col min="55" max="55" width="8" customWidth="1"/>
    <col min="56" max="56" width="8.28515625" style="477" customWidth="1"/>
    <col min="57" max="57" width="7.85546875" customWidth="1"/>
    <col min="58" max="58" width="13" customWidth="1"/>
    <col min="59" max="60" width="9.140625" style="477"/>
  </cols>
  <sheetData>
    <row r="1" spans="1:159" s="2" customFormat="1" ht="12.75">
      <c r="A1" s="1"/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239">
        <v>7</v>
      </c>
      <c r="J1" s="1">
        <v>8</v>
      </c>
      <c r="K1" s="1">
        <v>9</v>
      </c>
      <c r="L1" s="1">
        <v>10</v>
      </c>
      <c r="M1" s="1">
        <v>11</v>
      </c>
      <c r="N1" s="1"/>
      <c r="O1" s="1">
        <v>12</v>
      </c>
      <c r="P1" s="1">
        <v>13</v>
      </c>
      <c r="Q1" s="1">
        <v>14</v>
      </c>
      <c r="R1" s="1"/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/>
      <c r="AB1" s="1">
        <v>23</v>
      </c>
      <c r="AC1" s="1"/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  <c r="AO1" s="1">
        <v>35</v>
      </c>
      <c r="AP1" s="1">
        <v>36</v>
      </c>
      <c r="AQ1" s="1">
        <v>37</v>
      </c>
      <c r="AR1" s="1">
        <v>38</v>
      </c>
      <c r="AS1" s="206">
        <v>39</v>
      </c>
      <c r="AT1" s="1"/>
      <c r="AU1" s="1">
        <v>40</v>
      </c>
      <c r="AV1" s="1"/>
      <c r="AW1" s="1"/>
      <c r="AX1" s="1">
        <v>41</v>
      </c>
      <c r="AY1" s="291">
        <v>42</v>
      </c>
      <c r="AZ1" s="1">
        <v>43</v>
      </c>
      <c r="BA1" s="1">
        <v>44</v>
      </c>
      <c r="BB1" s="1"/>
      <c r="BC1" s="204">
        <v>48</v>
      </c>
      <c r="BD1" s="12"/>
      <c r="BE1" s="1"/>
      <c r="BF1" s="1">
        <v>57</v>
      </c>
      <c r="BG1" s="12">
        <v>58</v>
      </c>
      <c r="BH1" s="12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</row>
    <row r="2" spans="1:159" s="6" customFormat="1" ht="18.75">
      <c r="A2" s="3"/>
      <c r="B2" s="3"/>
      <c r="C2" s="1532" t="s">
        <v>532</v>
      </c>
      <c r="D2" s="1532"/>
      <c r="E2" s="1532"/>
      <c r="F2" s="1532"/>
      <c r="G2" s="1532"/>
      <c r="H2" s="1532"/>
      <c r="I2" s="1532"/>
      <c r="J2" s="1532"/>
      <c r="K2" s="1532"/>
      <c r="L2" s="1532"/>
      <c r="M2" s="1532"/>
      <c r="N2" s="1532"/>
      <c r="O2" s="1532"/>
      <c r="P2" s="1532"/>
      <c r="Q2" s="1532"/>
      <c r="R2" s="1532"/>
      <c r="S2" s="1532"/>
      <c r="T2" s="1532"/>
      <c r="U2" s="1532"/>
      <c r="V2" s="1532"/>
      <c r="W2" s="1532"/>
      <c r="X2" s="1532"/>
      <c r="Y2" s="1532"/>
      <c r="Z2" s="1532"/>
      <c r="AA2" s="1532"/>
      <c r="AB2" s="1532"/>
      <c r="AC2" s="1532"/>
      <c r="AD2" s="1532"/>
      <c r="AE2" s="1532"/>
      <c r="AF2" s="1532"/>
      <c r="AG2" s="1532"/>
      <c r="AH2" s="1532"/>
      <c r="AI2" s="1532"/>
      <c r="AJ2" s="1532"/>
      <c r="AK2" s="1532"/>
      <c r="AL2" s="1532"/>
      <c r="AM2" s="1532"/>
      <c r="AN2" s="1532"/>
      <c r="AO2" s="1532"/>
      <c r="AP2" s="1532"/>
      <c r="AQ2" s="1532"/>
      <c r="AR2" s="1532"/>
      <c r="AS2" s="1532"/>
      <c r="AT2" s="1532"/>
      <c r="AU2" s="1532"/>
      <c r="AV2" s="1532"/>
      <c r="AW2" s="1532"/>
      <c r="AX2" s="1532"/>
      <c r="AY2" s="1532"/>
      <c r="AZ2" s="1532"/>
      <c r="BA2" s="1532"/>
      <c r="BB2" s="4"/>
      <c r="BC2" s="40"/>
      <c r="BD2" s="472"/>
      <c r="BG2" s="12"/>
      <c r="BH2" s="12"/>
    </row>
    <row r="3" spans="1:159" s="6" customFormat="1">
      <c r="A3" s="3"/>
      <c r="B3" s="3"/>
      <c r="C3" s="7" t="s">
        <v>533</v>
      </c>
      <c r="D3" s="8"/>
      <c r="E3" s="8"/>
      <c r="F3" s="8"/>
      <c r="G3" s="8"/>
      <c r="H3" s="8"/>
      <c r="I3" s="240"/>
      <c r="J3" s="3"/>
      <c r="K3" s="3"/>
      <c r="L3" s="3"/>
      <c r="M3" s="3"/>
      <c r="N3" s="3"/>
      <c r="O3" s="5"/>
      <c r="P3" s="3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"/>
      <c r="AI3" s="9"/>
      <c r="AJ3" s="9"/>
      <c r="AK3" s="9"/>
      <c r="AL3" s="9"/>
      <c r="AM3" s="9"/>
      <c r="AN3" s="9"/>
      <c r="AO3" s="9"/>
      <c r="AP3" s="9"/>
      <c r="AQ3" s="9"/>
      <c r="AR3" s="9"/>
      <c r="AS3" s="207"/>
      <c r="AT3" s="9"/>
      <c r="AU3" s="9"/>
      <c r="AV3" s="9"/>
      <c r="AW3" s="9"/>
      <c r="AX3" s="9"/>
      <c r="AY3" s="9"/>
      <c r="AZ3" s="9"/>
      <c r="BA3" s="9"/>
      <c r="BB3" s="9"/>
      <c r="BC3" s="40"/>
      <c r="BD3" s="472"/>
      <c r="BG3" s="12"/>
      <c r="BH3" s="12"/>
    </row>
    <row r="4" spans="1:159" s="6" customFormat="1" ht="19.5">
      <c r="A4" s="3"/>
      <c r="B4" s="3"/>
      <c r="C4" s="1533" t="s">
        <v>534</v>
      </c>
      <c r="D4" s="1533"/>
      <c r="E4" s="1533"/>
      <c r="F4" s="1533"/>
      <c r="G4" s="1533"/>
      <c r="H4" s="1533"/>
      <c r="I4" s="1533"/>
      <c r="J4" s="1533"/>
      <c r="K4" s="1533"/>
      <c r="L4" s="1533"/>
      <c r="M4" s="1533"/>
      <c r="N4" s="1533"/>
      <c r="O4" s="1533"/>
      <c r="P4" s="1533"/>
      <c r="Q4" s="1533"/>
      <c r="R4" s="1533"/>
      <c r="S4" s="1533"/>
      <c r="T4" s="1533"/>
      <c r="U4" s="1533"/>
      <c r="V4" s="1533"/>
      <c r="W4" s="1533"/>
      <c r="X4" s="1533"/>
      <c r="Y4" s="1533"/>
      <c r="Z4" s="1533"/>
      <c r="AA4" s="1533"/>
      <c r="AB4" s="1533"/>
      <c r="AC4" s="1533"/>
      <c r="AD4" s="1533"/>
      <c r="AE4" s="1533"/>
      <c r="AF4" s="1533"/>
      <c r="AG4" s="1533"/>
      <c r="AH4" s="1533"/>
      <c r="AI4" s="1533"/>
      <c r="AJ4" s="1533"/>
      <c r="AK4" s="1533"/>
      <c r="AL4" s="1533"/>
      <c r="AM4" s="1533"/>
      <c r="AN4" s="1533"/>
      <c r="AO4" s="1533"/>
      <c r="AP4" s="1533"/>
      <c r="AQ4" s="1533"/>
      <c r="AR4" s="1533"/>
      <c r="AS4" s="1533"/>
      <c r="AT4" s="1533"/>
      <c r="AU4" s="1533"/>
      <c r="AV4" s="1533"/>
      <c r="AW4" s="1533"/>
      <c r="AX4" s="1533"/>
      <c r="AY4" s="1533"/>
      <c r="AZ4" s="1533"/>
      <c r="BA4" s="1533"/>
      <c r="BB4" s="11"/>
      <c r="BC4" s="40"/>
      <c r="BD4" s="472"/>
      <c r="BG4" s="12"/>
      <c r="BH4" s="12"/>
    </row>
    <row r="5" spans="1:159" s="6" customFormat="1" ht="12.75">
      <c r="A5" s="3"/>
      <c r="B5" s="3"/>
      <c r="C5" s="8"/>
      <c r="D5" s="8"/>
      <c r="E5" s="8"/>
      <c r="F5" s="8"/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40"/>
      <c r="BD5" s="472"/>
      <c r="BG5" s="12"/>
      <c r="BH5" s="12"/>
    </row>
    <row r="6" spans="1:159" s="6" customFormat="1" ht="12.75">
      <c r="A6" s="3"/>
      <c r="B6" s="3"/>
      <c r="C6" s="1534" t="s">
        <v>120</v>
      </c>
      <c r="D6" s="1534"/>
      <c r="E6" s="1534"/>
      <c r="F6" s="1534"/>
      <c r="G6" s="1534"/>
      <c r="H6" s="1534"/>
      <c r="I6" s="1534"/>
      <c r="J6" s="1534"/>
      <c r="K6" s="1534"/>
      <c r="L6" s="1534"/>
      <c r="M6" s="1534"/>
      <c r="N6" s="1534"/>
      <c r="O6" s="1534"/>
      <c r="P6" s="1534"/>
      <c r="Q6" s="1534"/>
      <c r="R6" s="1534"/>
      <c r="S6" s="1534"/>
      <c r="T6" s="1534"/>
      <c r="U6" s="1534"/>
      <c r="V6" s="1534"/>
      <c r="W6" s="1534"/>
      <c r="X6" s="1534"/>
      <c r="Y6" s="1534"/>
      <c r="Z6" s="1534"/>
      <c r="AA6" s="1534"/>
      <c r="AB6" s="1534"/>
      <c r="AC6" s="1534"/>
      <c r="AD6" s="1534"/>
      <c r="AE6" s="1534"/>
      <c r="AF6" s="1534"/>
      <c r="AG6" s="1534"/>
      <c r="AH6" s="1534"/>
      <c r="AI6" s="1534"/>
      <c r="AJ6" s="1534"/>
      <c r="AK6" s="1534"/>
      <c r="AL6" s="1534"/>
      <c r="AM6" s="1534"/>
      <c r="AN6" s="1534"/>
      <c r="AO6" s="1534"/>
      <c r="AP6" s="1534"/>
      <c r="AQ6" s="1534"/>
      <c r="AR6" s="1534"/>
      <c r="AS6" s="1534"/>
      <c r="AT6" s="1534"/>
      <c r="AU6" s="1534"/>
      <c r="AV6" s="1534"/>
      <c r="AW6" s="1534"/>
      <c r="AX6" s="1534"/>
      <c r="AY6" s="1534"/>
      <c r="AZ6" s="1534"/>
      <c r="BA6" s="1534"/>
      <c r="BB6" s="3"/>
      <c r="BC6" s="40"/>
      <c r="BD6" s="472"/>
      <c r="BG6" s="12"/>
      <c r="BH6" s="12"/>
    </row>
    <row r="7" spans="1:159" s="6" customFormat="1" ht="12.75">
      <c r="A7" s="1"/>
      <c r="B7" s="1"/>
      <c r="C7" s="8"/>
      <c r="I7" s="239"/>
      <c r="J7" s="1"/>
      <c r="K7" s="1"/>
      <c r="L7" s="1"/>
      <c r="M7" s="1"/>
      <c r="N7" s="1"/>
      <c r="O7" s="12"/>
      <c r="P7" s="1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4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208"/>
      <c r="AT7" s="13"/>
      <c r="AU7" s="13"/>
      <c r="AV7" s="13"/>
      <c r="AW7" s="13"/>
      <c r="AX7" s="13"/>
      <c r="AY7" s="13"/>
      <c r="AZ7" s="13"/>
      <c r="BA7" s="13"/>
      <c r="BB7" s="13"/>
      <c r="BC7" s="40"/>
      <c r="BD7" s="472"/>
      <c r="BG7" s="12"/>
      <c r="BH7" s="12"/>
    </row>
    <row r="8" spans="1:159" s="1" customFormat="1" ht="13.5" customHeight="1">
      <c r="C8" s="209"/>
      <c r="D8" s="1528" t="s">
        <v>121</v>
      </c>
      <c r="E8" s="1535"/>
      <c r="F8" s="1535"/>
      <c r="G8" s="1529"/>
      <c r="H8" s="1528" t="s">
        <v>122</v>
      </c>
      <c r="I8" s="1535"/>
      <c r="J8" s="1535"/>
      <c r="K8" s="1535"/>
      <c r="L8" s="1535"/>
      <c r="M8" s="1535"/>
      <c r="N8" s="1535"/>
      <c r="O8" s="1535"/>
      <c r="P8" s="1529"/>
      <c r="Q8" s="1528" t="s">
        <v>123</v>
      </c>
      <c r="R8" s="1535"/>
      <c r="S8" s="1535"/>
      <c r="T8" s="1535"/>
      <c r="U8" s="1535"/>
      <c r="V8" s="1535"/>
      <c r="W8" s="1535"/>
      <c r="X8" s="1535"/>
      <c r="Y8" s="1535"/>
      <c r="Z8" s="1535"/>
      <c r="AA8" s="1535"/>
      <c r="AB8" s="1535"/>
      <c r="AC8" s="1535"/>
      <c r="AD8" s="1535"/>
      <c r="AE8" s="1529"/>
      <c r="AF8" s="210"/>
      <c r="AG8" s="210"/>
      <c r="AH8" s="1536" t="s">
        <v>124</v>
      </c>
      <c r="AI8" s="1537"/>
      <c r="AJ8" s="1537"/>
      <c r="AK8" s="1537"/>
      <c r="AL8" s="1537"/>
      <c r="AM8" s="1537"/>
      <c r="AN8" s="1537"/>
      <c r="AO8" s="1537"/>
      <c r="AP8" s="1537"/>
      <c r="AQ8" s="1537"/>
      <c r="AR8" s="1538"/>
      <c r="AS8" s="211"/>
      <c r="AT8" s="212"/>
      <c r="AU8" s="212"/>
      <c r="AV8" s="212"/>
      <c r="AW8" s="212"/>
      <c r="AX8" s="210" t="s">
        <v>125</v>
      </c>
      <c r="AY8" s="508" t="s">
        <v>126</v>
      </c>
      <c r="AZ8" s="1539" t="s">
        <v>127</v>
      </c>
      <c r="BA8" s="1540"/>
      <c r="BB8" s="213"/>
      <c r="BC8" s="210"/>
      <c r="BD8" s="472"/>
      <c r="BF8" s="1541" t="s">
        <v>535</v>
      </c>
      <c r="BG8" s="1542" t="s">
        <v>536</v>
      </c>
      <c r="BH8" s="1544" t="s">
        <v>537</v>
      </c>
    </row>
    <row r="9" spans="1:159" s="1" customFormat="1" ht="24" customHeight="1">
      <c r="C9" s="49" t="s">
        <v>2</v>
      </c>
      <c r="D9" s="1528" t="s">
        <v>128</v>
      </c>
      <c r="E9" s="1529"/>
      <c r="F9" s="1528" t="s">
        <v>538</v>
      </c>
      <c r="G9" s="1529"/>
      <c r="H9" s="49" t="s">
        <v>62</v>
      </c>
      <c r="I9" s="241"/>
      <c r="J9" s="49"/>
      <c r="K9" s="49"/>
      <c r="L9" s="214" t="s">
        <v>129</v>
      </c>
      <c r="M9" s="214" t="s">
        <v>129</v>
      </c>
      <c r="N9" s="214" t="s">
        <v>129</v>
      </c>
      <c r="O9" s="215"/>
      <c r="P9" s="214"/>
      <c r="Q9" s="210" t="s">
        <v>130</v>
      </c>
      <c r="R9" s="1545" t="s">
        <v>415</v>
      </c>
      <c r="S9" s="210" t="s">
        <v>131</v>
      </c>
      <c r="T9" s="210" t="s">
        <v>133</v>
      </c>
      <c r="U9" s="210" t="s">
        <v>133</v>
      </c>
      <c r="V9" s="1548" t="s">
        <v>134</v>
      </c>
      <c r="W9" s="210"/>
      <c r="X9" s="210"/>
      <c r="Y9" s="210"/>
      <c r="Z9" s="210"/>
      <c r="AA9" s="210"/>
      <c r="AB9" s="210"/>
      <c r="AC9" s="210" t="s">
        <v>539</v>
      </c>
      <c r="AD9" s="210" t="s">
        <v>141</v>
      </c>
      <c r="AE9" s="216"/>
      <c r="AF9" s="217" t="s">
        <v>142</v>
      </c>
      <c r="AG9" s="217" t="s">
        <v>143</v>
      </c>
      <c r="AH9" s="1536" t="s">
        <v>144</v>
      </c>
      <c r="AI9" s="1538"/>
      <c r="AJ9" s="1536" t="s">
        <v>145</v>
      </c>
      <c r="AK9" s="1537"/>
      <c r="AL9" s="1537"/>
      <c r="AM9" s="1537"/>
      <c r="AN9" s="1537"/>
      <c r="AO9" s="1537"/>
      <c r="AP9" s="1537"/>
      <c r="AQ9" s="1538"/>
      <c r="AR9" s="210" t="s">
        <v>540</v>
      </c>
      <c r="AS9" s="218" t="s">
        <v>541</v>
      </c>
      <c r="AT9" s="217" t="s">
        <v>542</v>
      </c>
      <c r="AU9" s="217" t="s">
        <v>543</v>
      </c>
      <c r="AV9" s="217" t="s">
        <v>544</v>
      </c>
      <c r="AW9" s="217" t="s">
        <v>545</v>
      </c>
      <c r="AX9" s="217" t="s">
        <v>150</v>
      </c>
      <c r="AY9" s="509" t="s">
        <v>151</v>
      </c>
      <c r="AZ9" s="1539" t="s">
        <v>11</v>
      </c>
      <c r="BA9" s="1540"/>
      <c r="BB9" s="219" t="s">
        <v>147</v>
      </c>
      <c r="BC9" s="217" t="s">
        <v>133</v>
      </c>
      <c r="BD9" s="472"/>
      <c r="BF9" s="1541"/>
      <c r="BG9" s="1543"/>
      <c r="BH9" s="1544"/>
    </row>
    <row r="10" spans="1:159" s="1" customFormat="1" ht="12.75">
      <c r="C10" s="49"/>
      <c r="D10" s="209" t="s">
        <v>153</v>
      </c>
      <c r="E10" s="209" t="s">
        <v>546</v>
      </c>
      <c r="F10" s="209" t="s">
        <v>547</v>
      </c>
      <c r="G10" s="209" t="s">
        <v>548</v>
      </c>
      <c r="H10" s="3" t="s">
        <v>156</v>
      </c>
      <c r="I10" s="241" t="s">
        <v>549</v>
      </c>
      <c r="J10" s="49" t="s">
        <v>550</v>
      </c>
      <c r="K10" s="49" t="s">
        <v>154</v>
      </c>
      <c r="L10" s="49" t="s">
        <v>155</v>
      </c>
      <c r="M10" s="49" t="s">
        <v>155</v>
      </c>
      <c r="N10" s="49" t="s">
        <v>155</v>
      </c>
      <c r="O10" s="49" t="s">
        <v>551</v>
      </c>
      <c r="P10" s="49" t="s">
        <v>3</v>
      </c>
      <c r="Q10" s="217" t="s">
        <v>173</v>
      </c>
      <c r="R10" s="1546"/>
      <c r="S10" s="217" t="s">
        <v>164</v>
      </c>
      <c r="T10" s="217" t="s">
        <v>167</v>
      </c>
      <c r="U10" s="217" t="s">
        <v>167</v>
      </c>
      <c r="V10" s="1549"/>
      <c r="W10" s="217" t="s">
        <v>168</v>
      </c>
      <c r="X10" s="217" t="s">
        <v>135</v>
      </c>
      <c r="Y10" s="217" t="s">
        <v>137</v>
      </c>
      <c r="Z10" s="217" t="s">
        <v>552</v>
      </c>
      <c r="AA10" s="217" t="s">
        <v>553</v>
      </c>
      <c r="AB10" s="217" t="s">
        <v>9</v>
      </c>
      <c r="AC10" s="217" t="s">
        <v>554</v>
      </c>
      <c r="AD10" s="217" t="s">
        <v>171</v>
      </c>
      <c r="AE10" s="217" t="s">
        <v>172</v>
      </c>
      <c r="AF10" s="217" t="s">
        <v>173</v>
      </c>
      <c r="AG10" s="217" t="s">
        <v>174</v>
      </c>
      <c r="AH10" s="210" t="s">
        <v>175</v>
      </c>
      <c r="AI10" s="210" t="s">
        <v>176</v>
      </c>
      <c r="AJ10" s="1539" t="s">
        <v>555</v>
      </c>
      <c r="AK10" s="1540"/>
      <c r="AL10" s="1539" t="s">
        <v>132</v>
      </c>
      <c r="AM10" s="1540"/>
      <c r="AN10" s="1539" t="s">
        <v>556</v>
      </c>
      <c r="AO10" s="1540"/>
      <c r="AP10" s="1539" t="s">
        <v>178</v>
      </c>
      <c r="AQ10" s="1540"/>
      <c r="AR10" s="49"/>
      <c r="AS10" s="220"/>
      <c r="AT10" s="49" t="s">
        <v>171</v>
      </c>
      <c r="AU10" s="49"/>
      <c r="AV10" s="49" t="s">
        <v>557</v>
      </c>
      <c r="AW10" s="49" t="s">
        <v>558</v>
      </c>
      <c r="AX10" s="49"/>
      <c r="AY10" s="510"/>
      <c r="AZ10" s="209"/>
      <c r="BA10" s="209"/>
      <c r="BB10" s="49" t="s">
        <v>186</v>
      </c>
      <c r="BC10" s="49" t="s">
        <v>559</v>
      </c>
      <c r="BD10" s="472"/>
      <c r="BG10" s="12"/>
      <c r="BH10" s="12"/>
    </row>
    <row r="11" spans="1:159" s="1" customFormat="1" ht="12.75">
      <c r="C11" s="221"/>
      <c r="D11" s="221"/>
      <c r="E11" s="221"/>
      <c r="F11" s="221"/>
      <c r="G11" s="221"/>
      <c r="H11" s="221" t="s">
        <v>144</v>
      </c>
      <c r="I11" s="242"/>
      <c r="J11" s="221"/>
      <c r="K11" s="221"/>
      <c r="L11" s="221" t="s">
        <v>191</v>
      </c>
      <c r="M11" s="221" t="s">
        <v>190</v>
      </c>
      <c r="N11" s="221" t="s">
        <v>560</v>
      </c>
      <c r="O11" s="222"/>
      <c r="P11" s="221"/>
      <c r="Q11" s="223"/>
      <c r="R11" s="1547"/>
      <c r="S11" s="223"/>
      <c r="T11" s="205">
        <v>0.25</v>
      </c>
      <c r="U11" s="205">
        <v>0.35</v>
      </c>
      <c r="V11" s="1550"/>
      <c r="W11" s="223"/>
      <c r="X11" s="223"/>
      <c r="Y11" s="223"/>
      <c r="Z11" s="223"/>
      <c r="AA11" s="223"/>
      <c r="AB11" s="223"/>
      <c r="AC11" s="223"/>
      <c r="AD11" s="223" t="s">
        <v>197</v>
      </c>
      <c r="AE11" s="224"/>
      <c r="AF11" s="223"/>
      <c r="AG11" s="221"/>
      <c r="AH11" s="221"/>
      <c r="AI11" s="221"/>
      <c r="AJ11" s="58" t="s">
        <v>175</v>
      </c>
      <c r="AK11" s="58" t="s">
        <v>176</v>
      </c>
      <c r="AL11" s="58" t="s">
        <v>175</v>
      </c>
      <c r="AM11" s="58" t="s">
        <v>176</v>
      </c>
      <c r="AN11" s="58" t="s">
        <v>175</v>
      </c>
      <c r="AO11" s="58" t="s">
        <v>176</v>
      </c>
      <c r="AP11" s="58" t="s">
        <v>175</v>
      </c>
      <c r="AQ11" s="58" t="s">
        <v>176</v>
      </c>
      <c r="AR11" s="223"/>
      <c r="AS11" s="225"/>
      <c r="AT11" s="223"/>
      <c r="AU11" s="223"/>
      <c r="AV11" s="223"/>
      <c r="AW11" s="223" t="s">
        <v>542</v>
      </c>
      <c r="AX11" s="223"/>
      <c r="AY11" s="511"/>
      <c r="AZ11" s="223" t="s">
        <v>175</v>
      </c>
      <c r="BA11" s="223" t="s">
        <v>176</v>
      </c>
      <c r="BB11" s="223"/>
      <c r="BC11" s="223"/>
      <c r="BD11" s="472"/>
      <c r="BG11" s="12"/>
      <c r="BH11" s="12"/>
    </row>
    <row r="12" spans="1:159" s="6" customFormat="1" ht="15" customHeight="1">
      <c r="A12" s="1" t="s">
        <v>561</v>
      </c>
      <c r="B12" s="1"/>
      <c r="C12" s="15">
        <v>1</v>
      </c>
      <c r="D12" s="267" t="s">
        <v>562</v>
      </c>
      <c r="E12" s="16" t="s">
        <v>563</v>
      </c>
      <c r="F12" s="16" t="s">
        <v>564</v>
      </c>
      <c r="G12" s="16" t="s">
        <v>565</v>
      </c>
      <c r="H12" s="16" t="s">
        <v>71</v>
      </c>
      <c r="I12" s="239" t="s">
        <v>566</v>
      </c>
      <c r="J12" s="15"/>
      <c r="K12" s="25">
        <v>47355900</v>
      </c>
      <c r="L12" s="17">
        <v>44849</v>
      </c>
      <c r="M12" s="17">
        <v>33664</v>
      </c>
      <c r="N12" s="17"/>
      <c r="O12" s="18" t="s">
        <v>567</v>
      </c>
      <c r="P12" s="19" t="s">
        <v>24</v>
      </c>
      <c r="Q12" s="20">
        <f>2500</f>
        <v>2500</v>
      </c>
      <c r="R12" s="20"/>
      <c r="S12" s="20">
        <v>102.5</v>
      </c>
      <c r="T12" s="237"/>
      <c r="U12" s="20"/>
      <c r="V12" s="20"/>
      <c r="W12" s="20"/>
      <c r="X12" s="21"/>
      <c r="Y12" s="20"/>
      <c r="Z12" s="20"/>
      <c r="AA12" s="20"/>
      <c r="AB12" s="20"/>
      <c r="AC12" s="20"/>
      <c r="AD12" s="20"/>
      <c r="AE12" s="20"/>
      <c r="AF12" s="20">
        <f t="shared" ref="AF12:AF19" si="0">SUM(Q12:AD12)-AE12</f>
        <v>2602.5</v>
      </c>
      <c r="AG12" s="20">
        <f t="shared" ref="AG12:AG19" si="1">+Q12+S12+T12+U12+V12+X12-AE12</f>
        <v>2602.5</v>
      </c>
      <c r="AH12" s="22"/>
      <c r="AI12" s="20"/>
      <c r="AJ12" s="23">
        <v>0.1</v>
      </c>
      <c r="AK12" s="20">
        <f>+AG12*AJ12</f>
        <v>260.25</v>
      </c>
      <c r="AL12" s="23">
        <v>0</v>
      </c>
      <c r="AM12" s="20">
        <f>+AG12*AL12</f>
        <v>0</v>
      </c>
      <c r="AN12" s="23">
        <v>1.7000000000000001E-2</v>
      </c>
      <c r="AO12" s="20">
        <f>+AG12*AN12</f>
        <v>44.2425</v>
      </c>
      <c r="AP12" s="23">
        <f>+AJ12+AL12+AN12</f>
        <v>0.11700000000000001</v>
      </c>
      <c r="AQ12" s="20">
        <f>+AK12+AM12+AO12</f>
        <v>304.49250000000001</v>
      </c>
      <c r="AR12" s="20"/>
      <c r="AS12" s="226"/>
      <c r="AT12" s="20"/>
      <c r="AU12" s="20"/>
      <c r="AV12" s="20"/>
      <c r="AW12" s="20"/>
      <c r="AX12" s="20">
        <f t="shared" ref="AX12:AX19" si="2">+AI12+AQ12+AR12+AS12+AT12+AU12+AW12</f>
        <v>304.49250000000001</v>
      </c>
      <c r="AY12" s="503">
        <f>(+AF12-AX12)</f>
        <v>2298.0075000000002</v>
      </c>
      <c r="AZ12" s="22">
        <v>0.09</v>
      </c>
      <c r="BA12" s="20">
        <f t="shared" ref="BA12:BA19" si="3">AG12*AZ12</f>
        <v>234.22499999999999</v>
      </c>
      <c r="BB12" s="20">
        <v>2.88</v>
      </c>
      <c r="BC12" s="24"/>
      <c r="BD12" s="472"/>
      <c r="BE12" s="13"/>
      <c r="BG12" s="525">
        <v>1302.21</v>
      </c>
      <c r="BH12" s="527">
        <v>1256.95</v>
      </c>
      <c r="BI12" s="530">
        <f t="shared" ref="BI12:BI19" si="4">BH12-BG12</f>
        <v>-45.259999999999991</v>
      </c>
      <c r="BJ12" s="528"/>
    </row>
    <row r="13" spans="1:159" s="316" customFormat="1" ht="15" customHeight="1">
      <c r="A13" s="304" t="s">
        <v>561</v>
      </c>
      <c r="B13" s="304"/>
      <c r="C13" s="305">
        <v>2</v>
      </c>
      <c r="D13" s="306" t="s">
        <v>568</v>
      </c>
      <c r="E13" s="306" t="s">
        <v>569</v>
      </c>
      <c r="F13" s="306" t="s">
        <v>570</v>
      </c>
      <c r="G13" s="306" t="s">
        <v>571</v>
      </c>
      <c r="H13" s="306" t="s">
        <v>71</v>
      </c>
      <c r="I13" s="307" t="s">
        <v>572</v>
      </c>
      <c r="J13" s="305"/>
      <c r="K13" s="308" t="s">
        <v>573</v>
      </c>
      <c r="L13" s="309">
        <v>44882</v>
      </c>
      <c r="M13" s="309">
        <v>32172</v>
      </c>
      <c r="N13" s="309"/>
      <c r="O13" s="310" t="s">
        <v>567</v>
      </c>
      <c r="P13" s="311" t="s">
        <v>213</v>
      </c>
      <c r="Q13" s="312">
        <v>1000</v>
      </c>
      <c r="R13" s="312"/>
      <c r="S13" s="312"/>
      <c r="T13" s="237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21"/>
      <c r="AF13" s="312">
        <f t="shared" si="0"/>
        <v>1000</v>
      </c>
      <c r="AG13" s="312">
        <f t="shared" si="1"/>
        <v>1000</v>
      </c>
      <c r="AH13" s="313"/>
      <c r="AI13" s="312"/>
      <c r="AJ13" s="314">
        <v>0.1</v>
      </c>
      <c r="AK13" s="312">
        <f>+AG13*AJ13</f>
        <v>100</v>
      </c>
      <c r="AL13" s="314">
        <v>1.55E-2</v>
      </c>
      <c r="AM13" s="312">
        <f>+AG13*AL13</f>
        <v>15.5</v>
      </c>
      <c r="AN13" s="314">
        <v>1.7000000000000001E-2</v>
      </c>
      <c r="AO13" s="312">
        <f>+AG13*AN13</f>
        <v>17</v>
      </c>
      <c r="AP13" s="314">
        <f>+AJ13+AL13+AN13</f>
        <v>0.13250000000000001</v>
      </c>
      <c r="AQ13" s="312">
        <f>+AK13+AM13+AO13</f>
        <v>132.5</v>
      </c>
      <c r="AR13" s="312"/>
      <c r="AS13" s="324"/>
      <c r="AT13" s="312"/>
      <c r="AU13" s="21"/>
      <c r="AV13" s="312"/>
      <c r="AW13" s="312"/>
      <c r="AX13" s="312">
        <f t="shared" si="2"/>
        <v>132.5</v>
      </c>
      <c r="AY13" s="504">
        <f t="shared" ref="AY13:AY19" si="5">(+AF13-AX13)</f>
        <v>867.5</v>
      </c>
      <c r="AZ13" s="313">
        <v>0.09</v>
      </c>
      <c r="BA13" s="312">
        <f t="shared" si="3"/>
        <v>90</v>
      </c>
      <c r="BB13" s="312">
        <v>1.44</v>
      </c>
      <c r="BC13" s="268"/>
      <c r="BD13" s="473" t="s">
        <v>574</v>
      </c>
      <c r="BE13" s="315"/>
      <c r="BG13" s="520">
        <v>433.75</v>
      </c>
      <c r="BH13" s="520">
        <v>433.75</v>
      </c>
      <c r="BI13" s="6">
        <f t="shared" si="4"/>
        <v>0</v>
      </c>
    </row>
    <row r="14" spans="1:159" s="453" customFormat="1" ht="15" customHeight="1">
      <c r="A14" s="439" t="s">
        <v>561</v>
      </c>
      <c r="B14" s="439"/>
      <c r="C14" s="440">
        <v>3</v>
      </c>
      <c r="D14" s="441" t="s">
        <v>575</v>
      </c>
      <c r="E14" s="441" t="s">
        <v>576</v>
      </c>
      <c r="F14" s="441" t="s">
        <v>577</v>
      </c>
      <c r="G14" s="441"/>
      <c r="H14" s="441"/>
      <c r="I14" s="442"/>
      <c r="J14" s="440"/>
      <c r="K14" s="443">
        <v>8751792</v>
      </c>
      <c r="L14" s="444">
        <v>45078</v>
      </c>
      <c r="M14" s="444">
        <v>20663</v>
      </c>
      <c r="N14" s="444"/>
      <c r="O14" s="445"/>
      <c r="P14" s="446" t="s">
        <v>578</v>
      </c>
      <c r="Q14" s="447">
        <v>834</v>
      </c>
      <c r="R14" s="447"/>
      <c r="S14" s="447"/>
      <c r="T14" s="448"/>
      <c r="U14" s="447"/>
      <c r="V14" s="21"/>
      <c r="W14" s="447"/>
      <c r="X14" s="447"/>
      <c r="Y14" s="447"/>
      <c r="Z14" s="447"/>
      <c r="AA14" s="447"/>
      <c r="AB14" s="447"/>
      <c r="AC14" s="447"/>
      <c r="AD14" s="447"/>
      <c r="AE14" s="447">
        <v>41.67</v>
      </c>
      <c r="AF14" s="447">
        <f>SUM(Q14:AD14)-AE14</f>
        <v>792.33</v>
      </c>
      <c r="AG14" s="447">
        <f t="shared" si="1"/>
        <v>792.33</v>
      </c>
      <c r="AH14" s="449"/>
      <c r="AI14" s="447"/>
      <c r="AJ14" s="450"/>
      <c r="AK14" s="447"/>
      <c r="AL14" s="450"/>
      <c r="AM14" s="447"/>
      <c r="AN14" s="450"/>
      <c r="AO14" s="447"/>
      <c r="AP14" s="450"/>
      <c r="AQ14" s="447"/>
      <c r="AR14" s="447"/>
      <c r="AS14" s="447"/>
      <c r="AT14" s="447"/>
      <c r="AU14" s="447"/>
      <c r="AV14" s="447"/>
      <c r="AW14" s="447"/>
      <c r="AX14" s="447">
        <f t="shared" si="2"/>
        <v>0</v>
      </c>
      <c r="AY14" s="505">
        <f t="shared" si="5"/>
        <v>792.33</v>
      </c>
      <c r="AZ14" s="449">
        <v>0.09</v>
      </c>
      <c r="BA14" s="447">
        <f t="shared" si="3"/>
        <v>71.309700000000007</v>
      </c>
      <c r="BB14" s="447">
        <v>50.42</v>
      </c>
      <c r="BC14" s="451"/>
      <c r="BD14" s="474" t="s">
        <v>574</v>
      </c>
      <c r="BE14" s="452"/>
      <c r="BG14" s="521">
        <v>500.34</v>
      </c>
      <c r="BH14" s="521">
        <v>458.67</v>
      </c>
      <c r="BI14" s="528">
        <f t="shared" si="4"/>
        <v>-41.669999999999959</v>
      </c>
      <c r="BJ14" s="529" t="s">
        <v>579</v>
      </c>
      <c r="BK14" s="529"/>
    </row>
    <row r="15" spans="1:159" s="6" customFormat="1" ht="15" customHeight="1">
      <c r="A15" s="1" t="s">
        <v>561</v>
      </c>
      <c r="B15" s="1"/>
      <c r="C15" s="15">
        <v>5</v>
      </c>
      <c r="D15" s="16" t="s">
        <v>580</v>
      </c>
      <c r="E15" s="16" t="s">
        <v>581</v>
      </c>
      <c r="F15" s="16" t="s">
        <v>582</v>
      </c>
      <c r="G15" s="16" t="s">
        <v>583</v>
      </c>
      <c r="H15" s="16" t="s">
        <v>71</v>
      </c>
      <c r="I15" s="294" t="s">
        <v>584</v>
      </c>
      <c r="J15" s="15"/>
      <c r="K15" s="25">
        <v>73994129</v>
      </c>
      <c r="L15" s="17">
        <v>45384</v>
      </c>
      <c r="M15" s="17">
        <v>37075</v>
      </c>
      <c r="N15" s="17"/>
      <c r="O15" s="18" t="s">
        <v>567</v>
      </c>
      <c r="P15" s="19" t="s">
        <v>24</v>
      </c>
      <c r="Q15" s="20">
        <f>1500</f>
        <v>1500</v>
      </c>
      <c r="R15" s="20"/>
      <c r="S15" s="20"/>
      <c r="T15" s="237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>
        <f t="shared" si="0"/>
        <v>1500</v>
      </c>
      <c r="AG15" s="20">
        <f t="shared" si="1"/>
        <v>1500</v>
      </c>
      <c r="AH15" s="22"/>
      <c r="AI15" s="20"/>
      <c r="AJ15" s="23">
        <v>0.1</v>
      </c>
      <c r="AK15" s="20">
        <f>+AG15*AJ15</f>
        <v>150</v>
      </c>
      <c r="AL15" s="23">
        <v>0</v>
      </c>
      <c r="AM15" s="20"/>
      <c r="AN15" s="23">
        <v>1.7000000000000001E-2</v>
      </c>
      <c r="AO15" s="20">
        <f>+AG15*AN15</f>
        <v>25.500000000000004</v>
      </c>
      <c r="AP15" s="23">
        <f>+AJ15+AL15+AN15</f>
        <v>0.11700000000000001</v>
      </c>
      <c r="AQ15" s="20">
        <f>+AK15+AM15+AO15</f>
        <v>175.5</v>
      </c>
      <c r="AR15" s="20"/>
      <c r="AS15" s="226"/>
      <c r="AT15" s="20"/>
      <c r="AU15" s="269"/>
      <c r="AV15" s="20"/>
      <c r="AW15" s="20"/>
      <c r="AX15" s="20">
        <f t="shared" si="2"/>
        <v>175.5</v>
      </c>
      <c r="AY15" s="503">
        <f t="shared" si="5"/>
        <v>1324.5</v>
      </c>
      <c r="AZ15" s="22">
        <v>0.09</v>
      </c>
      <c r="BA15" s="20">
        <f t="shared" si="3"/>
        <v>135</v>
      </c>
      <c r="BB15" s="20"/>
      <c r="BC15" s="24"/>
      <c r="BD15" s="476" t="s">
        <v>574</v>
      </c>
      <c r="BE15" s="13"/>
      <c r="BG15" s="12">
        <v>750.55</v>
      </c>
      <c r="BH15" s="12">
        <v>750.55</v>
      </c>
      <c r="BI15" s="6">
        <f t="shared" si="4"/>
        <v>0</v>
      </c>
    </row>
    <row r="16" spans="1:159" s="437" customFormat="1" ht="15" customHeight="1">
      <c r="A16" s="420" t="s">
        <v>561</v>
      </c>
      <c r="B16" s="420"/>
      <c r="C16" s="421">
        <v>7</v>
      </c>
      <c r="D16" s="422" t="s">
        <v>585</v>
      </c>
      <c r="E16" s="422" t="s">
        <v>586</v>
      </c>
      <c r="F16" s="422" t="s">
        <v>587</v>
      </c>
      <c r="G16" s="422" t="s">
        <v>588</v>
      </c>
      <c r="H16" s="422" t="s">
        <v>589</v>
      </c>
      <c r="I16" s="423" t="s">
        <v>590</v>
      </c>
      <c r="J16" s="421"/>
      <c r="K16" s="424">
        <v>48053446</v>
      </c>
      <c r="L16" s="425">
        <v>45461</v>
      </c>
      <c r="M16" s="425">
        <v>34178</v>
      </c>
      <c r="N16" s="425"/>
      <c r="O16" s="426" t="s">
        <v>591</v>
      </c>
      <c r="P16" s="427" t="s">
        <v>592</v>
      </c>
      <c r="Q16" s="428">
        <v>750</v>
      </c>
      <c r="R16" s="429"/>
      <c r="S16" s="428"/>
      <c r="T16" s="430"/>
      <c r="U16" s="428"/>
      <c r="V16" s="428"/>
      <c r="W16" s="428"/>
      <c r="X16" s="428"/>
      <c r="Y16" s="428"/>
      <c r="Z16" s="428"/>
      <c r="AA16" s="428"/>
      <c r="AB16" s="428"/>
      <c r="AC16" s="431"/>
      <c r="AD16" s="431"/>
      <c r="AE16" s="432"/>
      <c r="AF16" s="428">
        <f t="shared" si="0"/>
        <v>750</v>
      </c>
      <c r="AG16" s="20">
        <f t="shared" si="1"/>
        <v>750</v>
      </c>
      <c r="AH16" s="433"/>
      <c r="AI16" s="428"/>
      <c r="AJ16" s="434">
        <v>0.1</v>
      </c>
      <c r="AK16" s="432">
        <f>+AG16*AJ16</f>
        <v>75</v>
      </c>
      <c r="AL16" s="434">
        <v>0</v>
      </c>
      <c r="AM16" s="430"/>
      <c r="AN16" s="434">
        <v>1.7000000000000001E-2</v>
      </c>
      <c r="AO16" s="428">
        <f>+AG16*AN16</f>
        <v>12.750000000000002</v>
      </c>
      <c r="AP16" s="434">
        <f>+AJ16+AN16</f>
        <v>0.11700000000000001</v>
      </c>
      <c r="AQ16" s="428">
        <f>+AK16+AM16+AO16</f>
        <v>87.75</v>
      </c>
      <c r="AR16" s="428"/>
      <c r="AS16" s="428"/>
      <c r="AT16" s="428"/>
      <c r="AU16" s="428"/>
      <c r="AV16" s="428"/>
      <c r="AW16" s="435"/>
      <c r="AX16" s="430">
        <f t="shared" si="2"/>
        <v>87.75</v>
      </c>
      <c r="AY16" s="506">
        <f>(+AF16-AX16)</f>
        <v>662.25</v>
      </c>
      <c r="AZ16" s="435">
        <v>0.09</v>
      </c>
      <c r="BA16" s="538">
        <f t="shared" si="3"/>
        <v>67.5</v>
      </c>
      <c r="BB16" s="431"/>
      <c r="BC16" s="422"/>
      <c r="BD16" s="436" t="s">
        <v>574</v>
      </c>
      <c r="BE16" s="420"/>
      <c r="BF16" s="420"/>
      <c r="BG16" s="522">
        <v>286.98</v>
      </c>
      <c r="BH16" s="522">
        <v>286.98</v>
      </c>
      <c r="BI16" s="6">
        <f t="shared" si="4"/>
        <v>0</v>
      </c>
      <c r="BJ16" s="420"/>
      <c r="BK16" s="420"/>
      <c r="BL16" s="420"/>
      <c r="BM16" s="420"/>
      <c r="BN16" s="420"/>
      <c r="BO16" s="420"/>
      <c r="BP16" s="420"/>
      <c r="BQ16" s="420"/>
      <c r="BR16" s="420"/>
      <c r="BS16" s="420"/>
      <c r="BT16" s="420"/>
      <c r="BU16" s="420"/>
      <c r="BV16" s="420"/>
      <c r="BW16" s="420"/>
      <c r="BX16" s="420"/>
      <c r="BY16" s="420"/>
      <c r="BZ16" s="420"/>
      <c r="CA16" s="420"/>
      <c r="CB16" s="420"/>
      <c r="CC16" s="420"/>
      <c r="CD16" s="420"/>
      <c r="CE16" s="420"/>
      <c r="CF16" s="420"/>
      <c r="CG16" s="420"/>
      <c r="CH16" s="420"/>
      <c r="CI16" s="420"/>
      <c r="CJ16" s="420"/>
      <c r="CK16" s="420"/>
      <c r="CL16" s="420"/>
      <c r="CM16" s="420"/>
      <c r="CN16" s="420"/>
      <c r="CO16" s="420"/>
      <c r="CP16" s="420"/>
      <c r="CQ16" s="420"/>
      <c r="CR16" s="420"/>
      <c r="CS16" s="420"/>
      <c r="CT16" s="420"/>
      <c r="CU16" s="420"/>
      <c r="CV16" s="420"/>
      <c r="CW16" s="420"/>
      <c r="CX16" s="420"/>
      <c r="CY16" s="420"/>
      <c r="CZ16" s="420"/>
      <c r="DA16" s="420"/>
      <c r="DB16" s="420"/>
      <c r="DC16" s="420"/>
      <c r="DD16" s="420"/>
      <c r="DE16" s="420"/>
      <c r="DF16" s="420"/>
      <c r="DG16" s="420"/>
      <c r="DH16" s="420"/>
      <c r="DI16" s="420"/>
      <c r="DJ16" s="420"/>
      <c r="DK16" s="420"/>
      <c r="DL16" s="420"/>
      <c r="DM16" s="420"/>
      <c r="DN16" s="420"/>
      <c r="DO16" s="420"/>
      <c r="DP16" s="420"/>
      <c r="DQ16" s="420"/>
      <c r="DR16" s="420"/>
      <c r="DS16" s="420"/>
      <c r="DT16" s="420"/>
      <c r="DU16" s="420"/>
      <c r="DV16" s="420"/>
      <c r="DW16" s="420"/>
      <c r="DX16" s="420"/>
      <c r="DY16" s="420"/>
      <c r="DZ16" s="420"/>
      <c r="EA16" s="420"/>
      <c r="EB16" s="420"/>
      <c r="EC16" s="420"/>
      <c r="ED16" s="420"/>
      <c r="EE16" s="420"/>
      <c r="EF16" s="420"/>
      <c r="EG16" s="420"/>
      <c r="EH16" s="420"/>
      <c r="EI16" s="420"/>
      <c r="EJ16" s="420"/>
      <c r="EK16" s="420"/>
      <c r="EL16" s="420"/>
      <c r="EM16" s="420"/>
      <c r="EN16" s="420"/>
      <c r="EO16" s="420"/>
      <c r="EP16" s="420"/>
      <c r="EQ16" s="420"/>
      <c r="ER16" s="420"/>
      <c r="ES16" s="420"/>
      <c r="ET16" s="420"/>
      <c r="EU16" s="420"/>
      <c r="EV16" s="420"/>
      <c r="EW16" s="420"/>
      <c r="EX16" s="420"/>
      <c r="EY16" s="420"/>
      <c r="EZ16" s="420"/>
      <c r="FA16" s="420"/>
      <c r="FB16" s="420"/>
      <c r="FC16" s="420"/>
    </row>
    <row r="17" spans="1:159" s="6" customFormat="1" ht="15.75" customHeight="1">
      <c r="A17" s="1" t="s">
        <v>561</v>
      </c>
      <c r="B17" s="1"/>
      <c r="C17" s="15">
        <v>8</v>
      </c>
      <c r="D17" s="16" t="s">
        <v>593</v>
      </c>
      <c r="E17" s="16" t="s">
        <v>594</v>
      </c>
      <c r="F17" s="16" t="s">
        <v>595</v>
      </c>
      <c r="G17" s="16" t="s">
        <v>596</v>
      </c>
      <c r="H17" s="16" t="s">
        <v>70</v>
      </c>
      <c r="I17" s="298" t="s">
        <v>597</v>
      </c>
      <c r="J17" s="15"/>
      <c r="K17" s="39">
        <v>70157117</v>
      </c>
      <c r="L17" s="17">
        <v>45425</v>
      </c>
      <c r="M17" s="17">
        <v>33808</v>
      </c>
      <c r="N17" s="17"/>
      <c r="O17" s="18" t="s">
        <v>567</v>
      </c>
      <c r="P17" s="233" t="s">
        <v>44</v>
      </c>
      <c r="Q17" s="20">
        <v>1400</v>
      </c>
      <c r="R17" s="13"/>
      <c r="S17" s="20"/>
      <c r="T17" s="270"/>
      <c r="U17" s="20"/>
      <c r="V17" s="20"/>
      <c r="W17" s="20"/>
      <c r="X17" s="20"/>
      <c r="Y17" s="20"/>
      <c r="Z17" s="20"/>
      <c r="AA17" s="20"/>
      <c r="AB17" s="20"/>
      <c r="AC17" s="41"/>
      <c r="AD17" s="41"/>
      <c r="AE17" s="269"/>
      <c r="AF17" s="20">
        <f t="shared" si="0"/>
        <v>1400</v>
      </c>
      <c r="AG17" s="20">
        <f t="shared" si="1"/>
        <v>1400</v>
      </c>
      <c r="AH17" s="296"/>
      <c r="AI17" s="20"/>
      <c r="AJ17" s="23">
        <v>0.1</v>
      </c>
      <c r="AK17" s="269">
        <f>+AG17*AJ17</f>
        <v>140</v>
      </c>
      <c r="AL17" s="23">
        <v>0</v>
      </c>
      <c r="AM17" s="270"/>
      <c r="AN17" s="23">
        <v>1.7000000000000001E-2</v>
      </c>
      <c r="AO17" s="20">
        <f>+AG17*AN17</f>
        <v>23.8</v>
      </c>
      <c r="AP17" s="23">
        <f>+AJ17+AN17</f>
        <v>0.11700000000000001</v>
      </c>
      <c r="AQ17" s="20">
        <f>+AK17+AM17+AO17</f>
        <v>163.80000000000001</v>
      </c>
      <c r="AR17" s="20"/>
      <c r="AS17" s="20"/>
      <c r="AT17" s="20"/>
      <c r="AU17" s="269"/>
      <c r="AV17" s="20"/>
      <c r="AW17" s="22"/>
      <c r="AX17" s="270">
        <f t="shared" si="2"/>
        <v>163.80000000000001</v>
      </c>
      <c r="AY17" s="503">
        <f t="shared" si="5"/>
        <v>1236.2</v>
      </c>
      <c r="AZ17" s="22">
        <v>0.09</v>
      </c>
      <c r="BA17" s="226">
        <f t="shared" si="3"/>
        <v>126</v>
      </c>
      <c r="BB17" s="41">
        <v>2.09</v>
      </c>
      <c r="BC17" s="16"/>
      <c r="BD17" s="476" t="s">
        <v>574</v>
      </c>
      <c r="BE17" s="1"/>
      <c r="BF17" s="1"/>
      <c r="BG17" s="12">
        <v>700.51</v>
      </c>
      <c r="BH17" s="12">
        <v>700.51</v>
      </c>
      <c r="BI17" s="6">
        <f t="shared" si="4"/>
        <v>0</v>
      </c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</row>
    <row r="18" spans="1:159" s="6" customFormat="1" ht="15" customHeight="1">
      <c r="A18" s="1" t="s">
        <v>561</v>
      </c>
      <c r="B18" s="1"/>
      <c r="C18" s="15">
        <v>9</v>
      </c>
      <c r="D18" s="16" t="s">
        <v>347</v>
      </c>
      <c r="E18" s="16" t="s">
        <v>598</v>
      </c>
      <c r="F18" s="16" t="s">
        <v>599</v>
      </c>
      <c r="G18" s="16" t="s">
        <v>600</v>
      </c>
      <c r="H18" s="16" t="s">
        <v>71</v>
      </c>
      <c r="I18" s="298" t="s">
        <v>601</v>
      </c>
      <c r="J18" s="15"/>
      <c r="K18" s="39">
        <v>77431897</v>
      </c>
      <c r="L18" s="17">
        <v>45425</v>
      </c>
      <c r="M18" s="17">
        <v>38612</v>
      </c>
      <c r="N18" s="17"/>
      <c r="O18" s="18" t="s">
        <v>567</v>
      </c>
      <c r="P18" s="233" t="s">
        <v>602</v>
      </c>
      <c r="Q18" s="20">
        <f>1300</f>
        <v>1300</v>
      </c>
      <c r="R18" s="13"/>
      <c r="S18" s="20"/>
      <c r="T18" s="270"/>
      <c r="U18" s="20"/>
      <c r="V18" s="20"/>
      <c r="W18" s="20"/>
      <c r="X18" s="20"/>
      <c r="Y18" s="20"/>
      <c r="Z18" s="20"/>
      <c r="AA18" s="20"/>
      <c r="AB18" s="20"/>
      <c r="AC18" s="41"/>
      <c r="AD18" s="41"/>
      <c r="AE18" s="269"/>
      <c r="AF18" s="20">
        <f t="shared" si="0"/>
        <v>1300</v>
      </c>
      <c r="AG18" s="20">
        <f t="shared" si="1"/>
        <v>1300</v>
      </c>
      <c r="AH18" s="296"/>
      <c r="AI18" s="20"/>
      <c r="AJ18" s="23">
        <v>0.1</v>
      </c>
      <c r="AK18" s="269">
        <f>+AG18*AJ18</f>
        <v>130</v>
      </c>
      <c r="AL18" s="23">
        <v>0</v>
      </c>
      <c r="AM18" s="270"/>
      <c r="AN18" s="23">
        <v>1.7000000000000001E-2</v>
      </c>
      <c r="AO18" s="20">
        <f>+AG18*AN18</f>
        <v>22.1</v>
      </c>
      <c r="AP18" s="23">
        <f>+AJ18+AN18</f>
        <v>0.11700000000000001</v>
      </c>
      <c r="AQ18" s="20">
        <f>+AK18+AM18+AO18</f>
        <v>152.1</v>
      </c>
      <c r="AR18" s="20"/>
      <c r="AS18" s="20"/>
      <c r="AT18" s="20"/>
      <c r="AU18" s="269"/>
      <c r="AV18" s="20"/>
      <c r="AW18" s="22"/>
      <c r="AX18" s="270">
        <f t="shared" si="2"/>
        <v>152.1</v>
      </c>
      <c r="AY18" s="503">
        <f t="shared" si="5"/>
        <v>1147.9000000000001</v>
      </c>
      <c r="AZ18" s="22">
        <v>0.09</v>
      </c>
      <c r="BA18" s="226">
        <f t="shared" si="3"/>
        <v>117</v>
      </c>
      <c r="BB18" s="41">
        <v>2.88</v>
      </c>
      <c r="BC18" s="16"/>
      <c r="BD18" s="476" t="s">
        <v>574</v>
      </c>
      <c r="BE18" s="1"/>
      <c r="BF18" s="1"/>
      <c r="BG18" s="12">
        <v>573.95000000000005</v>
      </c>
      <c r="BH18" s="12">
        <v>650.48</v>
      </c>
      <c r="BI18" s="6">
        <f t="shared" si="4"/>
        <v>76.529999999999973</v>
      </c>
      <c r="BK18" s="1" t="s">
        <v>603</v>
      </c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</row>
    <row r="19" spans="1:159" s="494" customFormat="1" ht="15" customHeight="1">
      <c r="A19" s="478" t="s">
        <v>561</v>
      </c>
      <c r="B19" s="478"/>
      <c r="C19" s="479">
        <v>10</v>
      </c>
      <c r="D19" s="480" t="s">
        <v>580</v>
      </c>
      <c r="E19" s="480" t="s">
        <v>581</v>
      </c>
      <c r="F19" s="480" t="s">
        <v>604</v>
      </c>
      <c r="G19" s="480" t="s">
        <v>605</v>
      </c>
      <c r="H19" s="480" t="s">
        <v>71</v>
      </c>
      <c r="I19" s="481" t="s">
        <v>606</v>
      </c>
      <c r="J19" s="479"/>
      <c r="K19" s="482">
        <v>73994130</v>
      </c>
      <c r="L19" s="483">
        <v>45425</v>
      </c>
      <c r="M19" s="483">
        <v>37617</v>
      </c>
      <c r="N19" s="483"/>
      <c r="O19" s="484" t="s">
        <v>567</v>
      </c>
      <c r="P19" s="485" t="s">
        <v>607</v>
      </c>
      <c r="Q19" s="438">
        <v>650</v>
      </c>
      <c r="R19" s="486"/>
      <c r="S19" s="438"/>
      <c r="T19" s="487"/>
      <c r="U19" s="438"/>
      <c r="V19" s="438"/>
      <c r="W19" s="438"/>
      <c r="X19" s="438"/>
      <c r="Y19" s="438"/>
      <c r="Z19" s="438"/>
      <c r="AA19" s="438"/>
      <c r="AB19" s="438"/>
      <c r="AC19" s="488"/>
      <c r="AD19" s="488"/>
      <c r="AE19" s="489"/>
      <c r="AF19" s="438">
        <f t="shared" si="0"/>
        <v>650</v>
      </c>
      <c r="AG19" s="438">
        <f t="shared" si="1"/>
        <v>650</v>
      </c>
      <c r="AH19" s="490"/>
      <c r="AI19" s="438"/>
      <c r="AJ19" s="491">
        <v>0.1</v>
      </c>
      <c r="AK19" s="489">
        <f>+AG19*AJ19</f>
        <v>65</v>
      </c>
      <c r="AL19" s="491">
        <v>0</v>
      </c>
      <c r="AM19" s="487"/>
      <c r="AN19" s="491">
        <v>1.7000000000000001E-2</v>
      </c>
      <c r="AO19" s="438">
        <f>+AG19*AN19</f>
        <v>11.05</v>
      </c>
      <c r="AP19" s="491">
        <f>+AJ19+AN19</f>
        <v>0.11700000000000001</v>
      </c>
      <c r="AQ19" s="438">
        <f>+AK19+AM19+AO19</f>
        <v>76.05</v>
      </c>
      <c r="AR19" s="438"/>
      <c r="AS19" s="438"/>
      <c r="AT19" s="438"/>
      <c r="AU19" s="489"/>
      <c r="AV19" s="438"/>
      <c r="AW19" s="492"/>
      <c r="AX19" s="487">
        <f t="shared" si="2"/>
        <v>76.05</v>
      </c>
      <c r="AY19" s="507">
        <f t="shared" si="5"/>
        <v>573.95000000000005</v>
      </c>
      <c r="AZ19" s="492">
        <v>0.09</v>
      </c>
      <c r="BA19" s="438">
        <f t="shared" si="3"/>
        <v>58.5</v>
      </c>
      <c r="BB19" s="488">
        <v>2.88</v>
      </c>
      <c r="BC19" s="480"/>
      <c r="BD19" s="493" t="s">
        <v>574</v>
      </c>
      <c r="BE19" s="478"/>
      <c r="BF19" s="478"/>
      <c r="BG19" s="523">
        <v>286.97000000000003</v>
      </c>
      <c r="BH19" s="523">
        <v>286.97000000000003</v>
      </c>
      <c r="BI19" s="6">
        <f t="shared" si="4"/>
        <v>0</v>
      </c>
      <c r="BJ19" s="478"/>
      <c r="BK19" s="478"/>
      <c r="BL19" s="478"/>
      <c r="BM19" s="478"/>
      <c r="BN19" s="478"/>
      <c r="BO19" s="478"/>
      <c r="BP19" s="478"/>
      <c r="BQ19" s="478"/>
      <c r="BR19" s="478"/>
      <c r="BS19" s="478"/>
      <c r="BT19" s="478"/>
      <c r="BU19" s="478"/>
      <c r="BV19" s="478"/>
      <c r="BW19" s="478"/>
      <c r="BX19" s="478"/>
      <c r="BY19" s="478"/>
      <c r="BZ19" s="478"/>
      <c r="CA19" s="478"/>
      <c r="CB19" s="478"/>
      <c r="CC19" s="478"/>
      <c r="CD19" s="478"/>
      <c r="CE19" s="478"/>
      <c r="CF19" s="478"/>
      <c r="CG19" s="478"/>
      <c r="CH19" s="478"/>
      <c r="CI19" s="478"/>
      <c r="CJ19" s="478"/>
      <c r="CK19" s="478"/>
      <c r="CL19" s="478"/>
      <c r="CM19" s="478"/>
      <c r="CN19" s="478"/>
      <c r="CO19" s="478"/>
      <c r="CP19" s="478"/>
      <c r="CQ19" s="478"/>
      <c r="CR19" s="478"/>
      <c r="CS19" s="478"/>
      <c r="CT19" s="478"/>
      <c r="CU19" s="478"/>
      <c r="CV19" s="478"/>
      <c r="CW19" s="478"/>
      <c r="CX19" s="478"/>
      <c r="CY19" s="478"/>
      <c r="CZ19" s="478"/>
      <c r="DA19" s="478"/>
      <c r="DB19" s="478"/>
      <c r="DC19" s="478"/>
      <c r="DD19" s="478"/>
      <c r="DE19" s="478"/>
      <c r="DF19" s="478"/>
      <c r="DG19" s="478"/>
      <c r="DH19" s="478"/>
      <c r="DI19" s="478"/>
      <c r="DJ19" s="478"/>
      <c r="DK19" s="478"/>
      <c r="DL19" s="478"/>
      <c r="DM19" s="478"/>
      <c r="DN19" s="478"/>
      <c r="DO19" s="478"/>
      <c r="DP19" s="478"/>
      <c r="DQ19" s="478"/>
      <c r="DR19" s="478"/>
      <c r="DS19" s="478"/>
      <c r="DT19" s="478"/>
      <c r="DU19" s="478"/>
      <c r="DV19" s="478"/>
      <c r="DW19" s="478"/>
      <c r="DX19" s="478"/>
      <c r="DY19" s="478"/>
      <c r="DZ19" s="478"/>
      <c r="EA19" s="478"/>
      <c r="EB19" s="478"/>
      <c r="EC19" s="478"/>
      <c r="ED19" s="478"/>
      <c r="EE19" s="478"/>
      <c r="EF19" s="478"/>
      <c r="EG19" s="478"/>
      <c r="EH19" s="478"/>
      <c r="EI19" s="478"/>
      <c r="EJ19" s="478"/>
      <c r="EK19" s="478"/>
      <c r="EL19" s="478"/>
      <c r="EM19" s="478"/>
      <c r="EN19" s="478"/>
      <c r="EO19" s="478"/>
      <c r="EP19" s="478"/>
      <c r="EQ19" s="478"/>
      <c r="ER19" s="478"/>
      <c r="ES19" s="478"/>
      <c r="ET19" s="478"/>
      <c r="EU19" s="478"/>
      <c r="EV19" s="478"/>
      <c r="EW19" s="478"/>
      <c r="EX19" s="478"/>
      <c r="EY19" s="478"/>
      <c r="EZ19" s="478"/>
      <c r="FA19" s="478"/>
      <c r="FB19" s="478"/>
      <c r="FC19" s="478"/>
    </row>
    <row r="20" spans="1:159" s="6" customFormat="1" ht="15" customHeight="1" thickBot="1">
      <c r="A20" s="264"/>
      <c r="B20" s="27"/>
      <c r="C20" s="15"/>
      <c r="D20" s="247"/>
      <c r="E20" s="248"/>
      <c r="F20" s="248"/>
      <c r="G20" s="248"/>
      <c r="H20" s="248"/>
      <c r="I20" s="249"/>
      <c r="J20" s="250"/>
      <c r="K20" s="251"/>
      <c r="L20" s="252"/>
      <c r="M20" s="252"/>
      <c r="N20" s="252"/>
      <c r="O20" s="253"/>
      <c r="P20" s="254"/>
      <c r="Q20" s="255"/>
      <c r="R20" s="255"/>
      <c r="S20" s="255"/>
      <c r="T20" s="256"/>
      <c r="U20" s="255"/>
      <c r="V20" s="260"/>
      <c r="W20" s="255"/>
      <c r="X20" s="255"/>
      <c r="Y20" s="255"/>
      <c r="Z20" s="255"/>
      <c r="AA20" s="255"/>
      <c r="AB20" s="255"/>
      <c r="AC20" s="255"/>
      <c r="AD20" s="255"/>
      <c r="AE20" s="255"/>
      <c r="AF20" s="20"/>
      <c r="AG20" s="255"/>
      <c r="AH20" s="257"/>
      <c r="AI20" s="258"/>
      <c r="AJ20" s="259"/>
      <c r="AK20" s="255"/>
      <c r="AL20" s="259"/>
      <c r="AM20" s="255"/>
      <c r="AN20" s="259"/>
      <c r="AO20" s="255"/>
      <c r="AP20" s="259"/>
      <c r="AQ20" s="255"/>
      <c r="AR20" s="255"/>
      <c r="AS20" s="260"/>
      <c r="AT20" s="258"/>
      <c r="AU20" s="261"/>
      <c r="AV20" s="258"/>
      <c r="AW20" s="258"/>
      <c r="AX20" s="262"/>
      <c r="AY20" s="503"/>
      <c r="AZ20" s="22"/>
      <c r="BA20" s="20"/>
      <c r="BB20" s="20"/>
      <c r="BC20" s="37"/>
      <c r="BD20" s="417"/>
      <c r="BE20" s="38"/>
      <c r="BF20" s="38"/>
      <c r="BG20" s="524"/>
      <c r="BH20" s="524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</row>
    <row r="21" spans="1:159" s="8" customFormat="1" ht="15" customHeight="1" thickBot="1">
      <c r="A21" s="349" t="s">
        <v>561</v>
      </c>
      <c r="B21" s="340"/>
      <c r="C21" s="341"/>
      <c r="D21" s="342"/>
      <c r="E21" s="342"/>
      <c r="F21" s="342"/>
      <c r="G21" s="342"/>
      <c r="H21" s="342"/>
      <c r="I21" s="343"/>
      <c r="J21" s="341"/>
      <c r="K21" s="344"/>
      <c r="L21" s="345"/>
      <c r="M21" s="345"/>
      <c r="N21" s="345"/>
      <c r="O21" s="350"/>
      <c r="P21" s="346"/>
      <c r="Q21" s="347">
        <f>SUM(Q12:Q20)</f>
        <v>9934</v>
      </c>
      <c r="R21" s="347"/>
      <c r="S21" s="347">
        <f t="shared" ref="S21:Z21" si="6">SUM(S12:S20)</f>
        <v>102.5</v>
      </c>
      <c r="T21" s="347">
        <f t="shared" si="6"/>
        <v>0</v>
      </c>
      <c r="U21" s="347">
        <f t="shared" si="6"/>
        <v>0</v>
      </c>
      <c r="V21" s="347">
        <f t="shared" si="6"/>
        <v>0</v>
      </c>
      <c r="W21" s="347">
        <f t="shared" si="6"/>
        <v>0</v>
      </c>
      <c r="X21" s="347">
        <f t="shared" si="6"/>
        <v>0</v>
      </c>
      <c r="Y21" s="347">
        <f t="shared" si="6"/>
        <v>0</v>
      </c>
      <c r="Z21" s="347">
        <f t="shared" si="6"/>
        <v>0</v>
      </c>
      <c r="AA21" s="347"/>
      <c r="AB21" s="347">
        <f t="shared" ref="AB21:AG21" si="7">SUM(AB12:AB20)</f>
        <v>0</v>
      </c>
      <c r="AC21" s="347">
        <f t="shared" si="7"/>
        <v>0</v>
      </c>
      <c r="AD21" s="347">
        <f t="shared" si="7"/>
        <v>0</v>
      </c>
      <c r="AE21" s="347">
        <f t="shared" si="7"/>
        <v>41.67</v>
      </c>
      <c r="AF21" s="347">
        <f t="shared" si="7"/>
        <v>9994.83</v>
      </c>
      <c r="AG21" s="347">
        <f t="shared" si="7"/>
        <v>9994.83</v>
      </c>
      <c r="AH21" s="347"/>
      <c r="AI21" s="347">
        <f>SUM(AI12:AI20)</f>
        <v>0</v>
      </c>
      <c r="AJ21" s="347"/>
      <c r="AK21" s="347">
        <f>SUM(AK12:AK20)</f>
        <v>920.25</v>
      </c>
      <c r="AL21" s="347"/>
      <c r="AM21" s="347">
        <f>SUM(AM12:AM20)</f>
        <v>15.5</v>
      </c>
      <c r="AN21" s="347"/>
      <c r="AO21" s="347">
        <f>SUM(AO12:AO20)</f>
        <v>156.44250000000002</v>
      </c>
      <c r="AP21" s="347"/>
      <c r="AQ21" s="347">
        <f>SUM(AQ12:AQ20)</f>
        <v>1092.1925000000001</v>
      </c>
      <c r="AR21" s="347">
        <f>SUM(AR12:AR20)</f>
        <v>0</v>
      </c>
      <c r="AS21" s="347">
        <f>SUM(AS12:AS20)</f>
        <v>0</v>
      </c>
      <c r="AT21" s="347">
        <f>SUM(AT12:AT14)</f>
        <v>0</v>
      </c>
      <c r="AU21" s="347">
        <f>SUM(AU12:AU20)</f>
        <v>0</v>
      </c>
      <c r="AV21" s="347"/>
      <c r="AW21" s="347"/>
      <c r="AX21" s="347">
        <f>SUM(AX12:AX20)</f>
        <v>1092.1925000000001</v>
      </c>
      <c r="AY21" s="347">
        <f>SUM(AY12:AY20)</f>
        <v>8902.6375000000007</v>
      </c>
      <c r="AZ21" s="347"/>
      <c r="BA21" s="348">
        <f>SUM(BA12:BA20)</f>
        <v>899.53470000000004</v>
      </c>
      <c r="BB21" s="339">
        <f>SUM(BB12:BB20)</f>
        <v>62.59</v>
      </c>
      <c r="BC21" s="26"/>
      <c r="BD21" s="419"/>
      <c r="BG21" s="5"/>
      <c r="BH21" s="5"/>
    </row>
    <row r="22" spans="1:159" s="6" customFormat="1" ht="15" customHeight="1">
      <c r="A22" s="27"/>
      <c r="B22" s="27"/>
      <c r="C22" s="28"/>
      <c r="D22" s="29"/>
      <c r="E22" s="29"/>
      <c r="F22" s="29"/>
      <c r="G22" s="29"/>
      <c r="H22" s="29"/>
      <c r="I22" s="244"/>
      <c r="J22" s="28"/>
      <c r="K22" s="30"/>
      <c r="L22" s="31"/>
      <c r="M22" s="31"/>
      <c r="N22" s="31"/>
      <c r="O22" s="32"/>
      <c r="P22" s="33"/>
      <c r="Q22" s="21"/>
      <c r="R22" s="21"/>
      <c r="S22" s="21"/>
      <c r="T22" s="237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34"/>
      <c r="AF22" s="21"/>
      <c r="AG22" s="21"/>
      <c r="AH22" s="35"/>
      <c r="AI22" s="21"/>
      <c r="AJ22" s="36"/>
      <c r="AK22" s="21"/>
      <c r="AL22" s="36"/>
      <c r="AM22" s="21"/>
      <c r="AN22" s="36"/>
      <c r="AO22" s="21"/>
      <c r="AP22" s="36"/>
      <c r="AQ22" s="21"/>
      <c r="AR22" s="21"/>
      <c r="AS22" s="226"/>
      <c r="AT22" s="21"/>
      <c r="AU22" s="227"/>
      <c r="AV22" s="21"/>
      <c r="AW22" s="21"/>
      <c r="AX22" s="228"/>
      <c r="AY22" s="512"/>
      <c r="AZ22" s="35"/>
      <c r="BA22" s="21"/>
      <c r="BB22" s="21"/>
      <c r="BC22" s="37"/>
      <c r="BD22" s="417"/>
      <c r="BE22" s="38"/>
      <c r="BF22" s="38"/>
      <c r="BG22" s="524"/>
      <c r="BH22" s="524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</row>
    <row r="23" spans="1:159" s="6" customFormat="1" ht="15" customHeight="1">
      <c r="A23" s="1" t="s">
        <v>608</v>
      </c>
      <c r="B23" s="27"/>
      <c r="C23" s="15">
        <v>1</v>
      </c>
      <c r="D23" s="267" t="s">
        <v>609</v>
      </c>
      <c r="E23" s="16" t="s">
        <v>610</v>
      </c>
      <c r="F23" s="16" t="s">
        <v>611</v>
      </c>
      <c r="G23" s="16" t="s">
        <v>612</v>
      </c>
      <c r="H23" s="16" t="s">
        <v>72</v>
      </c>
      <c r="I23" s="294" t="s">
        <v>613</v>
      </c>
      <c r="J23" s="15"/>
      <c r="K23" s="25" t="s">
        <v>614</v>
      </c>
      <c r="L23" s="17">
        <v>45017</v>
      </c>
      <c r="M23" s="17">
        <v>33165</v>
      </c>
      <c r="N23" s="17"/>
      <c r="O23" s="18" t="s">
        <v>567</v>
      </c>
      <c r="P23" s="19" t="s">
        <v>32</v>
      </c>
      <c r="Q23" s="20">
        <f>3000</f>
        <v>3000</v>
      </c>
      <c r="R23" s="20"/>
      <c r="S23" s="20">
        <v>102.5</v>
      </c>
      <c r="T23" s="237"/>
      <c r="U23" s="20"/>
      <c r="V23" s="226"/>
      <c r="W23" s="20"/>
      <c r="X23" s="20"/>
      <c r="Y23" s="20"/>
      <c r="Z23" s="20"/>
      <c r="AA23" s="20"/>
      <c r="AB23" s="20"/>
      <c r="AC23" s="20"/>
      <c r="AD23" s="20"/>
      <c r="AE23" s="21"/>
      <c r="AF23" s="20">
        <f t="shared" ref="AF23:AF31" si="8">SUM(Q23:AD23)-AE23</f>
        <v>3102.5</v>
      </c>
      <c r="AG23" s="20">
        <f>+Q23+S23+T23+U23+V23+X23+R23-AE23</f>
        <v>3102.5</v>
      </c>
      <c r="AH23" s="35"/>
      <c r="AI23" s="21"/>
      <c r="AJ23" s="23">
        <v>0.1</v>
      </c>
      <c r="AK23" s="20">
        <f>+AG23*AJ23</f>
        <v>310.25</v>
      </c>
      <c r="AL23" s="23">
        <v>1.6E-2</v>
      </c>
      <c r="AM23" s="20">
        <f>+AG23*AL23</f>
        <v>49.64</v>
      </c>
      <c r="AN23" s="23">
        <v>1.7000000000000001E-2</v>
      </c>
      <c r="AO23" s="20">
        <f>+AG23*AN23</f>
        <v>52.742500000000007</v>
      </c>
      <c r="AP23" s="23">
        <f t="shared" ref="AP23:AQ25" si="9">+AJ23+AL23+AN23</f>
        <v>0.13300000000000001</v>
      </c>
      <c r="AQ23" s="20">
        <f t="shared" si="9"/>
        <v>412.63249999999999</v>
      </c>
      <c r="AR23" s="20">
        <f>30.41</f>
        <v>30.41</v>
      </c>
      <c r="AS23" s="226"/>
      <c r="AT23" s="21"/>
      <c r="AU23" s="227">
        <v>250</v>
      </c>
      <c r="AV23" s="21"/>
      <c r="AW23" s="21"/>
      <c r="AX23" s="270">
        <f t="shared" ref="AX23:AX31" si="10">+AI23+AQ23+AR23+AS23+AT23+AU23+AW23</f>
        <v>693.04250000000002</v>
      </c>
      <c r="AY23" s="503">
        <f t="shared" ref="AY23:AY31" si="11">(+AF23-AX23)</f>
        <v>2409.4575</v>
      </c>
      <c r="AZ23" s="22">
        <v>0.09</v>
      </c>
      <c r="BA23" s="20">
        <f>AG23*AZ23</f>
        <v>279.22499999999997</v>
      </c>
      <c r="BB23" s="20">
        <v>2.88</v>
      </c>
      <c r="BC23" s="24"/>
      <c r="BD23" s="476" t="s">
        <v>574</v>
      </c>
      <c r="BE23" s="38"/>
      <c r="BF23" s="38"/>
      <c r="BG23" s="525">
        <v>1249.95</v>
      </c>
      <c r="BH23" s="525">
        <v>1339.61</v>
      </c>
      <c r="BI23" s="6">
        <f t="shared" ref="BI23:BI31" si="12">BH23-BG23</f>
        <v>89.659999999999854</v>
      </c>
      <c r="BK23" s="1" t="s">
        <v>603</v>
      </c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</row>
    <row r="24" spans="1:159" s="316" customFormat="1" ht="15" customHeight="1">
      <c r="A24" s="304" t="s">
        <v>608</v>
      </c>
      <c r="B24" s="304"/>
      <c r="C24" s="305">
        <v>2</v>
      </c>
      <c r="D24" s="306" t="s">
        <v>568</v>
      </c>
      <c r="E24" s="306" t="s">
        <v>569</v>
      </c>
      <c r="F24" s="306" t="s">
        <v>570</v>
      </c>
      <c r="G24" s="306" t="s">
        <v>571</v>
      </c>
      <c r="H24" s="317" t="s">
        <v>71</v>
      </c>
      <c r="I24" s="318" t="s">
        <v>572</v>
      </c>
      <c r="J24" s="319"/>
      <c r="K24" s="320" t="s">
        <v>573</v>
      </c>
      <c r="L24" s="321">
        <v>44882</v>
      </c>
      <c r="M24" s="321">
        <v>32172</v>
      </c>
      <c r="N24" s="321"/>
      <c r="O24" s="322" t="s">
        <v>615</v>
      </c>
      <c r="P24" s="323" t="s">
        <v>213</v>
      </c>
      <c r="Q24" s="324">
        <v>1000</v>
      </c>
      <c r="R24" s="324"/>
      <c r="S24" s="324"/>
      <c r="T24" s="324"/>
      <c r="U24" s="324"/>
      <c r="V24" s="325"/>
      <c r="W24" s="324"/>
      <c r="X24" s="324"/>
      <c r="Y24" s="324"/>
      <c r="Z24" s="324"/>
      <c r="AA24" s="324"/>
      <c r="AB24" s="324"/>
      <c r="AC24" s="324"/>
      <c r="AD24" s="324"/>
      <c r="AE24" s="324"/>
      <c r="AF24" s="324">
        <f t="shared" si="8"/>
        <v>1000</v>
      </c>
      <c r="AG24" s="312">
        <f t="shared" ref="AG24:AG31" si="13">+Q24+S24+T24+U24+V24+X24-AE24</f>
        <v>1000</v>
      </c>
      <c r="AH24" s="326"/>
      <c r="AI24" s="324"/>
      <c r="AJ24" s="327">
        <v>0.1</v>
      </c>
      <c r="AK24" s="324">
        <f>+AG24*AJ24</f>
        <v>100</v>
      </c>
      <c r="AL24" s="327">
        <v>1.55E-2</v>
      </c>
      <c r="AM24" s="324">
        <f>+AG24*AL24</f>
        <v>15.5</v>
      </c>
      <c r="AN24" s="327">
        <v>1.7000000000000001E-2</v>
      </c>
      <c r="AO24" s="324">
        <f>+AG24*AN24</f>
        <v>17</v>
      </c>
      <c r="AP24" s="327">
        <f t="shared" si="9"/>
        <v>0.13250000000000001</v>
      </c>
      <c r="AQ24" s="324">
        <f t="shared" si="9"/>
        <v>132.5</v>
      </c>
      <c r="AR24" s="324"/>
      <c r="AS24" s="324"/>
      <c r="AT24" s="324"/>
      <c r="AU24" s="261"/>
      <c r="AV24" s="324"/>
      <c r="AW24" s="324"/>
      <c r="AX24" s="328">
        <f t="shared" si="10"/>
        <v>132.5</v>
      </c>
      <c r="AY24" s="504">
        <f t="shared" si="11"/>
        <v>867.5</v>
      </c>
      <c r="AZ24" s="313">
        <v>0.09</v>
      </c>
      <c r="BA24" s="312">
        <f>AG24*AZ24</f>
        <v>90</v>
      </c>
      <c r="BB24" s="312">
        <v>1.44</v>
      </c>
      <c r="BC24" s="268"/>
      <c r="BD24" s="473" t="s">
        <v>574</v>
      </c>
      <c r="BE24" s="315"/>
      <c r="BG24" s="520">
        <v>433.75</v>
      </c>
      <c r="BH24" s="520">
        <v>433.75</v>
      </c>
      <c r="BI24" s="6">
        <f t="shared" si="12"/>
        <v>0</v>
      </c>
    </row>
    <row r="25" spans="1:159" s="232" customFormat="1" ht="15" customHeight="1">
      <c r="A25" s="206" t="s">
        <v>608</v>
      </c>
      <c r="B25" s="206"/>
      <c r="C25" s="271">
        <v>3</v>
      </c>
      <c r="D25" s="267" t="s">
        <v>616</v>
      </c>
      <c r="E25" s="267" t="s">
        <v>617</v>
      </c>
      <c r="F25" s="267" t="s">
        <v>618</v>
      </c>
      <c r="G25" s="267" t="s">
        <v>619</v>
      </c>
      <c r="H25" s="267" t="s">
        <v>71</v>
      </c>
      <c r="I25" s="495" t="s">
        <v>620</v>
      </c>
      <c r="J25" s="271"/>
      <c r="K25" s="496" t="s">
        <v>621</v>
      </c>
      <c r="L25" s="230">
        <v>45078</v>
      </c>
      <c r="M25" s="230">
        <v>34617</v>
      </c>
      <c r="N25" s="230"/>
      <c r="O25" s="231" t="s">
        <v>622</v>
      </c>
      <c r="P25" s="497" t="s">
        <v>623</v>
      </c>
      <c r="Q25" s="226">
        <f>2000</f>
        <v>2000</v>
      </c>
      <c r="R25" s="226"/>
      <c r="S25" s="226">
        <v>102.5</v>
      </c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338"/>
      <c r="AF25" s="226">
        <f t="shared" si="8"/>
        <v>2102.5</v>
      </c>
      <c r="AG25" s="226">
        <f t="shared" si="13"/>
        <v>2102.5</v>
      </c>
      <c r="AH25" s="274"/>
      <c r="AI25" s="226"/>
      <c r="AJ25" s="498">
        <v>0.1</v>
      </c>
      <c r="AK25" s="226">
        <f>+AG25*AJ25</f>
        <v>210.25</v>
      </c>
      <c r="AL25" s="498">
        <v>0</v>
      </c>
      <c r="AM25" s="226"/>
      <c r="AN25" s="498">
        <v>1.7000000000000001E-2</v>
      </c>
      <c r="AO25" s="226">
        <f>+AG25*AN25</f>
        <v>35.7425</v>
      </c>
      <c r="AP25" s="498">
        <f t="shared" si="9"/>
        <v>0.11700000000000001</v>
      </c>
      <c r="AQ25" s="226">
        <f t="shared" si="9"/>
        <v>245.99250000000001</v>
      </c>
      <c r="AR25" s="226"/>
      <c r="AS25" s="226"/>
      <c r="AT25" s="226"/>
      <c r="AU25" s="531"/>
      <c r="AV25" s="226"/>
      <c r="AW25" s="226"/>
      <c r="AX25" s="499">
        <f t="shared" si="10"/>
        <v>245.99250000000001</v>
      </c>
      <c r="AY25" s="513">
        <f>(+AF25-AX25)</f>
        <v>1856.5074999999999</v>
      </c>
      <c r="AZ25" s="274">
        <v>0.09</v>
      </c>
      <c r="BA25" s="226">
        <f>+AG25*AZ25</f>
        <v>189.22499999999999</v>
      </c>
      <c r="BB25" s="226">
        <v>2.88</v>
      </c>
      <c r="BC25" s="500"/>
      <c r="BD25" s="476" t="s">
        <v>574</v>
      </c>
      <c r="BE25" s="208"/>
      <c r="BG25" s="525">
        <v>883</v>
      </c>
      <c r="BH25" s="525">
        <v>1006.77</v>
      </c>
      <c r="BI25" s="6">
        <f t="shared" si="12"/>
        <v>123.76999999999998</v>
      </c>
      <c r="BK25" s="1" t="s">
        <v>603</v>
      </c>
    </row>
    <row r="26" spans="1:159" s="453" customFormat="1" ht="15" customHeight="1">
      <c r="A26" s="439" t="s">
        <v>608</v>
      </c>
      <c r="B26" s="439"/>
      <c r="C26" s="440">
        <v>4</v>
      </c>
      <c r="D26" s="441" t="s">
        <v>575</v>
      </c>
      <c r="E26" s="441" t="s">
        <v>576</v>
      </c>
      <c r="F26" s="441" t="s">
        <v>577</v>
      </c>
      <c r="G26" s="441"/>
      <c r="H26" s="454"/>
      <c r="I26" s="455"/>
      <c r="J26" s="456"/>
      <c r="K26" s="457" t="s">
        <v>624</v>
      </c>
      <c r="L26" s="458">
        <v>45078</v>
      </c>
      <c r="M26" s="458">
        <v>20663</v>
      </c>
      <c r="N26" s="458"/>
      <c r="O26" s="459"/>
      <c r="P26" s="460" t="s">
        <v>578</v>
      </c>
      <c r="Q26" s="461">
        <v>834</v>
      </c>
      <c r="R26" s="461"/>
      <c r="S26" s="461"/>
      <c r="T26" s="461"/>
      <c r="U26" s="461"/>
      <c r="V26" s="21"/>
      <c r="W26" s="461"/>
      <c r="X26" s="461"/>
      <c r="Y26" s="461"/>
      <c r="Z26" s="461"/>
      <c r="AA26" s="461"/>
      <c r="AB26" s="461"/>
      <c r="AC26" s="461"/>
      <c r="AD26" s="461"/>
      <c r="AE26" s="462">
        <v>41.66</v>
      </c>
      <c r="AF26" s="461">
        <f t="shared" si="8"/>
        <v>792.34</v>
      </c>
      <c r="AG26" s="461">
        <f t="shared" si="13"/>
        <v>792.34</v>
      </c>
      <c r="AH26" s="463"/>
      <c r="AI26" s="461"/>
      <c r="AJ26" s="464"/>
      <c r="AK26" s="461"/>
      <c r="AL26" s="464"/>
      <c r="AM26" s="461"/>
      <c r="AN26" s="464"/>
      <c r="AO26" s="461"/>
      <c r="AP26" s="464"/>
      <c r="AQ26" s="461"/>
      <c r="AR26" s="461"/>
      <c r="AS26" s="461"/>
      <c r="AT26" s="461"/>
      <c r="AU26" s="465"/>
      <c r="AV26" s="454"/>
      <c r="AW26" s="461"/>
      <c r="AX26" s="466">
        <f t="shared" si="10"/>
        <v>0</v>
      </c>
      <c r="AY26" s="505">
        <f t="shared" si="11"/>
        <v>792.34</v>
      </c>
      <c r="AZ26" s="449">
        <v>0.09</v>
      </c>
      <c r="BA26" s="447">
        <f>+AG26*AZ26</f>
        <v>71.310599999999994</v>
      </c>
      <c r="BB26" s="447">
        <v>50.42</v>
      </c>
      <c r="BC26" s="451"/>
      <c r="BD26" s="474" t="s">
        <v>574</v>
      </c>
      <c r="BE26" s="452"/>
      <c r="BG26" s="521">
        <v>500.33</v>
      </c>
      <c r="BH26" s="521">
        <v>458.67</v>
      </c>
      <c r="BI26" s="528">
        <f t="shared" si="12"/>
        <v>-41.659999999999968</v>
      </c>
      <c r="BJ26" s="529" t="s">
        <v>579</v>
      </c>
      <c r="BK26" s="529"/>
    </row>
    <row r="27" spans="1:159" s="6" customFormat="1" ht="15.75" customHeight="1">
      <c r="A27" s="1" t="s">
        <v>608</v>
      </c>
      <c r="B27" s="1"/>
      <c r="C27" s="15">
        <v>5</v>
      </c>
      <c r="D27" s="16" t="s">
        <v>625</v>
      </c>
      <c r="E27" s="16" t="s">
        <v>626</v>
      </c>
      <c r="F27" s="16" t="s">
        <v>627</v>
      </c>
      <c r="G27" s="16"/>
      <c r="H27" s="16" t="s">
        <v>628</v>
      </c>
      <c r="I27" s="239"/>
      <c r="J27" s="15"/>
      <c r="K27" s="25" t="s">
        <v>629</v>
      </c>
      <c r="L27" s="17">
        <v>45385</v>
      </c>
      <c r="M27" s="17">
        <v>26727</v>
      </c>
      <c r="N27" s="17"/>
      <c r="O27" s="18"/>
      <c r="P27" s="19" t="s">
        <v>630</v>
      </c>
      <c r="Q27" s="20">
        <v>5934.56</v>
      </c>
      <c r="R27" s="20"/>
      <c r="S27" s="20"/>
      <c r="T27" s="237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>
        <f t="shared" si="8"/>
        <v>5934.56</v>
      </c>
      <c r="AG27" s="20">
        <f t="shared" si="13"/>
        <v>5934.56</v>
      </c>
      <c r="AH27" s="22">
        <v>0.13</v>
      </c>
      <c r="AI27" s="20">
        <f>AG27*AH27</f>
        <v>771.4928000000001</v>
      </c>
      <c r="AJ27" s="23"/>
      <c r="AK27" s="20"/>
      <c r="AL27" s="23"/>
      <c r="AM27" s="20"/>
      <c r="AN27" s="23"/>
      <c r="AO27" s="20"/>
      <c r="AP27" s="23"/>
      <c r="AQ27" s="20"/>
      <c r="AR27" s="20">
        <f>163.06</f>
        <v>163.06</v>
      </c>
      <c r="AS27" s="226"/>
      <c r="AT27" s="20"/>
      <c r="AU27" s="227"/>
      <c r="AV27" s="20"/>
      <c r="AW27" s="20"/>
      <c r="AX27" s="20">
        <f t="shared" si="10"/>
        <v>934.55280000000016</v>
      </c>
      <c r="AY27" s="503">
        <f t="shared" si="11"/>
        <v>5000.0072</v>
      </c>
      <c r="AZ27" s="22">
        <v>0.09</v>
      </c>
      <c r="BA27" s="20">
        <f>AG27*AZ27</f>
        <v>534.11040000000003</v>
      </c>
      <c r="BB27" s="20"/>
      <c r="BC27" s="24"/>
      <c r="BD27" s="476" t="s">
        <v>574</v>
      </c>
      <c r="BE27" s="13"/>
      <c r="BG27" s="12">
        <v>2000.01</v>
      </c>
      <c r="BH27" s="12">
        <v>2001.01</v>
      </c>
      <c r="BI27" s="6">
        <f t="shared" si="12"/>
        <v>1</v>
      </c>
    </row>
    <row r="28" spans="1:159" s="437" customFormat="1" ht="15" customHeight="1">
      <c r="A28" s="420" t="s">
        <v>608</v>
      </c>
      <c r="B28" s="420"/>
      <c r="C28" s="421">
        <v>7</v>
      </c>
      <c r="D28" s="422" t="s">
        <v>585</v>
      </c>
      <c r="E28" s="422" t="s">
        <v>586</v>
      </c>
      <c r="F28" s="422" t="s">
        <v>587</v>
      </c>
      <c r="G28" s="422" t="s">
        <v>588</v>
      </c>
      <c r="H28" s="422" t="s">
        <v>589</v>
      </c>
      <c r="I28" s="423" t="s">
        <v>590</v>
      </c>
      <c r="J28" s="421"/>
      <c r="K28" s="424">
        <v>48053446</v>
      </c>
      <c r="L28" s="425">
        <v>45461</v>
      </c>
      <c r="M28" s="425">
        <v>34178</v>
      </c>
      <c r="N28" s="425"/>
      <c r="O28" s="426" t="s">
        <v>591</v>
      </c>
      <c r="P28" s="427" t="s">
        <v>592</v>
      </c>
      <c r="Q28" s="428">
        <v>750</v>
      </c>
      <c r="R28" s="429"/>
      <c r="S28" s="428"/>
      <c r="T28" s="430"/>
      <c r="U28" s="428"/>
      <c r="V28" s="428"/>
      <c r="W28" s="428"/>
      <c r="X28" s="428"/>
      <c r="Y28" s="428"/>
      <c r="Z28" s="428"/>
      <c r="AA28" s="428"/>
      <c r="AB28" s="428"/>
      <c r="AC28" s="431"/>
      <c r="AD28" s="431"/>
      <c r="AE28" s="432"/>
      <c r="AF28" s="428">
        <f t="shared" si="8"/>
        <v>750</v>
      </c>
      <c r="AG28" s="20">
        <f t="shared" si="13"/>
        <v>750</v>
      </c>
      <c r="AH28" s="433"/>
      <c r="AI28" s="428"/>
      <c r="AJ28" s="434">
        <v>0.1</v>
      </c>
      <c r="AK28" s="432">
        <f>+AG28*AJ28</f>
        <v>75</v>
      </c>
      <c r="AL28" s="434">
        <v>0</v>
      </c>
      <c r="AM28" s="430"/>
      <c r="AN28" s="434">
        <v>1.7000000000000001E-2</v>
      </c>
      <c r="AO28" s="428">
        <f>+AG28*AN28</f>
        <v>12.750000000000002</v>
      </c>
      <c r="AP28" s="434">
        <f>+AJ28+AN28</f>
        <v>0.11700000000000001</v>
      </c>
      <c r="AQ28" s="428">
        <f>+AK28+AM28+AO28</f>
        <v>87.75</v>
      </c>
      <c r="AR28" s="428"/>
      <c r="AS28" s="428"/>
      <c r="AT28" s="428"/>
      <c r="AU28" s="428"/>
      <c r="AV28" s="428"/>
      <c r="AW28" s="435"/>
      <c r="AX28" s="430">
        <f t="shared" si="10"/>
        <v>87.75</v>
      </c>
      <c r="AY28" s="506">
        <f t="shared" si="11"/>
        <v>662.25</v>
      </c>
      <c r="AZ28" s="435">
        <v>0.09</v>
      </c>
      <c r="BA28" s="538">
        <f>AG28*AZ28</f>
        <v>67.5</v>
      </c>
      <c r="BB28" s="431"/>
      <c r="BC28" s="422"/>
      <c r="BD28" s="436" t="s">
        <v>574</v>
      </c>
      <c r="BE28" s="420"/>
      <c r="BF28" s="420"/>
      <c r="BG28" s="522">
        <v>286.98</v>
      </c>
      <c r="BH28" s="522">
        <v>286.98</v>
      </c>
      <c r="BI28" s="6">
        <f t="shared" si="12"/>
        <v>0</v>
      </c>
      <c r="BJ28" s="420"/>
      <c r="BK28" s="420"/>
      <c r="BL28" s="420"/>
      <c r="BM28" s="420"/>
      <c r="BN28" s="420"/>
      <c r="BO28" s="420"/>
      <c r="BP28" s="420"/>
      <c r="BQ28" s="420"/>
      <c r="BR28" s="420"/>
      <c r="BS28" s="420"/>
      <c r="BT28" s="420"/>
      <c r="BU28" s="420"/>
      <c r="BV28" s="420"/>
      <c r="BW28" s="420"/>
      <c r="BX28" s="420"/>
      <c r="BY28" s="420"/>
      <c r="BZ28" s="420"/>
      <c r="CA28" s="420"/>
      <c r="CB28" s="420"/>
      <c r="CC28" s="420"/>
      <c r="CD28" s="420"/>
      <c r="CE28" s="420"/>
      <c r="CF28" s="420"/>
      <c r="CG28" s="420"/>
      <c r="CH28" s="420"/>
      <c r="CI28" s="420"/>
      <c r="CJ28" s="420"/>
      <c r="CK28" s="420"/>
      <c r="CL28" s="420"/>
      <c r="CM28" s="420"/>
      <c r="CN28" s="420"/>
      <c r="CO28" s="420"/>
      <c r="CP28" s="420"/>
      <c r="CQ28" s="420"/>
      <c r="CR28" s="420"/>
      <c r="CS28" s="420"/>
      <c r="CT28" s="420"/>
      <c r="CU28" s="420"/>
      <c r="CV28" s="420"/>
      <c r="CW28" s="420"/>
      <c r="CX28" s="420"/>
      <c r="CY28" s="420"/>
      <c r="CZ28" s="420"/>
      <c r="DA28" s="420"/>
      <c r="DB28" s="420"/>
      <c r="DC28" s="420"/>
      <c r="DD28" s="420"/>
      <c r="DE28" s="420"/>
      <c r="DF28" s="420"/>
      <c r="DG28" s="420"/>
      <c r="DH28" s="420"/>
      <c r="DI28" s="420"/>
      <c r="DJ28" s="420"/>
      <c r="DK28" s="420"/>
      <c r="DL28" s="420"/>
      <c r="DM28" s="420"/>
      <c r="DN28" s="420"/>
      <c r="DO28" s="420"/>
      <c r="DP28" s="420"/>
      <c r="DQ28" s="420"/>
      <c r="DR28" s="420"/>
      <c r="DS28" s="420"/>
      <c r="DT28" s="420"/>
      <c r="DU28" s="420"/>
      <c r="DV28" s="420"/>
      <c r="DW28" s="420"/>
      <c r="DX28" s="420"/>
      <c r="DY28" s="420"/>
      <c r="DZ28" s="420"/>
      <c r="EA28" s="420"/>
      <c r="EB28" s="420"/>
      <c r="EC28" s="420"/>
      <c r="ED28" s="420"/>
      <c r="EE28" s="420"/>
      <c r="EF28" s="420"/>
      <c r="EG28" s="420"/>
      <c r="EH28" s="420"/>
      <c r="EI28" s="420"/>
      <c r="EJ28" s="420"/>
      <c r="EK28" s="420"/>
      <c r="EL28" s="420"/>
      <c r="EM28" s="420"/>
      <c r="EN28" s="420"/>
      <c r="EO28" s="420"/>
      <c r="EP28" s="420"/>
      <c r="EQ28" s="420"/>
      <c r="ER28" s="420"/>
      <c r="ES28" s="420"/>
      <c r="ET28" s="420"/>
      <c r="EU28" s="420"/>
      <c r="EV28" s="420"/>
      <c r="EW28" s="420"/>
      <c r="EX28" s="420"/>
      <c r="EY28" s="420"/>
      <c r="EZ28" s="420"/>
      <c r="FA28" s="420"/>
      <c r="FB28" s="420"/>
      <c r="FC28" s="420"/>
    </row>
    <row r="29" spans="1:159" s="494" customFormat="1" ht="15" customHeight="1">
      <c r="A29" s="478" t="s">
        <v>608</v>
      </c>
      <c r="B29" s="478"/>
      <c r="C29" s="479">
        <v>8</v>
      </c>
      <c r="D29" s="480" t="s">
        <v>580</v>
      </c>
      <c r="E29" s="480" t="s">
        <v>581</v>
      </c>
      <c r="F29" s="480" t="s">
        <v>604</v>
      </c>
      <c r="G29" s="480" t="s">
        <v>605</v>
      </c>
      <c r="H29" s="480" t="s">
        <v>71</v>
      </c>
      <c r="I29" s="481" t="s">
        <v>606</v>
      </c>
      <c r="J29" s="479"/>
      <c r="K29" s="482">
        <v>73994130</v>
      </c>
      <c r="L29" s="483">
        <v>45425</v>
      </c>
      <c r="M29" s="483">
        <v>37617</v>
      </c>
      <c r="N29" s="483"/>
      <c r="O29" s="484" t="s">
        <v>567</v>
      </c>
      <c r="P29" s="485" t="s">
        <v>607</v>
      </c>
      <c r="Q29" s="438">
        <v>650</v>
      </c>
      <c r="R29" s="486"/>
      <c r="S29" s="438"/>
      <c r="T29" s="487"/>
      <c r="U29" s="438"/>
      <c r="V29" s="438"/>
      <c r="W29" s="438"/>
      <c r="X29" s="438"/>
      <c r="Y29" s="438"/>
      <c r="Z29" s="438"/>
      <c r="AA29" s="438"/>
      <c r="AB29" s="438"/>
      <c r="AC29" s="488"/>
      <c r="AD29" s="488"/>
      <c r="AE29" s="489"/>
      <c r="AF29" s="438">
        <f t="shared" si="8"/>
        <v>650</v>
      </c>
      <c r="AG29" s="438">
        <f t="shared" si="13"/>
        <v>650</v>
      </c>
      <c r="AH29" s="490"/>
      <c r="AI29" s="438"/>
      <c r="AJ29" s="491">
        <v>0.1</v>
      </c>
      <c r="AK29" s="489">
        <f>+AG29*AJ29</f>
        <v>65</v>
      </c>
      <c r="AL29" s="491">
        <v>0</v>
      </c>
      <c r="AM29" s="487"/>
      <c r="AN29" s="491">
        <v>1.7000000000000001E-2</v>
      </c>
      <c r="AO29" s="438">
        <f>+AG29*AN29</f>
        <v>11.05</v>
      </c>
      <c r="AP29" s="491">
        <f>+AJ29+AN29</f>
        <v>0.11700000000000001</v>
      </c>
      <c r="AQ29" s="438">
        <f>+AK29+AM29+AO29</f>
        <v>76.05</v>
      </c>
      <c r="AR29" s="438"/>
      <c r="AS29" s="438"/>
      <c r="AT29" s="438"/>
      <c r="AU29" s="489"/>
      <c r="AV29" s="438"/>
      <c r="AW29" s="492"/>
      <c r="AX29" s="487">
        <f t="shared" si="10"/>
        <v>76.05</v>
      </c>
      <c r="AY29" s="507">
        <f t="shared" si="11"/>
        <v>573.95000000000005</v>
      </c>
      <c r="AZ29" s="492">
        <v>0.09</v>
      </c>
      <c r="BA29" s="438">
        <f>AG29*AZ29</f>
        <v>58.5</v>
      </c>
      <c r="BB29" s="488">
        <v>2.88</v>
      </c>
      <c r="BC29" s="480"/>
      <c r="BD29" s="493" t="s">
        <v>574</v>
      </c>
      <c r="BE29" s="478"/>
      <c r="BF29" s="478"/>
      <c r="BG29" s="523">
        <v>286.97000000000003</v>
      </c>
      <c r="BH29" s="523">
        <v>286.97000000000003</v>
      </c>
      <c r="BI29" s="6">
        <f t="shared" si="12"/>
        <v>0</v>
      </c>
      <c r="BJ29" s="478"/>
      <c r="BK29" s="478"/>
      <c r="BL29" s="478"/>
      <c r="BM29" s="478"/>
      <c r="BN29" s="478"/>
      <c r="BO29" s="478"/>
      <c r="BP29" s="478"/>
      <c r="BQ29" s="478"/>
      <c r="BR29" s="478"/>
      <c r="BS29" s="478"/>
      <c r="BT29" s="478"/>
      <c r="BU29" s="478"/>
      <c r="BV29" s="478"/>
      <c r="BW29" s="478"/>
      <c r="BX29" s="478"/>
      <c r="BY29" s="478"/>
      <c r="BZ29" s="478"/>
      <c r="CA29" s="478"/>
      <c r="CB29" s="478"/>
      <c r="CC29" s="478"/>
      <c r="CD29" s="478"/>
      <c r="CE29" s="478"/>
      <c r="CF29" s="478"/>
      <c r="CG29" s="478"/>
      <c r="CH29" s="478"/>
      <c r="CI29" s="478"/>
      <c r="CJ29" s="478"/>
      <c r="CK29" s="478"/>
      <c r="CL29" s="478"/>
      <c r="CM29" s="478"/>
      <c r="CN29" s="478"/>
      <c r="CO29" s="478"/>
      <c r="CP29" s="478"/>
      <c r="CQ29" s="478"/>
      <c r="CR29" s="478"/>
      <c r="CS29" s="478"/>
      <c r="CT29" s="478"/>
      <c r="CU29" s="478"/>
      <c r="CV29" s="478"/>
      <c r="CW29" s="478"/>
      <c r="CX29" s="478"/>
      <c r="CY29" s="478"/>
      <c r="CZ29" s="478"/>
      <c r="DA29" s="478"/>
      <c r="DB29" s="478"/>
      <c r="DC29" s="478"/>
      <c r="DD29" s="478"/>
      <c r="DE29" s="478"/>
      <c r="DF29" s="478"/>
      <c r="DG29" s="478"/>
      <c r="DH29" s="478"/>
      <c r="DI29" s="478"/>
      <c r="DJ29" s="478"/>
      <c r="DK29" s="478"/>
      <c r="DL29" s="478"/>
      <c r="DM29" s="478"/>
      <c r="DN29" s="478"/>
      <c r="DO29" s="478"/>
      <c r="DP29" s="478"/>
      <c r="DQ29" s="478"/>
      <c r="DR29" s="478"/>
      <c r="DS29" s="478"/>
      <c r="DT29" s="478"/>
      <c r="DU29" s="478"/>
      <c r="DV29" s="478"/>
      <c r="DW29" s="478"/>
      <c r="DX29" s="478"/>
      <c r="DY29" s="478"/>
      <c r="DZ29" s="478"/>
      <c r="EA29" s="478"/>
      <c r="EB29" s="478"/>
      <c r="EC29" s="478"/>
      <c r="ED29" s="478"/>
      <c r="EE29" s="478"/>
      <c r="EF29" s="478"/>
      <c r="EG29" s="478"/>
      <c r="EH29" s="478"/>
      <c r="EI29" s="478"/>
      <c r="EJ29" s="478"/>
      <c r="EK29" s="478"/>
      <c r="EL29" s="478"/>
      <c r="EM29" s="478"/>
      <c r="EN29" s="478"/>
      <c r="EO29" s="478"/>
      <c r="EP29" s="478"/>
      <c r="EQ29" s="478"/>
      <c r="ER29" s="478"/>
      <c r="ES29" s="478"/>
      <c r="ET29" s="478"/>
      <c r="EU29" s="478"/>
      <c r="EV29" s="478"/>
      <c r="EW29" s="478"/>
      <c r="EX29" s="478"/>
      <c r="EY29" s="478"/>
      <c r="EZ29" s="478"/>
      <c r="FA29" s="478"/>
      <c r="FB29" s="478"/>
      <c r="FC29" s="478"/>
    </row>
    <row r="30" spans="1:159" s="6" customFormat="1" ht="15" customHeight="1">
      <c r="A30" s="1" t="s">
        <v>608</v>
      </c>
      <c r="B30" s="1"/>
      <c r="C30" s="15">
        <v>9</v>
      </c>
      <c r="D30" s="16" t="s">
        <v>631</v>
      </c>
      <c r="E30" s="16" t="s">
        <v>632</v>
      </c>
      <c r="F30" s="16" t="s">
        <v>633</v>
      </c>
      <c r="G30" s="16"/>
      <c r="H30" s="248" t="s">
        <v>71</v>
      </c>
      <c r="I30" s="294" t="s">
        <v>634</v>
      </c>
      <c r="J30" s="250"/>
      <c r="K30" s="251" t="s">
        <v>635</v>
      </c>
      <c r="L30" s="252">
        <v>45444</v>
      </c>
      <c r="M30" s="252">
        <v>36496</v>
      </c>
      <c r="N30" s="252"/>
      <c r="O30" s="253" t="s">
        <v>567</v>
      </c>
      <c r="P30" s="254" t="s">
        <v>24</v>
      </c>
      <c r="Q30" s="20">
        <f>1500</f>
        <v>1500</v>
      </c>
      <c r="R30" s="255"/>
      <c r="S30" s="255"/>
      <c r="T30" s="255"/>
      <c r="U30" s="255"/>
      <c r="V30" s="260"/>
      <c r="W30" s="255"/>
      <c r="X30" s="255"/>
      <c r="Y30" s="255"/>
      <c r="Z30" s="255"/>
      <c r="AA30" s="255"/>
      <c r="AB30" s="255"/>
      <c r="AC30" s="255"/>
      <c r="AD30" s="255"/>
      <c r="AE30" s="293"/>
      <c r="AF30" s="255">
        <f t="shared" si="8"/>
        <v>1500</v>
      </c>
      <c r="AG30" s="20">
        <f t="shared" si="13"/>
        <v>1500</v>
      </c>
      <c r="AH30" s="282"/>
      <c r="AI30" s="255"/>
      <c r="AJ30" s="259">
        <v>0.1</v>
      </c>
      <c r="AK30" s="255">
        <f>+AG30*AJ30</f>
        <v>150</v>
      </c>
      <c r="AL30" s="259">
        <v>0</v>
      </c>
      <c r="AM30" s="255"/>
      <c r="AN30" s="259">
        <v>1.7000000000000001E-2</v>
      </c>
      <c r="AO30" s="255">
        <f>+AG30*AN30</f>
        <v>25.500000000000004</v>
      </c>
      <c r="AP30" s="259">
        <f>+AJ30+AL30+AN30</f>
        <v>0.11700000000000001</v>
      </c>
      <c r="AQ30" s="255">
        <f>+AK30+AM30+AO30</f>
        <v>175.5</v>
      </c>
      <c r="AR30" s="255"/>
      <c r="AS30" s="226"/>
      <c r="AT30" s="255"/>
      <c r="AU30" s="295"/>
      <c r="AV30" s="255"/>
      <c r="AW30" s="255"/>
      <c r="AX30" s="262">
        <f t="shared" si="10"/>
        <v>175.5</v>
      </c>
      <c r="AY30" s="503">
        <f t="shared" si="11"/>
        <v>1324.5</v>
      </c>
      <c r="AZ30" s="22">
        <v>0.09</v>
      </c>
      <c r="BA30" s="20">
        <f>+AG30*AZ30</f>
        <v>135</v>
      </c>
      <c r="BB30" s="20"/>
      <c r="BC30" s="24"/>
      <c r="BD30" s="476" t="s">
        <v>574</v>
      </c>
      <c r="BE30" s="13"/>
      <c r="BG30" s="12">
        <v>662.25</v>
      </c>
      <c r="BH30" s="12">
        <v>750.55</v>
      </c>
      <c r="BI30" s="6">
        <f t="shared" si="12"/>
        <v>88.299999999999955</v>
      </c>
      <c r="BK30" s="1" t="s">
        <v>603</v>
      </c>
    </row>
    <row r="31" spans="1:159" s="6" customFormat="1" ht="15" customHeight="1">
      <c r="A31" s="1" t="s">
        <v>608</v>
      </c>
      <c r="B31" s="1"/>
      <c r="C31" s="15">
        <v>10</v>
      </c>
      <c r="D31" s="16" t="s">
        <v>636</v>
      </c>
      <c r="E31" s="16" t="s">
        <v>637</v>
      </c>
      <c r="F31" s="16" t="s">
        <v>638</v>
      </c>
      <c r="G31" s="16" t="s">
        <v>639</v>
      </c>
      <c r="H31" s="16" t="s">
        <v>71</v>
      </c>
      <c r="I31" s="239" t="s">
        <v>640</v>
      </c>
      <c r="J31" s="15"/>
      <c r="K31" s="25" t="s">
        <v>641</v>
      </c>
      <c r="L31" s="17">
        <v>45444</v>
      </c>
      <c r="M31" s="17">
        <v>37000</v>
      </c>
      <c r="N31" s="17"/>
      <c r="O31" s="18" t="s">
        <v>567</v>
      </c>
      <c r="P31" s="19" t="s">
        <v>44</v>
      </c>
      <c r="Q31" s="20">
        <f>1400</f>
        <v>1400</v>
      </c>
      <c r="R31" s="20"/>
      <c r="S31" s="20"/>
      <c r="T31" s="20"/>
      <c r="U31" s="20"/>
      <c r="V31" s="226"/>
      <c r="W31" s="20"/>
      <c r="X31" s="20"/>
      <c r="Y31" s="20"/>
      <c r="Z31" s="20"/>
      <c r="AA31" s="20"/>
      <c r="AB31" s="20"/>
      <c r="AC31" s="20"/>
      <c r="AD31" s="20"/>
      <c r="AE31" s="41"/>
      <c r="AF31" s="20">
        <f t="shared" si="8"/>
        <v>1400</v>
      </c>
      <c r="AG31" s="20">
        <f t="shared" si="13"/>
        <v>1400</v>
      </c>
      <c r="AH31" s="22"/>
      <c r="AI31" s="20"/>
      <c r="AJ31" s="23">
        <v>0.1</v>
      </c>
      <c r="AK31" s="20">
        <f>+AG31*AJ31</f>
        <v>140</v>
      </c>
      <c r="AL31" s="23">
        <v>0</v>
      </c>
      <c r="AM31" s="20"/>
      <c r="AN31" s="23">
        <v>1.7000000000000001E-2</v>
      </c>
      <c r="AO31" s="20">
        <f>+AG31*AN31</f>
        <v>23.8</v>
      </c>
      <c r="AP31" s="23">
        <f>+AJ31+AL31+AN31</f>
        <v>0.11700000000000001</v>
      </c>
      <c r="AQ31" s="20">
        <f>+AK31+AM31+AO31</f>
        <v>163.80000000000001</v>
      </c>
      <c r="AR31" s="20"/>
      <c r="AS31" s="226"/>
      <c r="AT31" s="20"/>
      <c r="AU31" s="269"/>
      <c r="AV31" s="20"/>
      <c r="AW31" s="20"/>
      <c r="AX31" s="270">
        <f t="shared" si="10"/>
        <v>163.80000000000001</v>
      </c>
      <c r="AY31" s="503">
        <f t="shared" si="11"/>
        <v>1236.2</v>
      </c>
      <c r="AZ31" s="22">
        <v>0.09</v>
      </c>
      <c r="BA31" s="20">
        <f>+AG31*AZ31</f>
        <v>126</v>
      </c>
      <c r="BB31" s="20"/>
      <c r="BC31" s="24"/>
      <c r="BD31" s="476" t="s">
        <v>574</v>
      </c>
      <c r="BE31" s="13"/>
      <c r="BG31" s="12">
        <v>618.1</v>
      </c>
      <c r="BH31" s="12">
        <v>700.51</v>
      </c>
      <c r="BI31" s="6">
        <f t="shared" si="12"/>
        <v>82.409999999999968</v>
      </c>
      <c r="BK31" s="1" t="s">
        <v>603</v>
      </c>
    </row>
    <row r="32" spans="1:159" s="6" customFormat="1" ht="15" customHeight="1" thickBot="1">
      <c r="A32" s="1"/>
      <c r="B32" s="1"/>
      <c r="C32" s="15"/>
      <c r="D32" s="16"/>
      <c r="E32" s="16"/>
      <c r="F32" s="16"/>
      <c r="G32" s="16"/>
      <c r="H32" s="16"/>
      <c r="I32" s="243"/>
      <c r="J32" s="15"/>
      <c r="K32" s="39"/>
      <c r="L32" s="17"/>
      <c r="M32" s="17"/>
      <c r="N32" s="17"/>
      <c r="O32" s="18"/>
      <c r="P32" s="19"/>
      <c r="Q32" s="20"/>
      <c r="R32" s="20"/>
      <c r="S32" s="20"/>
      <c r="T32" s="20"/>
      <c r="U32" s="20"/>
      <c r="V32" s="226"/>
      <c r="W32" s="20"/>
      <c r="X32" s="20"/>
      <c r="Y32" s="20"/>
      <c r="Z32" s="20"/>
      <c r="AA32" s="20"/>
      <c r="AB32" s="20"/>
      <c r="AC32" s="20"/>
      <c r="AD32" s="20"/>
      <c r="AE32" s="41"/>
      <c r="AF32" s="20"/>
      <c r="AG32" s="20"/>
      <c r="AH32" s="22"/>
      <c r="AI32" s="20"/>
      <c r="AJ32" s="23"/>
      <c r="AK32" s="20"/>
      <c r="AL32" s="23"/>
      <c r="AM32" s="20"/>
      <c r="AN32" s="23"/>
      <c r="AO32" s="20"/>
      <c r="AP32" s="23"/>
      <c r="AQ32" s="20"/>
      <c r="AR32" s="20"/>
      <c r="AS32" s="226"/>
      <c r="AT32" s="20"/>
      <c r="AU32" s="269"/>
      <c r="AV32" s="20"/>
      <c r="AW32" s="20"/>
      <c r="AX32" s="270"/>
      <c r="AY32" s="503"/>
      <c r="AZ32" s="22"/>
      <c r="BA32" s="20"/>
      <c r="BB32" s="20"/>
      <c r="BC32" s="24"/>
      <c r="BD32" s="472"/>
      <c r="BE32" s="13"/>
      <c r="BG32" s="12"/>
      <c r="BH32" s="12"/>
    </row>
    <row r="33" spans="1:160" s="6" customFormat="1" ht="15" customHeight="1" thickBot="1">
      <c r="A33" s="349" t="s">
        <v>608</v>
      </c>
      <c r="B33" s="340"/>
      <c r="C33" s="341"/>
      <c r="D33" s="342"/>
      <c r="E33" s="342"/>
      <c r="F33" s="342"/>
      <c r="G33" s="342"/>
      <c r="H33" s="342"/>
      <c r="I33" s="351"/>
      <c r="J33" s="341"/>
      <c r="K33" s="352"/>
      <c r="L33" s="345"/>
      <c r="M33" s="345"/>
      <c r="N33" s="345"/>
      <c r="O33" s="350"/>
      <c r="P33" s="346"/>
      <c r="Q33" s="347">
        <f>SUM(Q23:Q32)</f>
        <v>17068.560000000001</v>
      </c>
      <c r="R33" s="347">
        <f>SUM(R22:R32)</f>
        <v>0</v>
      </c>
      <c r="S33" s="347">
        <f>SUM(S22:S32)</f>
        <v>205</v>
      </c>
      <c r="T33" s="347">
        <f>SUM(T23:T29)</f>
        <v>0</v>
      </c>
      <c r="U33" s="347">
        <f>SUM(U22:U29)</f>
        <v>0</v>
      </c>
      <c r="V33" s="347">
        <f>SUM(V22:V32)</f>
        <v>0</v>
      </c>
      <c r="W33" s="347">
        <f>SUM(W22:W29)</f>
        <v>0</v>
      </c>
      <c r="X33" s="347">
        <f>SUM(X22:X29)</f>
        <v>0</v>
      </c>
      <c r="Y33" s="347">
        <f>SUM(Y22:Y29)</f>
        <v>0</v>
      </c>
      <c r="Z33" s="347">
        <f>SUM(Z22:Z29)</f>
        <v>0</v>
      </c>
      <c r="AA33" s="347">
        <f>SUM(AA22:AA29)</f>
        <v>0</v>
      </c>
      <c r="AB33" s="347">
        <f>SUM(AB22:AB26)</f>
        <v>0</v>
      </c>
      <c r="AC33" s="347">
        <f>SUM(AC22:AC32)</f>
        <v>0</v>
      </c>
      <c r="AD33" s="347">
        <f>SUM(AD22:AD32)</f>
        <v>0</v>
      </c>
      <c r="AE33" s="347">
        <f>SUM(AE22:AE32)</f>
        <v>41.66</v>
      </c>
      <c r="AF33" s="347">
        <f>SUM(AF22:AF32)</f>
        <v>17231.900000000001</v>
      </c>
      <c r="AG33" s="347">
        <f>SUM(AG22:AG32)</f>
        <v>17231.900000000001</v>
      </c>
      <c r="AH33" s="347"/>
      <c r="AI33" s="347">
        <f>SUM(AI22:AI32)</f>
        <v>771.4928000000001</v>
      </c>
      <c r="AJ33" s="347"/>
      <c r="AK33" s="347">
        <f>SUM(AK23:AK32)</f>
        <v>1050.5</v>
      </c>
      <c r="AL33" s="347"/>
      <c r="AM33" s="347">
        <f>SUM(AM23:AM32)</f>
        <v>65.14</v>
      </c>
      <c r="AN33" s="347"/>
      <c r="AO33" s="347">
        <f>SUM(AO23:AO32)</f>
        <v>178.58500000000004</v>
      </c>
      <c r="AP33" s="347"/>
      <c r="AQ33" s="347">
        <f>SUM(AQ23:AQ32)</f>
        <v>1294.2249999999999</v>
      </c>
      <c r="AR33" s="347">
        <f>SUM(AR23:AR32)</f>
        <v>193.47</v>
      </c>
      <c r="AS33" s="347">
        <f>SUM(AS22:AS32)</f>
        <v>0</v>
      </c>
      <c r="AT33" s="347">
        <f>SUM(AT23:AT32)</f>
        <v>0</v>
      </c>
      <c r="AU33" s="347">
        <f>SUM(AU22:AU32)</f>
        <v>250</v>
      </c>
      <c r="AV33" s="347">
        <f>SUM(AV23:AV32)</f>
        <v>0</v>
      </c>
      <c r="AW33" s="347">
        <f>SUM(AW23:AW32)</f>
        <v>0</v>
      </c>
      <c r="AX33" s="347">
        <f>SUM(AX22:AX32)</f>
        <v>2509.1878000000006</v>
      </c>
      <c r="AY33" s="347">
        <f>SUM(AY22:AY32)</f>
        <v>14722.712200000002</v>
      </c>
      <c r="AZ33" s="347"/>
      <c r="BA33" s="348">
        <f>SUM(BA22:BA32)</f>
        <v>1550.8710000000001</v>
      </c>
      <c r="BB33" s="339">
        <f>SUM(BB22:BB32)</f>
        <v>60.500000000000007</v>
      </c>
      <c r="BC33" s="26"/>
      <c r="BD33" s="472"/>
      <c r="BG33" s="12"/>
      <c r="BH33" s="12"/>
    </row>
    <row r="34" spans="1:160" s="6" customFormat="1" ht="15" customHeight="1">
      <c r="A34" s="3"/>
      <c r="B34" s="3"/>
      <c r="C34" s="15"/>
      <c r="D34" s="16"/>
      <c r="E34" s="16"/>
      <c r="F34" s="16"/>
      <c r="G34" s="16"/>
      <c r="H34" s="16"/>
      <c r="I34" s="238"/>
      <c r="J34" s="15"/>
      <c r="K34" s="39"/>
      <c r="L34" s="17"/>
      <c r="M34" s="17"/>
      <c r="N34" s="17"/>
      <c r="O34" s="18"/>
      <c r="P34" s="19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229"/>
      <c r="AT34" s="47"/>
      <c r="AU34" s="47"/>
      <c r="AV34" s="47"/>
      <c r="AW34" s="47"/>
      <c r="AX34" s="47"/>
      <c r="AY34" s="514"/>
      <c r="AZ34" s="47"/>
      <c r="BA34" s="47"/>
      <c r="BB34" s="47"/>
      <c r="BC34" s="47"/>
      <c r="BD34" s="472"/>
      <c r="BG34" s="12"/>
      <c r="BH34" s="12"/>
    </row>
    <row r="35" spans="1:160" s="284" customFormat="1" ht="15" customHeight="1">
      <c r="A35" s="264" t="s">
        <v>642</v>
      </c>
      <c r="B35" s="264"/>
      <c r="C35" s="250">
        <v>1</v>
      </c>
      <c r="D35" s="248" t="s">
        <v>643</v>
      </c>
      <c r="E35" s="248" t="s">
        <v>569</v>
      </c>
      <c r="F35" s="248" t="s">
        <v>644</v>
      </c>
      <c r="G35" s="248"/>
      <c r="H35" s="248" t="s">
        <v>144</v>
      </c>
      <c r="I35" s="279"/>
      <c r="J35" s="250"/>
      <c r="K35" s="280">
        <v>42859800</v>
      </c>
      <c r="L35" s="252">
        <v>43374</v>
      </c>
      <c r="M35" s="252">
        <v>31072</v>
      </c>
      <c r="N35" s="252"/>
      <c r="O35" s="253" t="s">
        <v>645</v>
      </c>
      <c r="P35" s="254" t="s">
        <v>646</v>
      </c>
      <c r="Q35" s="255">
        <v>2230</v>
      </c>
      <c r="R35" s="255"/>
      <c r="S35" s="255">
        <v>102.5</v>
      </c>
      <c r="T35" s="281"/>
      <c r="U35" s="281"/>
      <c r="V35" s="255"/>
      <c r="W35" s="281"/>
      <c r="X35" s="281"/>
      <c r="Y35" s="281"/>
      <c r="Z35" s="281"/>
      <c r="AA35" s="281"/>
      <c r="AB35" s="281"/>
      <c r="AC35" s="281"/>
      <c r="AD35" s="281"/>
      <c r="AE35" s="281"/>
      <c r="AF35" s="255">
        <f>SUM(Q35:AD35)-AE35</f>
        <v>2332.5</v>
      </c>
      <c r="AG35" s="255">
        <f>+Q35+S35+T35+U35+V35+X35-AE35</f>
        <v>2332.5</v>
      </c>
      <c r="AH35" s="282">
        <v>0.13</v>
      </c>
      <c r="AI35" s="255">
        <f>AG35*AH35</f>
        <v>303.22500000000002</v>
      </c>
      <c r="AJ35" s="281"/>
      <c r="AK35" s="281"/>
      <c r="AL35" s="281"/>
      <c r="AM35" s="281"/>
      <c r="AN35" s="281"/>
      <c r="AO35" s="281"/>
      <c r="AP35" s="281"/>
      <c r="AQ35" s="281"/>
      <c r="AR35" s="281"/>
      <c r="AS35" s="260"/>
      <c r="AT35" s="281"/>
      <c r="AU35" s="258"/>
      <c r="AV35" s="255"/>
      <c r="AW35" s="281"/>
      <c r="AX35" s="255">
        <f>+AI35+AQ35+AR35+AS35+AT35+AU35+AW35</f>
        <v>303.22500000000002</v>
      </c>
      <c r="AY35" s="503">
        <f>(+AF35-AX35)</f>
        <v>2029.2750000000001</v>
      </c>
      <c r="AZ35" s="282">
        <v>0.09</v>
      </c>
      <c r="BA35" s="255">
        <f>+AG35*AZ35</f>
        <v>209.92499999999998</v>
      </c>
      <c r="BB35" s="255">
        <v>8.3000000000000007</v>
      </c>
      <c r="BC35" s="283"/>
      <c r="BD35" s="501" t="s">
        <v>574</v>
      </c>
      <c r="BE35" s="6"/>
      <c r="BF35" s="6"/>
      <c r="BG35" s="12"/>
      <c r="BH35" s="526"/>
      <c r="BI35" s="284">
        <v>148.66</v>
      </c>
      <c r="BJ35" s="284" t="s">
        <v>647</v>
      </c>
    </row>
    <row r="36" spans="1:160" s="6" customFormat="1" ht="15" customHeight="1">
      <c r="A36" s="1" t="s">
        <v>648</v>
      </c>
      <c r="B36" s="1"/>
      <c r="C36" s="15">
        <v>2</v>
      </c>
      <c r="D36" s="16" t="s">
        <v>649</v>
      </c>
      <c r="E36" s="16" t="s">
        <v>351</v>
      </c>
      <c r="F36" s="16" t="s">
        <v>650</v>
      </c>
      <c r="G36" s="16"/>
      <c r="H36" s="16" t="s">
        <v>144</v>
      </c>
      <c r="I36" s="238"/>
      <c r="J36" s="15"/>
      <c r="K36" s="39">
        <v>42617078</v>
      </c>
      <c r="L36" s="17">
        <v>43374</v>
      </c>
      <c r="M36" s="17">
        <v>30071</v>
      </c>
      <c r="N36" s="17"/>
      <c r="O36" s="18" t="s">
        <v>651</v>
      </c>
      <c r="P36" s="19" t="s">
        <v>652</v>
      </c>
      <c r="Q36" s="20">
        <v>2794.02</v>
      </c>
      <c r="R36" s="20"/>
      <c r="S36" s="20">
        <v>102.5</v>
      </c>
      <c r="T36" s="20"/>
      <c r="U36" s="20"/>
      <c r="V36" s="21"/>
      <c r="W36" s="20"/>
      <c r="X36" s="21"/>
      <c r="Y36" s="20"/>
      <c r="Z36" s="20"/>
      <c r="AA36" s="20"/>
      <c r="AB36" s="20"/>
      <c r="AC36" s="20"/>
      <c r="AD36" s="20"/>
      <c r="AE36" s="41"/>
      <c r="AF36" s="20">
        <f>SUM(Q36:AD36)-AE36</f>
        <v>2896.52</v>
      </c>
      <c r="AG36" s="20">
        <f>+Q36+S36+T36+U36+V36+X36-AE36</f>
        <v>2896.52</v>
      </c>
      <c r="AH36" s="22">
        <v>0.13</v>
      </c>
      <c r="AI36" s="20">
        <f>AG36*AH36</f>
        <v>376.54759999999999</v>
      </c>
      <c r="AJ36" s="23"/>
      <c r="AK36" s="20"/>
      <c r="AL36" s="23"/>
      <c r="AM36" s="20"/>
      <c r="AN36" s="23"/>
      <c r="AO36" s="20"/>
      <c r="AP36" s="23"/>
      <c r="AR36" s="20">
        <v>20</v>
      </c>
      <c r="AS36" s="226"/>
      <c r="AT36" s="20"/>
      <c r="AU36" s="21">
        <v>300</v>
      </c>
      <c r="AV36" s="20">
        <v>1124.3</v>
      </c>
      <c r="AW36" s="20"/>
      <c r="AX36" s="20">
        <f>+AI36+AQ36+AR36+AS36+AT36+AU36+AV36+AW36</f>
        <v>1820.8476000000001</v>
      </c>
      <c r="AY36" s="503">
        <f>(+AF36-AX36)</f>
        <v>1075.6723999999999</v>
      </c>
      <c r="AZ36" s="22">
        <v>0.09</v>
      </c>
      <c r="BA36" s="20">
        <f>+AG36*AZ36</f>
        <v>260.68680000000001</v>
      </c>
      <c r="BB36" s="20">
        <v>8.3000000000000007</v>
      </c>
      <c r="BC36" s="24"/>
      <c r="BD36" s="501" t="s">
        <v>574</v>
      </c>
      <c r="BG36" s="12"/>
      <c r="BH36" s="12"/>
    </row>
    <row r="37" spans="1:160" s="6" customFormat="1" ht="15" customHeight="1" thickBot="1">
      <c r="A37" s="1"/>
      <c r="B37" s="1"/>
      <c r="C37" s="15"/>
      <c r="D37" s="16"/>
      <c r="E37" s="16"/>
      <c r="F37" s="16"/>
      <c r="G37" s="16"/>
      <c r="H37" s="16"/>
      <c r="I37" s="238"/>
      <c r="J37" s="15"/>
      <c r="K37" s="39"/>
      <c r="L37" s="17"/>
      <c r="M37" s="17"/>
      <c r="N37" s="17"/>
      <c r="O37" s="18"/>
      <c r="P37" s="19"/>
      <c r="Q37" s="20"/>
      <c r="R37" s="20"/>
      <c r="S37" s="20"/>
      <c r="T37" s="20"/>
      <c r="U37" s="20"/>
      <c r="V37" s="21"/>
      <c r="W37" s="21"/>
      <c r="X37" s="20"/>
      <c r="Y37" s="20"/>
      <c r="Z37" s="20"/>
      <c r="AA37" s="20"/>
      <c r="AB37" s="20"/>
      <c r="AC37" s="20"/>
      <c r="AD37" s="20"/>
      <c r="AE37" s="41"/>
      <c r="AF37" s="20"/>
      <c r="AG37" s="20"/>
      <c r="AH37" s="22"/>
      <c r="AI37" s="20"/>
      <c r="AJ37" s="23"/>
      <c r="AK37" s="20"/>
      <c r="AL37" s="23"/>
      <c r="AM37" s="20"/>
      <c r="AN37" s="23"/>
      <c r="AO37" s="20"/>
      <c r="AP37" s="23"/>
      <c r="AQ37" s="20"/>
      <c r="AR37" s="42"/>
      <c r="AS37" s="226"/>
      <c r="AT37" s="20"/>
      <c r="AU37" s="20"/>
      <c r="AV37" s="20"/>
      <c r="AW37" s="20"/>
      <c r="AX37" s="20"/>
      <c r="AY37" s="503"/>
      <c r="AZ37" s="22"/>
      <c r="BA37" s="20"/>
      <c r="BB37" s="20"/>
      <c r="BC37" s="24"/>
      <c r="BD37" s="475"/>
      <c r="BG37" s="12"/>
      <c r="BH37" s="12"/>
    </row>
    <row r="38" spans="1:160" s="6" customFormat="1" ht="15" customHeight="1" thickBot="1">
      <c r="A38" s="349"/>
      <c r="B38" s="340"/>
      <c r="C38" s="341"/>
      <c r="D38" s="342"/>
      <c r="E38" s="342"/>
      <c r="F38" s="342"/>
      <c r="G38" s="342"/>
      <c r="H38" s="342"/>
      <c r="I38" s="351"/>
      <c r="J38" s="341"/>
      <c r="K38" s="352"/>
      <c r="L38" s="345"/>
      <c r="M38" s="345"/>
      <c r="N38" s="345"/>
      <c r="O38" s="350"/>
      <c r="P38" s="346"/>
      <c r="Q38" s="347">
        <f>SUM(Q35:Q37)</f>
        <v>5024.0200000000004</v>
      </c>
      <c r="R38" s="347"/>
      <c r="S38" s="347">
        <f>SUM(S34:S37)</f>
        <v>205</v>
      </c>
      <c r="T38" s="347">
        <f>SUM(T35:T37)</f>
        <v>0</v>
      </c>
      <c r="U38" s="347">
        <f>SUM(U35:U37)</f>
        <v>0</v>
      </c>
      <c r="V38" s="347">
        <f>SUM(V37:V37)</f>
        <v>0</v>
      </c>
      <c r="W38" s="347">
        <f>SUM(W35:W37)</f>
        <v>0</v>
      </c>
      <c r="X38" s="347">
        <f>SUM(X34:X37)</f>
        <v>0</v>
      </c>
      <c r="Y38" s="347">
        <f>SUM(Y35:Y37)</f>
        <v>0</v>
      </c>
      <c r="Z38" s="347">
        <f>SUM(Z35:Z37)</f>
        <v>0</v>
      </c>
      <c r="AA38" s="347"/>
      <c r="AB38" s="347">
        <f>SUM(AB35:AB37)</f>
        <v>0</v>
      </c>
      <c r="AC38" s="347"/>
      <c r="AD38" s="347">
        <f>SUM(AD37:AD37)</f>
        <v>0</v>
      </c>
      <c r="AE38" s="347">
        <f>SUM(AE35:AE37)</f>
        <v>0</v>
      </c>
      <c r="AF38" s="347">
        <f>SUM(AF35:AF37)</f>
        <v>5229.0200000000004</v>
      </c>
      <c r="AG38" s="347">
        <f>SUM(AG35:AG37)</f>
        <v>5229.0200000000004</v>
      </c>
      <c r="AH38" s="347"/>
      <c r="AI38" s="347">
        <f>SUM(AI35:AI37)</f>
        <v>679.77260000000001</v>
      </c>
      <c r="AJ38" s="347"/>
      <c r="AK38" s="347">
        <f t="shared" ref="AK38:AT38" si="14">SUM(AK35:AK37)</f>
        <v>0</v>
      </c>
      <c r="AL38" s="347">
        <f t="shared" si="14"/>
        <v>0</v>
      </c>
      <c r="AM38" s="347">
        <f t="shared" si="14"/>
        <v>0</v>
      </c>
      <c r="AN38" s="347">
        <f t="shared" si="14"/>
        <v>0</v>
      </c>
      <c r="AO38" s="347">
        <f t="shared" si="14"/>
        <v>0</v>
      </c>
      <c r="AP38" s="347">
        <f t="shared" si="14"/>
        <v>0</v>
      </c>
      <c r="AQ38" s="347">
        <f>SUM(AQ35:AQ37)</f>
        <v>0</v>
      </c>
      <c r="AR38" s="347">
        <f>SUM(AR35:AR37)</f>
        <v>20</v>
      </c>
      <c r="AS38" s="347">
        <f>SUM(AS35:AS37)</f>
        <v>0</v>
      </c>
      <c r="AT38" s="347">
        <f t="shared" si="14"/>
        <v>0</v>
      </c>
      <c r="AU38" s="347">
        <f>SUM(AU35:AU37)</f>
        <v>300</v>
      </c>
      <c r="AV38" s="353">
        <f>SUM(AV35:AV37)</f>
        <v>1124.3</v>
      </c>
      <c r="AW38" s="347"/>
      <c r="AX38" s="347">
        <f>SUM(AX35:AX37)</f>
        <v>2124.0726</v>
      </c>
      <c r="AY38" s="347">
        <f>SUM(AY34:AY37)</f>
        <v>3104.9474</v>
      </c>
      <c r="AZ38" s="347"/>
      <c r="BA38" s="348">
        <f>SUM(BA35:BA37)</f>
        <v>470.61180000000002</v>
      </c>
      <c r="BB38" s="339">
        <f>SUM(BB34:BB37)</f>
        <v>16.600000000000001</v>
      </c>
      <c r="BC38" s="26"/>
      <c r="BD38" s="472"/>
      <c r="BG38" s="12"/>
      <c r="BH38" s="12"/>
    </row>
    <row r="39" spans="1:160" s="232" customFormat="1" ht="15" customHeight="1">
      <c r="A39" s="206" t="s">
        <v>653</v>
      </c>
      <c r="B39" s="206"/>
      <c r="C39" s="271">
        <v>1</v>
      </c>
      <c r="D39" s="267" t="s">
        <v>654</v>
      </c>
      <c r="E39" s="267" t="s">
        <v>655</v>
      </c>
      <c r="F39" s="267" t="s">
        <v>656</v>
      </c>
      <c r="G39" s="267" t="s">
        <v>657</v>
      </c>
      <c r="H39" s="267" t="s">
        <v>72</v>
      </c>
      <c r="I39" s="272" t="s">
        <v>658</v>
      </c>
      <c r="J39" s="271"/>
      <c r="K39" s="273">
        <v>61043871</v>
      </c>
      <c r="L39" s="230">
        <v>45002</v>
      </c>
      <c r="M39" s="230">
        <v>32705</v>
      </c>
      <c r="N39" s="230"/>
      <c r="O39" s="231" t="s">
        <v>659</v>
      </c>
      <c r="P39" s="246" t="s">
        <v>660</v>
      </c>
      <c r="Q39" s="226">
        <v>2542</v>
      </c>
      <c r="R39" s="208"/>
      <c r="S39" s="226"/>
      <c r="T39" s="226"/>
      <c r="U39" s="226"/>
      <c r="V39" s="226"/>
      <c r="W39" s="226"/>
      <c r="X39" s="226"/>
      <c r="Y39" s="226"/>
      <c r="Z39" s="226"/>
      <c r="AA39" s="226"/>
      <c r="AB39" s="226"/>
      <c r="AC39" s="226"/>
      <c r="AD39" s="226"/>
      <c r="AE39" s="338"/>
      <c r="AF39" s="226">
        <f>SUM(Q39:AD39)-AE39</f>
        <v>2542</v>
      </c>
      <c r="AG39" s="226">
        <f>+Q39+S39+T39+U39+V39+X39-AE39</f>
        <v>2542</v>
      </c>
      <c r="AH39" s="274"/>
      <c r="AI39" s="226"/>
      <c r="AJ39" s="23">
        <v>0.1</v>
      </c>
      <c r="AK39" s="269">
        <f>+AG39*AJ39</f>
        <v>254.20000000000002</v>
      </c>
      <c r="AL39" s="23">
        <v>1.6E-2</v>
      </c>
      <c r="AM39" s="270">
        <f>+AG39*AL39</f>
        <v>40.672000000000004</v>
      </c>
      <c r="AN39" s="23">
        <v>1.7000000000000001E-2</v>
      </c>
      <c r="AO39" s="20">
        <f>+AG39*AN39</f>
        <v>43.214000000000006</v>
      </c>
      <c r="AP39" s="23">
        <f>+AJ39+AL39+AN39</f>
        <v>0.13300000000000001</v>
      </c>
      <c r="AQ39" s="20">
        <f>+AK39+AM39+AO39</f>
        <v>338.08600000000001</v>
      </c>
      <c r="AR39" s="226"/>
      <c r="AS39" s="226"/>
      <c r="AT39" s="20"/>
      <c r="AU39" s="20"/>
      <c r="AV39" s="269"/>
      <c r="AW39" s="20"/>
      <c r="AX39" s="13">
        <f>+AI39+AQ39+AR39+AS39+AT39+AU39+AW39</f>
        <v>338.08600000000001</v>
      </c>
      <c r="AY39" s="515">
        <f>(+AF39-AX39)</f>
        <v>2203.9139999999998</v>
      </c>
      <c r="AZ39" s="22">
        <v>0.09</v>
      </c>
      <c r="BA39" s="20">
        <f>+AG39*AZ39</f>
        <v>228.78</v>
      </c>
      <c r="BB39" s="59">
        <v>2.88</v>
      </c>
      <c r="BC39" s="276"/>
      <c r="BD39" s="476" t="s">
        <v>574</v>
      </c>
      <c r="BE39" s="206"/>
      <c r="BG39" s="525"/>
      <c r="BH39" s="525"/>
    </row>
    <row r="40" spans="1:160" s="6" customFormat="1" ht="15" customHeight="1">
      <c r="A40" s="1" t="s">
        <v>653</v>
      </c>
      <c r="B40" s="1"/>
      <c r="C40" s="15">
        <v>2</v>
      </c>
      <c r="D40" s="16" t="s">
        <v>661</v>
      </c>
      <c r="E40" s="16" t="s">
        <v>662</v>
      </c>
      <c r="F40" s="16" t="s">
        <v>663</v>
      </c>
      <c r="G40" s="16" t="s">
        <v>664</v>
      </c>
      <c r="H40" s="16" t="s">
        <v>70</v>
      </c>
      <c r="I40" s="245" t="s">
        <v>665</v>
      </c>
      <c r="J40" s="15"/>
      <c r="K40" s="39">
        <v>76542051</v>
      </c>
      <c r="L40" s="17">
        <v>45170</v>
      </c>
      <c r="M40" s="17">
        <v>35215</v>
      </c>
      <c r="N40" s="17"/>
      <c r="O40" s="18" t="s">
        <v>659</v>
      </c>
      <c r="P40" s="233" t="s">
        <v>666</v>
      </c>
      <c r="Q40" s="20">
        <v>1450</v>
      </c>
      <c r="R40" s="13"/>
      <c r="S40" s="20"/>
      <c r="T40" s="20"/>
      <c r="U40" s="43"/>
      <c r="V40" s="20"/>
      <c r="W40" s="20"/>
      <c r="X40" s="20"/>
      <c r="Y40" s="20"/>
      <c r="Z40" s="20"/>
      <c r="AA40" s="20"/>
      <c r="AB40" s="20"/>
      <c r="AC40" s="41"/>
      <c r="AD40" s="16"/>
      <c r="AE40" s="16"/>
      <c r="AF40" s="226">
        <f>SUM(Q40:AD40)-AE40</f>
        <v>1450</v>
      </c>
      <c r="AG40" s="226">
        <f>+Q40+S40+T40+U40+V40+X40-AE40</f>
        <v>1450</v>
      </c>
      <c r="AH40" s="274"/>
      <c r="AI40" s="20"/>
      <c r="AJ40" s="23">
        <v>0.1</v>
      </c>
      <c r="AK40" s="269">
        <f>+AG40*AJ40</f>
        <v>145</v>
      </c>
      <c r="AL40" s="23">
        <v>0</v>
      </c>
      <c r="AM40" s="270"/>
      <c r="AN40" s="23">
        <v>1.7000000000000001E-2</v>
      </c>
      <c r="AO40" s="20">
        <f>+AG40*AN40</f>
        <v>24.650000000000002</v>
      </c>
      <c r="AP40" s="23">
        <f>+AJ40+AN40</f>
        <v>0.11700000000000001</v>
      </c>
      <c r="AQ40" s="20">
        <f>+AK40+AM40+AO40</f>
        <v>169.65</v>
      </c>
      <c r="AR40" s="20"/>
      <c r="AS40" s="20"/>
      <c r="AT40" s="20"/>
      <c r="AU40" s="20"/>
      <c r="AV40" s="269"/>
      <c r="AW40" s="22"/>
      <c r="AX40" s="270">
        <f>+AI40+AQ40+AR40+AS40+AT40+AU40+AW40</f>
        <v>169.65</v>
      </c>
      <c r="AY40" s="503">
        <f>(+AF40-AX40)</f>
        <v>1280.3499999999999</v>
      </c>
      <c r="AZ40" s="22">
        <v>0.09</v>
      </c>
      <c r="BA40" s="20">
        <f>+AG40*AZ40</f>
        <v>130.5</v>
      </c>
      <c r="BB40" s="41"/>
      <c r="BC40" s="302"/>
      <c r="BD40" s="476" t="s">
        <v>574</v>
      </c>
      <c r="BE40" s="206"/>
      <c r="BF40" s="1"/>
      <c r="BG40" s="12"/>
      <c r="BH40" s="12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</row>
    <row r="41" spans="1:160" s="6" customFormat="1" ht="15" customHeight="1" thickBot="1">
      <c r="A41" s="1" t="s">
        <v>653</v>
      </c>
      <c r="B41" s="1"/>
      <c r="C41" s="15">
        <v>4</v>
      </c>
      <c r="D41" s="16" t="s">
        <v>667</v>
      </c>
      <c r="E41" s="16" t="s">
        <v>402</v>
      </c>
      <c r="F41" s="16" t="s">
        <v>668</v>
      </c>
      <c r="G41" s="16" t="s">
        <v>669</v>
      </c>
      <c r="H41" s="16" t="s">
        <v>589</v>
      </c>
      <c r="I41" s="239" t="s">
        <v>670</v>
      </c>
      <c r="J41" s="15"/>
      <c r="K41" s="39">
        <v>71404659</v>
      </c>
      <c r="L41" s="17">
        <v>45453</v>
      </c>
      <c r="M41" s="17">
        <v>37451</v>
      </c>
      <c r="N41" s="17"/>
      <c r="O41" s="18" t="s">
        <v>659</v>
      </c>
      <c r="P41" s="233" t="s">
        <v>592</v>
      </c>
      <c r="Q41" s="270">
        <v>1600</v>
      </c>
      <c r="R41" s="13"/>
      <c r="S41" s="20"/>
      <c r="T41" s="270"/>
      <c r="U41" s="270"/>
      <c r="V41" s="270"/>
      <c r="W41" s="270"/>
      <c r="X41" s="270"/>
      <c r="Y41" s="270"/>
      <c r="Z41" s="270"/>
      <c r="AA41" s="20"/>
      <c r="AB41" s="20"/>
      <c r="AC41" s="41"/>
      <c r="AD41" s="41"/>
      <c r="AE41" s="269"/>
      <c r="AF41" s="20">
        <f>SUM(Q41:AD41)-AE41</f>
        <v>1600</v>
      </c>
      <c r="AG41" s="20">
        <v>1600</v>
      </c>
      <c r="AH41" s="296"/>
      <c r="AI41" s="20"/>
      <c r="AJ41" s="23">
        <v>0.1</v>
      </c>
      <c r="AK41" s="269">
        <f>+AG41*AJ41</f>
        <v>160</v>
      </c>
      <c r="AL41" s="23">
        <v>0</v>
      </c>
      <c r="AM41" s="270"/>
      <c r="AN41" s="23">
        <v>1.7000000000000001E-2</v>
      </c>
      <c r="AO41" s="20">
        <f>+AG41*AN41</f>
        <v>27.200000000000003</v>
      </c>
      <c r="AP41" s="23">
        <f>+AJ41+AN41</f>
        <v>0.11700000000000001</v>
      </c>
      <c r="AQ41" s="20">
        <f>+AK41+AM41+AO41</f>
        <v>187.2</v>
      </c>
      <c r="AR41" s="20"/>
      <c r="AS41" s="20"/>
      <c r="AT41" s="20"/>
      <c r="AU41" s="20"/>
      <c r="AV41" s="269"/>
      <c r="AW41" s="22"/>
      <c r="AX41" s="270">
        <f>+AI41+AQ41+AR41+AS41+AT41+AU41+AW41</f>
        <v>187.2</v>
      </c>
      <c r="AY41" s="503">
        <f>(+AF41-AX41)</f>
        <v>1412.8</v>
      </c>
      <c r="AZ41" s="22">
        <v>0.09</v>
      </c>
      <c r="BA41" s="20">
        <f>+AG41*AZ41</f>
        <v>144</v>
      </c>
      <c r="BB41" s="418"/>
      <c r="BD41" s="502" t="s">
        <v>574</v>
      </c>
      <c r="BE41" s="1"/>
      <c r="BF41" s="1"/>
      <c r="BG41" s="12"/>
      <c r="BH41" s="12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</row>
    <row r="42" spans="1:160" s="6" customFormat="1" ht="15" customHeight="1" thickBot="1">
      <c r="A42" s="349"/>
      <c r="B42" s="340"/>
      <c r="C42" s="341"/>
      <c r="D42" s="342"/>
      <c r="E42" s="342"/>
      <c r="F42" s="342"/>
      <c r="G42" s="342"/>
      <c r="H42" s="342"/>
      <c r="I42" s="343"/>
      <c r="J42" s="341"/>
      <c r="K42" s="352"/>
      <c r="L42" s="345"/>
      <c r="M42" s="345"/>
      <c r="N42" s="345"/>
      <c r="O42" s="350"/>
      <c r="P42" s="362"/>
      <c r="Q42" s="354">
        <f>SUM(Q39:Q41)</f>
        <v>5592</v>
      </c>
      <c r="R42" s="355"/>
      <c r="S42" s="347">
        <f>SUM(S39:S41)</f>
        <v>0</v>
      </c>
      <c r="T42" s="356">
        <f t="shared" ref="T42:Z42" si="15">SUM(T39:T40)</f>
        <v>0</v>
      </c>
      <c r="U42" s="356">
        <f t="shared" si="15"/>
        <v>0</v>
      </c>
      <c r="V42" s="356">
        <f t="shared" si="15"/>
        <v>0</v>
      </c>
      <c r="W42" s="356">
        <f t="shared" si="15"/>
        <v>0</v>
      </c>
      <c r="X42" s="356">
        <f t="shared" si="15"/>
        <v>0</v>
      </c>
      <c r="Y42" s="356">
        <f t="shared" si="15"/>
        <v>0</v>
      </c>
      <c r="Z42" s="356">
        <f t="shared" si="15"/>
        <v>0</v>
      </c>
      <c r="AA42" s="347"/>
      <c r="AB42" s="347">
        <f>SUM(AB39:AB40)</f>
        <v>0</v>
      </c>
      <c r="AC42" s="347">
        <f>SUM(AC39:AC40)</f>
        <v>0</v>
      </c>
      <c r="AD42" s="347">
        <f>SUM(AD39:AD40)</f>
        <v>0</v>
      </c>
      <c r="AE42" s="347">
        <f>SUM(AE39:AE40)</f>
        <v>0</v>
      </c>
      <c r="AF42" s="347">
        <f>SUM(AF39:AF41)</f>
        <v>5592</v>
      </c>
      <c r="AG42" s="353">
        <f>SUM(AG39:AG41)</f>
        <v>5592</v>
      </c>
      <c r="AH42" s="357"/>
      <c r="AI42" s="347">
        <f>SUM(AI39:AI41)</f>
        <v>0</v>
      </c>
      <c r="AJ42" s="358"/>
      <c r="AK42" s="347">
        <f>SUM(AK39:AK41)</f>
        <v>559.20000000000005</v>
      </c>
      <c r="AL42" s="358"/>
      <c r="AM42" s="347">
        <f>SUM(AM39:AM41)</f>
        <v>40.672000000000004</v>
      </c>
      <c r="AN42" s="358"/>
      <c r="AO42" s="347">
        <f>SUM(AO39:AO41)</f>
        <v>95.064000000000007</v>
      </c>
      <c r="AP42" s="358"/>
      <c r="AQ42" s="347">
        <f>SUM(AQ39:AQ41)</f>
        <v>694.93599999999992</v>
      </c>
      <c r="AR42" s="347">
        <f>SUM(AR39:AR40)</f>
        <v>0</v>
      </c>
      <c r="AS42" s="359">
        <f>SUM(AS39:AS40)</f>
        <v>0</v>
      </c>
      <c r="AT42" s="347">
        <f>SUM(AT39:AT40)</f>
        <v>0</v>
      </c>
      <c r="AU42" s="347">
        <f>SUM(AU39:AU40)</f>
        <v>0</v>
      </c>
      <c r="AV42" s="347"/>
      <c r="AW42" s="347"/>
      <c r="AX42" s="353">
        <f>SUM(AX39:AX41)</f>
        <v>694.93599999999992</v>
      </c>
      <c r="AY42" s="347">
        <f>SUM(AY39:AY41)</f>
        <v>4897.0639999999994</v>
      </c>
      <c r="AZ42" s="361"/>
      <c r="BA42" s="348">
        <f>SUM(BA39:BC41)</f>
        <v>506.15999999999997</v>
      </c>
      <c r="BB42" s="265">
        <f>SUM(BB39:BB41)</f>
        <v>2.88</v>
      </c>
      <c r="BC42" s="297"/>
      <c r="BD42" s="476"/>
      <c r="BE42" s="206"/>
      <c r="BF42" s="1"/>
      <c r="BG42" s="12"/>
      <c r="BH42" s="12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</row>
    <row r="43" spans="1:160" s="453" customFormat="1" ht="15" customHeight="1">
      <c r="A43" s="439" t="s">
        <v>653</v>
      </c>
      <c r="B43" s="439"/>
      <c r="C43" s="440">
        <v>4</v>
      </c>
      <c r="D43" s="441" t="s">
        <v>575</v>
      </c>
      <c r="E43" s="441" t="s">
        <v>576</v>
      </c>
      <c r="F43" s="441" t="s">
        <v>577</v>
      </c>
      <c r="G43" s="441"/>
      <c r="H43" s="441"/>
      <c r="I43" s="442"/>
      <c r="J43" s="440"/>
      <c r="K43" s="467">
        <v>8751792</v>
      </c>
      <c r="L43" s="444">
        <v>45078</v>
      </c>
      <c r="M43" s="444">
        <v>31620</v>
      </c>
      <c r="N43" s="444"/>
      <c r="O43" s="445"/>
      <c r="P43" s="468" t="s">
        <v>578</v>
      </c>
      <c r="Q43" s="447">
        <v>832</v>
      </c>
      <c r="R43" s="452"/>
      <c r="S43" s="469"/>
      <c r="T43" s="469"/>
      <c r="U43" s="447"/>
      <c r="V43" s="447"/>
      <c r="W43" s="447"/>
      <c r="X43" s="447"/>
      <c r="Y43" s="447"/>
      <c r="Z43" s="469"/>
      <c r="AA43" s="447"/>
      <c r="AB43" s="447"/>
      <c r="AC43" s="447"/>
      <c r="AD43" s="447"/>
      <c r="AE43" s="447"/>
      <c r="AF43" s="447">
        <f t="shared" ref="AF43:AF50" si="16">SUM(Q43:AD43)-AE43</f>
        <v>832</v>
      </c>
      <c r="AG43" s="447">
        <f t="shared" ref="AG43:AG50" si="17">+Q43+S43+T43+U43+V43+X43-AE43</f>
        <v>832</v>
      </c>
      <c r="AH43" s="470"/>
      <c r="AI43" s="447"/>
      <c r="AJ43" s="450"/>
      <c r="AK43" s="447"/>
      <c r="AL43" s="450"/>
      <c r="AM43" s="447"/>
      <c r="AN43" s="471"/>
      <c r="AO43" s="447"/>
      <c r="AP43" s="450"/>
      <c r="AQ43" s="447"/>
      <c r="AR43" s="447"/>
      <c r="AS43" s="447"/>
      <c r="AT43" s="447"/>
      <c r="AU43" s="447"/>
      <c r="AV43" s="447"/>
      <c r="AW43" s="452"/>
      <c r="AX43" s="447">
        <f t="shared" ref="AX43:AX50" si="18">+AI43+AQ43+AR43+AS43+AT43+AU43+AW43</f>
        <v>0</v>
      </c>
      <c r="AY43" s="505">
        <f t="shared" ref="AY43:AY50" si="19">(+AF43-AX43)</f>
        <v>832</v>
      </c>
      <c r="AZ43" s="449">
        <v>0.09</v>
      </c>
      <c r="BA43" s="447">
        <f>AG43*AZ43</f>
        <v>74.88</v>
      </c>
      <c r="BB43" s="447">
        <v>50.41</v>
      </c>
      <c r="BC43" s="451"/>
      <c r="BD43" s="474" t="s">
        <v>574</v>
      </c>
      <c r="BE43" s="439"/>
      <c r="BF43" s="439"/>
      <c r="BG43" s="521"/>
      <c r="BH43" s="521"/>
      <c r="BI43" s="439"/>
      <c r="BJ43" s="439"/>
      <c r="BK43" s="439"/>
      <c r="BL43" s="439"/>
      <c r="BM43" s="439"/>
      <c r="BN43" s="439"/>
      <c r="BO43" s="439"/>
      <c r="BP43" s="439"/>
      <c r="BQ43" s="439"/>
      <c r="BR43" s="439"/>
      <c r="BS43" s="439"/>
      <c r="BT43" s="439"/>
      <c r="BU43" s="439"/>
      <c r="BV43" s="439"/>
      <c r="BW43" s="439"/>
      <c r="BX43" s="439"/>
      <c r="BY43" s="439"/>
      <c r="BZ43" s="439"/>
      <c r="CA43" s="439"/>
      <c r="CB43" s="439"/>
      <c r="CC43" s="439"/>
      <c r="CD43" s="439"/>
      <c r="CE43" s="439"/>
      <c r="CF43" s="439"/>
      <c r="CG43" s="439"/>
      <c r="CH43" s="439"/>
      <c r="CI43" s="439"/>
      <c r="CJ43" s="439"/>
      <c r="CK43" s="439"/>
      <c r="CL43" s="439"/>
      <c r="CM43" s="439"/>
      <c r="CN43" s="439"/>
      <c r="CO43" s="439"/>
      <c r="CP43" s="439"/>
      <c r="CQ43" s="439"/>
      <c r="CR43" s="439"/>
      <c r="CS43" s="439"/>
      <c r="CT43" s="439"/>
      <c r="CU43" s="439"/>
      <c r="CV43" s="439"/>
      <c r="CW43" s="439"/>
      <c r="CX43" s="439"/>
      <c r="CY43" s="439"/>
      <c r="CZ43" s="439"/>
      <c r="DA43" s="439"/>
      <c r="DB43" s="439"/>
      <c r="DC43" s="439"/>
      <c r="DD43" s="439"/>
      <c r="DE43" s="439"/>
      <c r="DF43" s="439"/>
      <c r="DG43" s="439"/>
      <c r="DH43" s="439"/>
      <c r="DI43" s="439"/>
      <c r="DJ43" s="439"/>
      <c r="DK43" s="439"/>
      <c r="DL43" s="439"/>
      <c r="DM43" s="439"/>
      <c r="DN43" s="439"/>
      <c r="DO43" s="439"/>
      <c r="DP43" s="439"/>
      <c r="DQ43" s="439"/>
      <c r="DR43" s="439"/>
      <c r="DS43" s="439"/>
      <c r="DT43" s="439"/>
      <c r="DU43" s="439"/>
      <c r="DV43" s="439"/>
      <c r="DW43" s="439"/>
      <c r="DX43" s="439"/>
      <c r="DY43" s="439"/>
      <c r="DZ43" s="439"/>
      <c r="EA43" s="439"/>
      <c r="EB43" s="439"/>
      <c r="EC43" s="439"/>
      <c r="ED43" s="439"/>
      <c r="EE43" s="439"/>
      <c r="EF43" s="439"/>
      <c r="EG43" s="439"/>
      <c r="EH43" s="439"/>
      <c r="EI43" s="439"/>
      <c r="EJ43" s="439"/>
      <c r="EK43" s="439"/>
      <c r="EL43" s="439"/>
      <c r="EM43" s="439"/>
      <c r="EN43" s="439"/>
      <c r="EO43" s="439"/>
      <c r="EP43" s="439"/>
      <c r="EQ43" s="439"/>
      <c r="ER43" s="439"/>
      <c r="ES43" s="439"/>
      <c r="ET43" s="439"/>
      <c r="EU43" s="439"/>
      <c r="EV43" s="439"/>
      <c r="EW43" s="439"/>
      <c r="EX43" s="439"/>
      <c r="EY43" s="439"/>
      <c r="EZ43" s="439"/>
      <c r="FA43" s="439"/>
      <c r="FB43" s="439"/>
      <c r="FC43" s="439"/>
    </row>
    <row r="44" spans="1:160" s="6" customFormat="1" ht="15" customHeight="1">
      <c r="A44" s="1" t="s">
        <v>653</v>
      </c>
      <c r="B44" s="1"/>
      <c r="C44" s="15">
        <v>6</v>
      </c>
      <c r="D44" s="334" t="s">
        <v>671</v>
      </c>
      <c r="E44" s="16" t="s">
        <v>672</v>
      </c>
      <c r="F44" s="16" t="s">
        <v>673</v>
      </c>
      <c r="G44" s="16" t="s">
        <v>674</v>
      </c>
      <c r="H44" s="16" t="s">
        <v>589</v>
      </c>
      <c r="I44" t="s">
        <v>675</v>
      </c>
      <c r="J44" s="15"/>
      <c r="K44" s="39">
        <v>76216227</v>
      </c>
      <c r="L44" s="17">
        <v>44958</v>
      </c>
      <c r="M44" s="17">
        <v>35287</v>
      </c>
      <c r="N44" s="17"/>
      <c r="O44" s="6" t="s">
        <v>676</v>
      </c>
      <c r="P44" s="336" t="s">
        <v>677</v>
      </c>
      <c r="Q44" s="20">
        <v>1600</v>
      </c>
      <c r="R44" s="13"/>
      <c r="S44" s="269"/>
      <c r="T44" s="269"/>
      <c r="U44" s="20"/>
      <c r="V44" s="43"/>
      <c r="W44" s="20"/>
      <c r="X44" s="20"/>
      <c r="Y44" s="20"/>
      <c r="Z44" s="269"/>
      <c r="AA44" s="20"/>
      <c r="AB44" s="20"/>
      <c r="AC44" s="20"/>
      <c r="AD44" s="20"/>
      <c r="AE44" s="41"/>
      <c r="AF44" s="226">
        <f t="shared" si="16"/>
        <v>1600</v>
      </c>
      <c r="AG44" s="226">
        <f t="shared" si="17"/>
        <v>1600</v>
      </c>
      <c r="AH44" s="275"/>
      <c r="AI44" s="20"/>
      <c r="AJ44" s="23">
        <v>0.1</v>
      </c>
      <c r="AK44" s="20">
        <f t="shared" ref="AK44:AK50" si="20">+AG44*AJ44</f>
        <v>160</v>
      </c>
      <c r="AL44" s="23">
        <v>0</v>
      </c>
      <c r="AM44" s="20"/>
      <c r="AN44" s="14">
        <v>1.7000000000000001E-2</v>
      </c>
      <c r="AO44" s="20">
        <f t="shared" ref="AO44:AO50" si="21">+AG44*AN44</f>
        <v>27.200000000000003</v>
      </c>
      <c r="AP44" s="23">
        <f t="shared" ref="AP44:AQ50" si="22">+AJ44+AL44+AN44</f>
        <v>0.11700000000000001</v>
      </c>
      <c r="AQ44" s="20">
        <f t="shared" si="22"/>
        <v>187.2</v>
      </c>
      <c r="AR44" s="20"/>
      <c r="AS44" s="226"/>
      <c r="AT44" s="20"/>
      <c r="AU44" s="21"/>
      <c r="AV44" s="20"/>
      <c r="AW44" s="13"/>
      <c r="AX44" s="20">
        <f t="shared" si="18"/>
        <v>187.2</v>
      </c>
      <c r="AY44" s="503">
        <f t="shared" si="19"/>
        <v>1412.8</v>
      </c>
      <c r="AZ44" s="22">
        <v>0.09</v>
      </c>
      <c r="BA44" s="20">
        <f t="shared" ref="BA44:BA50" si="23">AG44*AZ44</f>
        <v>144</v>
      </c>
      <c r="BB44" s="20"/>
      <c r="BC44" s="335"/>
      <c r="BD44" s="476" t="s">
        <v>574</v>
      </c>
      <c r="BE44" s="206"/>
      <c r="BF44" s="1"/>
      <c r="BG44" s="12"/>
      <c r="BH44" s="12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</row>
    <row r="45" spans="1:160" s="6" customFormat="1" ht="15" customHeight="1">
      <c r="A45" s="1" t="s">
        <v>653</v>
      </c>
      <c r="B45" s="1"/>
      <c r="C45" s="15">
        <v>7</v>
      </c>
      <c r="D45" s="334" t="s">
        <v>678</v>
      </c>
      <c r="E45" s="16" t="s">
        <v>679</v>
      </c>
      <c r="F45" s="16" t="s">
        <v>680</v>
      </c>
      <c r="G45" s="16" t="s">
        <v>681</v>
      </c>
      <c r="H45" s="16" t="s">
        <v>71</v>
      </c>
      <c r="I45" t="s">
        <v>682</v>
      </c>
      <c r="J45" s="15"/>
      <c r="K45" s="39">
        <v>77306872</v>
      </c>
      <c r="L45" s="17">
        <v>45426</v>
      </c>
      <c r="M45" s="17">
        <v>37839</v>
      </c>
      <c r="N45" s="17"/>
      <c r="O45" s="6" t="s">
        <v>676</v>
      </c>
      <c r="P45" s="336" t="s">
        <v>22</v>
      </c>
      <c r="Q45" s="20">
        <v>1600</v>
      </c>
      <c r="R45" s="13"/>
      <c r="S45" s="269"/>
      <c r="T45" s="269"/>
      <c r="U45" s="20"/>
      <c r="V45" s="43"/>
      <c r="W45" s="20"/>
      <c r="X45" s="20"/>
      <c r="Y45" s="20"/>
      <c r="Z45" s="269"/>
      <c r="AA45" s="20"/>
      <c r="AB45" s="20"/>
      <c r="AC45" s="20"/>
      <c r="AD45" s="20"/>
      <c r="AE45" s="41"/>
      <c r="AF45" s="226">
        <f t="shared" si="16"/>
        <v>1600</v>
      </c>
      <c r="AG45" s="226">
        <f t="shared" si="17"/>
        <v>1600</v>
      </c>
      <c r="AH45" s="275"/>
      <c r="AI45" s="20"/>
      <c r="AJ45" s="23">
        <v>0.1</v>
      </c>
      <c r="AK45" s="20">
        <f t="shared" si="20"/>
        <v>160</v>
      </c>
      <c r="AL45" s="23">
        <v>0</v>
      </c>
      <c r="AM45" s="20"/>
      <c r="AN45" s="14">
        <v>1.7000000000000001E-2</v>
      </c>
      <c r="AO45" s="20">
        <f t="shared" si="21"/>
        <v>27.200000000000003</v>
      </c>
      <c r="AP45" s="23">
        <f t="shared" si="22"/>
        <v>0.11700000000000001</v>
      </c>
      <c r="AQ45" s="20">
        <f t="shared" si="22"/>
        <v>187.2</v>
      </c>
      <c r="AR45" s="20"/>
      <c r="AS45" s="226"/>
      <c r="AT45" s="20"/>
      <c r="AU45" s="21"/>
      <c r="AV45" s="20"/>
      <c r="AW45" s="13"/>
      <c r="AX45" s="20">
        <f t="shared" si="18"/>
        <v>187.2</v>
      </c>
      <c r="AY45" s="503">
        <f t="shared" si="19"/>
        <v>1412.8</v>
      </c>
      <c r="AZ45" s="22">
        <v>0.09</v>
      </c>
      <c r="BA45" s="20">
        <f t="shared" si="23"/>
        <v>144</v>
      </c>
      <c r="BB45" s="20"/>
      <c r="BC45" s="335"/>
      <c r="BD45" s="476" t="s">
        <v>574</v>
      </c>
      <c r="BE45" s="206"/>
      <c r="BF45" s="1"/>
      <c r="BG45" s="12"/>
      <c r="BH45" s="12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</row>
    <row r="46" spans="1:160" s="6" customFormat="1" ht="15" customHeight="1">
      <c r="A46" s="1" t="s">
        <v>653</v>
      </c>
      <c r="B46" s="1"/>
      <c r="C46" s="15">
        <v>8</v>
      </c>
      <c r="D46" s="334" t="s">
        <v>683</v>
      </c>
      <c r="E46" s="16" t="s">
        <v>684</v>
      </c>
      <c r="F46" s="16" t="s">
        <v>685</v>
      </c>
      <c r="G46" s="16" t="s">
        <v>686</v>
      </c>
      <c r="H46" s="16" t="s">
        <v>71</v>
      </c>
      <c r="I46" t="s">
        <v>687</v>
      </c>
      <c r="J46" s="15"/>
      <c r="K46" s="39">
        <v>75467651</v>
      </c>
      <c r="L46" s="17">
        <v>45426</v>
      </c>
      <c r="M46" s="17">
        <v>38159</v>
      </c>
      <c r="N46" s="17"/>
      <c r="O46" s="6" t="s">
        <v>676</v>
      </c>
      <c r="P46" s="336" t="s">
        <v>44</v>
      </c>
      <c r="Q46" s="20">
        <v>1600</v>
      </c>
      <c r="R46" s="13"/>
      <c r="S46" s="269"/>
      <c r="T46" s="269"/>
      <c r="U46" s="20"/>
      <c r="V46" s="43"/>
      <c r="W46" s="20"/>
      <c r="X46" s="20"/>
      <c r="Y46" s="20"/>
      <c r="Z46" s="269"/>
      <c r="AA46" s="20"/>
      <c r="AB46" s="20"/>
      <c r="AC46" s="20"/>
      <c r="AD46" s="20"/>
      <c r="AE46" s="41"/>
      <c r="AF46" s="226">
        <f t="shared" si="16"/>
        <v>1600</v>
      </c>
      <c r="AG46" s="226">
        <f t="shared" si="17"/>
        <v>1600</v>
      </c>
      <c r="AH46" s="275"/>
      <c r="AI46" s="20"/>
      <c r="AJ46" s="23">
        <v>0.1</v>
      </c>
      <c r="AK46" s="20">
        <f t="shared" si="20"/>
        <v>160</v>
      </c>
      <c r="AL46" s="23">
        <v>0</v>
      </c>
      <c r="AM46" s="20"/>
      <c r="AN46" s="14">
        <v>1.7000000000000001E-2</v>
      </c>
      <c r="AO46" s="20">
        <f t="shared" si="21"/>
        <v>27.200000000000003</v>
      </c>
      <c r="AP46" s="23">
        <f t="shared" si="22"/>
        <v>0.11700000000000001</v>
      </c>
      <c r="AQ46" s="20">
        <f t="shared" si="22"/>
        <v>187.2</v>
      </c>
      <c r="AR46" s="20"/>
      <c r="AS46" s="226"/>
      <c r="AT46" s="20"/>
      <c r="AU46" s="21"/>
      <c r="AV46" s="20"/>
      <c r="AW46" s="13"/>
      <c r="AX46" s="20">
        <f t="shared" si="18"/>
        <v>187.2</v>
      </c>
      <c r="AY46" s="503">
        <f t="shared" si="19"/>
        <v>1412.8</v>
      </c>
      <c r="AZ46" s="22">
        <v>0.09</v>
      </c>
      <c r="BA46" s="20">
        <f t="shared" si="23"/>
        <v>144</v>
      </c>
      <c r="BB46" s="20"/>
      <c r="BC46" s="335"/>
      <c r="BD46" s="476" t="s">
        <v>574</v>
      </c>
      <c r="BE46" s="206"/>
      <c r="BF46" s="1"/>
      <c r="BG46" s="12"/>
      <c r="BH46" s="12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</row>
    <row r="47" spans="1:160" s="6" customFormat="1" ht="16.5" customHeight="1">
      <c r="A47" s="1" t="s">
        <v>653</v>
      </c>
      <c r="B47" s="1"/>
      <c r="C47" s="15">
        <v>9</v>
      </c>
      <c r="D47" s="334" t="s">
        <v>688</v>
      </c>
      <c r="E47" s="16" t="s">
        <v>689</v>
      </c>
      <c r="F47" s="16" t="s">
        <v>604</v>
      </c>
      <c r="G47" s="16" t="s">
        <v>605</v>
      </c>
      <c r="H47" s="16" t="s">
        <v>71</v>
      </c>
      <c r="I47" t="s">
        <v>690</v>
      </c>
      <c r="J47" s="15"/>
      <c r="K47" s="39">
        <v>72804045</v>
      </c>
      <c r="L47" s="17">
        <v>45426</v>
      </c>
      <c r="M47" s="17">
        <v>34047</v>
      </c>
      <c r="N47" s="17"/>
      <c r="O47" s="6" t="s">
        <v>676</v>
      </c>
      <c r="P47" s="336" t="s">
        <v>602</v>
      </c>
      <c r="Q47" s="20">
        <f>1200</f>
        <v>1200</v>
      </c>
      <c r="R47" s="13"/>
      <c r="S47" s="269"/>
      <c r="T47" s="269"/>
      <c r="U47" s="20"/>
      <c r="V47" s="43"/>
      <c r="W47" s="20"/>
      <c r="X47" s="20"/>
      <c r="Y47" s="20"/>
      <c r="Z47" s="269"/>
      <c r="AA47" s="20"/>
      <c r="AB47" s="20"/>
      <c r="AC47" s="20"/>
      <c r="AD47" s="20"/>
      <c r="AE47" s="41"/>
      <c r="AF47" s="226">
        <f t="shared" si="16"/>
        <v>1200</v>
      </c>
      <c r="AG47" s="226">
        <f t="shared" si="17"/>
        <v>1200</v>
      </c>
      <c r="AH47" s="275"/>
      <c r="AI47" s="20"/>
      <c r="AJ47" s="23">
        <v>0.1</v>
      </c>
      <c r="AK47" s="20">
        <f t="shared" si="20"/>
        <v>120</v>
      </c>
      <c r="AL47" s="23">
        <v>0</v>
      </c>
      <c r="AM47" s="20"/>
      <c r="AN47" s="14">
        <v>1.7000000000000001E-2</v>
      </c>
      <c r="AO47" s="20">
        <f t="shared" si="21"/>
        <v>20.400000000000002</v>
      </c>
      <c r="AP47" s="23">
        <f t="shared" si="22"/>
        <v>0.11700000000000001</v>
      </c>
      <c r="AQ47" s="20">
        <f t="shared" si="22"/>
        <v>140.4</v>
      </c>
      <c r="AR47" s="20"/>
      <c r="AS47" s="226"/>
      <c r="AT47" s="20"/>
      <c r="AU47" s="21"/>
      <c r="AV47" s="20"/>
      <c r="AW47" s="13"/>
      <c r="AX47" s="20">
        <f t="shared" si="18"/>
        <v>140.4</v>
      </c>
      <c r="AY47" s="503">
        <f t="shared" si="19"/>
        <v>1059.5999999999999</v>
      </c>
      <c r="AZ47" s="22">
        <v>0.09</v>
      </c>
      <c r="BA47" s="20">
        <f t="shared" si="23"/>
        <v>108</v>
      </c>
      <c r="BB47" s="20"/>
      <c r="BC47" s="335"/>
      <c r="BD47" s="476" t="s">
        <v>574</v>
      </c>
      <c r="BE47" s="206"/>
      <c r="BF47" s="1"/>
      <c r="BG47" s="12"/>
      <c r="BH47" s="12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</row>
    <row r="48" spans="1:160" s="6" customFormat="1" ht="16.5" customHeight="1">
      <c r="A48" s="1" t="s">
        <v>653</v>
      </c>
      <c r="B48" s="1"/>
      <c r="C48" s="15">
        <v>10</v>
      </c>
      <c r="D48" s="334" t="s">
        <v>691</v>
      </c>
      <c r="E48" s="16" t="s">
        <v>692</v>
      </c>
      <c r="F48" s="16" t="s">
        <v>693</v>
      </c>
      <c r="G48" s="16" t="s">
        <v>694</v>
      </c>
      <c r="H48" s="16" t="s">
        <v>71</v>
      </c>
      <c r="I48" t="s">
        <v>695</v>
      </c>
      <c r="J48" s="15"/>
      <c r="K48" s="39">
        <v>40897608</v>
      </c>
      <c r="L48" s="17">
        <v>45474</v>
      </c>
      <c r="M48" s="17">
        <v>29656</v>
      </c>
      <c r="N48" s="17"/>
      <c r="O48" s="6" t="s">
        <v>676</v>
      </c>
      <c r="P48" s="336" t="s">
        <v>607</v>
      </c>
      <c r="Q48" s="20">
        <v>1200</v>
      </c>
      <c r="R48" s="13"/>
      <c r="S48" s="269">
        <v>102.5</v>
      </c>
      <c r="T48" s="269"/>
      <c r="U48" s="20"/>
      <c r="V48" s="43"/>
      <c r="W48" s="20"/>
      <c r="X48" s="20"/>
      <c r="Y48" s="20"/>
      <c r="Z48" s="269"/>
      <c r="AA48" s="20"/>
      <c r="AB48" s="20"/>
      <c r="AC48" s="20"/>
      <c r="AD48" s="20"/>
      <c r="AE48" s="41"/>
      <c r="AF48" s="226">
        <f t="shared" si="16"/>
        <v>1302.5</v>
      </c>
      <c r="AG48" s="226">
        <f t="shared" si="17"/>
        <v>1302.5</v>
      </c>
      <c r="AH48" s="275"/>
      <c r="AI48" s="20"/>
      <c r="AJ48" s="23">
        <v>0.1</v>
      </c>
      <c r="AK48" s="20">
        <f t="shared" si="20"/>
        <v>130.25</v>
      </c>
      <c r="AL48" s="23">
        <v>0</v>
      </c>
      <c r="AM48" s="20"/>
      <c r="AN48" s="14">
        <v>1.7000000000000001E-2</v>
      </c>
      <c r="AO48" s="20">
        <f t="shared" si="21"/>
        <v>22.142500000000002</v>
      </c>
      <c r="AP48" s="23">
        <f t="shared" si="22"/>
        <v>0.11700000000000001</v>
      </c>
      <c r="AQ48" s="20">
        <f t="shared" si="22"/>
        <v>152.39250000000001</v>
      </c>
      <c r="AR48" s="20"/>
      <c r="AS48" s="226"/>
      <c r="AT48" s="20"/>
      <c r="AU48" s="21"/>
      <c r="AV48" s="20"/>
      <c r="AW48" s="13"/>
      <c r="AX48" s="20">
        <f t="shared" si="18"/>
        <v>152.39250000000001</v>
      </c>
      <c r="AY48" s="503">
        <f t="shared" si="19"/>
        <v>1150.1075000000001</v>
      </c>
      <c r="AZ48" s="22">
        <v>0.09</v>
      </c>
      <c r="BA48" s="20">
        <f>AG48*AZ48</f>
        <v>117.22499999999999</v>
      </c>
      <c r="BB48" s="20"/>
      <c r="BC48" s="335"/>
      <c r="BD48" s="476" t="s">
        <v>574</v>
      </c>
      <c r="BE48" s="206"/>
      <c r="BF48" s="1"/>
      <c r="BG48" s="12"/>
      <c r="BH48" s="12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</row>
    <row r="49" spans="1:160" s="6" customFormat="1" ht="14.25" customHeight="1" thickBot="1">
      <c r="A49" s="1" t="s">
        <v>696</v>
      </c>
      <c r="B49" s="1"/>
      <c r="C49" s="15">
        <v>11</v>
      </c>
      <c r="D49" s="334" t="s">
        <v>697</v>
      </c>
      <c r="E49" s="16" t="s">
        <v>698</v>
      </c>
      <c r="F49" s="16" t="s">
        <v>699</v>
      </c>
      <c r="G49" s="16" t="s">
        <v>700</v>
      </c>
      <c r="H49" s="16" t="s">
        <v>72</v>
      </c>
      <c r="I49" t="s">
        <v>701</v>
      </c>
      <c r="J49" s="15"/>
      <c r="K49" s="39">
        <v>48455935</v>
      </c>
      <c r="L49" s="17">
        <v>45342</v>
      </c>
      <c r="M49" s="17">
        <v>34313</v>
      </c>
      <c r="N49" s="17"/>
      <c r="O49" s="6" t="s">
        <v>696</v>
      </c>
      <c r="P49" s="336" t="s">
        <v>702</v>
      </c>
      <c r="Q49" s="20">
        <f>1800</f>
        <v>1800</v>
      </c>
      <c r="R49" s="13"/>
      <c r="S49" s="269"/>
      <c r="T49" s="269"/>
      <c r="U49" s="20"/>
      <c r="V49" s="43"/>
      <c r="W49" s="20"/>
      <c r="X49" s="20"/>
      <c r="Y49" s="20"/>
      <c r="Z49" s="269"/>
      <c r="AA49" s="20"/>
      <c r="AB49" s="20"/>
      <c r="AC49" s="20"/>
      <c r="AD49" s="20"/>
      <c r="AE49" s="41"/>
      <c r="AF49" s="226">
        <f t="shared" si="16"/>
        <v>1800</v>
      </c>
      <c r="AG49" s="226">
        <f t="shared" si="17"/>
        <v>1800</v>
      </c>
      <c r="AH49" s="275"/>
      <c r="AI49" s="20"/>
      <c r="AJ49" s="23">
        <v>0.1</v>
      </c>
      <c r="AK49" s="20">
        <f t="shared" si="20"/>
        <v>180</v>
      </c>
      <c r="AL49" s="23">
        <v>0</v>
      </c>
      <c r="AM49" s="20"/>
      <c r="AN49" s="23">
        <v>1.7000000000000001E-2</v>
      </c>
      <c r="AO49" s="20">
        <f t="shared" si="21"/>
        <v>30.6</v>
      </c>
      <c r="AP49" s="23">
        <f t="shared" si="22"/>
        <v>0.11700000000000001</v>
      </c>
      <c r="AQ49" s="20">
        <f t="shared" si="22"/>
        <v>210.6</v>
      </c>
      <c r="AR49" s="20"/>
      <c r="AS49" s="226"/>
      <c r="AT49" s="20"/>
      <c r="AU49" s="21"/>
      <c r="AV49" s="20"/>
      <c r="AW49" s="13"/>
      <c r="AX49" s="20">
        <f t="shared" si="18"/>
        <v>210.6</v>
      </c>
      <c r="AY49" s="503">
        <f t="shared" si="19"/>
        <v>1589.4</v>
      </c>
      <c r="AZ49" s="22">
        <v>0.09</v>
      </c>
      <c r="BA49" s="20">
        <f t="shared" si="23"/>
        <v>162</v>
      </c>
      <c r="BB49" s="20"/>
      <c r="BC49" s="337"/>
      <c r="BD49" s="476"/>
      <c r="BE49" s="206"/>
      <c r="BF49" s="1"/>
      <c r="BG49" s="12"/>
      <c r="BH49" s="12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</row>
    <row r="50" spans="1:160" s="6" customFormat="1" ht="14.25" customHeight="1" thickBot="1">
      <c r="A50" s="1" t="s">
        <v>696</v>
      </c>
      <c r="B50" s="1"/>
      <c r="C50" s="15">
        <v>11</v>
      </c>
      <c r="D50" s="334" t="s">
        <v>402</v>
      </c>
      <c r="E50" s="16" t="s">
        <v>703</v>
      </c>
      <c r="F50" s="16" t="s">
        <v>704</v>
      </c>
      <c r="G50" s="16"/>
      <c r="H50" s="16" t="s">
        <v>71</v>
      </c>
      <c r="I50" t="s">
        <v>705</v>
      </c>
      <c r="J50" s="15"/>
      <c r="K50" s="39">
        <v>77628743</v>
      </c>
      <c r="L50" s="17">
        <v>45484</v>
      </c>
      <c r="M50" s="17">
        <v>37084</v>
      </c>
      <c r="N50" s="17"/>
      <c r="O50" s="6" t="s">
        <v>696</v>
      </c>
      <c r="P50" s="336" t="s">
        <v>706</v>
      </c>
      <c r="Q50" s="20">
        <f>((1200/30)*5)</f>
        <v>200</v>
      </c>
      <c r="R50" s="13"/>
      <c r="S50" s="269"/>
      <c r="T50" s="269"/>
      <c r="U50" s="20"/>
      <c r="V50" s="43"/>
      <c r="W50" s="20"/>
      <c r="X50" s="20"/>
      <c r="Y50" s="20"/>
      <c r="Z50" s="269"/>
      <c r="AA50" s="20"/>
      <c r="AB50" s="20"/>
      <c r="AC50" s="20"/>
      <c r="AD50" s="20"/>
      <c r="AE50" s="41"/>
      <c r="AF50" s="226">
        <f t="shared" si="16"/>
        <v>200</v>
      </c>
      <c r="AG50" s="226">
        <f t="shared" si="17"/>
        <v>200</v>
      </c>
      <c r="AH50" s="275"/>
      <c r="AI50" s="20"/>
      <c r="AJ50" s="23">
        <v>0.1</v>
      </c>
      <c r="AK50" s="20">
        <f t="shared" si="20"/>
        <v>20</v>
      </c>
      <c r="AL50" s="23">
        <v>0</v>
      </c>
      <c r="AM50" s="20"/>
      <c r="AN50" s="23">
        <v>1.7000000000000001E-2</v>
      </c>
      <c r="AO50" s="20">
        <f t="shared" si="21"/>
        <v>3.4000000000000004</v>
      </c>
      <c r="AP50" s="23">
        <f t="shared" si="22"/>
        <v>0.11700000000000001</v>
      </c>
      <c r="AQ50" s="20">
        <f t="shared" si="22"/>
        <v>23.4</v>
      </c>
      <c r="AR50" s="20"/>
      <c r="AS50" s="226"/>
      <c r="AT50" s="20"/>
      <c r="AU50" s="21"/>
      <c r="AV50" s="20"/>
      <c r="AW50" s="13"/>
      <c r="AX50" s="20">
        <f t="shared" si="18"/>
        <v>23.4</v>
      </c>
      <c r="AY50" s="503">
        <f t="shared" si="19"/>
        <v>176.6</v>
      </c>
      <c r="AZ50" s="22">
        <v>0.09</v>
      </c>
      <c r="BA50" s="20">
        <f t="shared" si="23"/>
        <v>18</v>
      </c>
      <c r="BB50" s="20"/>
      <c r="BC50" s="337"/>
      <c r="BD50" s="476" t="s">
        <v>574</v>
      </c>
      <c r="BE50" s="206"/>
      <c r="BF50" s="1"/>
      <c r="BG50" s="12"/>
      <c r="BH50" s="12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</row>
    <row r="51" spans="1:160" s="8" customFormat="1" ht="14.25" customHeight="1">
      <c r="A51" s="368" t="s">
        <v>653</v>
      </c>
      <c r="B51" s="369"/>
      <c r="C51" s="370"/>
      <c r="D51" s="371"/>
      <c r="E51" s="371"/>
      <c r="F51" s="371"/>
      <c r="G51" s="371"/>
      <c r="H51" s="371"/>
      <c r="I51" s="372"/>
      <c r="J51" s="370"/>
      <c r="K51" s="373"/>
      <c r="L51" s="374"/>
      <c r="M51" s="374"/>
      <c r="N51" s="374"/>
      <c r="O51" s="375"/>
      <c r="P51" s="376"/>
      <c r="Q51" s="363">
        <f>SUM(Q43:Q49)</f>
        <v>9832</v>
      </c>
      <c r="R51" s="364"/>
      <c r="S51" s="364">
        <f t="shared" ref="S51:Z51" si="24">SUM(S43:S49)</f>
        <v>102.5</v>
      </c>
      <c r="T51" s="364">
        <f t="shared" si="24"/>
        <v>0</v>
      </c>
      <c r="U51" s="364">
        <f t="shared" si="24"/>
        <v>0</v>
      </c>
      <c r="V51" s="364">
        <f t="shared" si="24"/>
        <v>0</v>
      </c>
      <c r="W51" s="364">
        <f t="shared" si="24"/>
        <v>0</v>
      </c>
      <c r="X51" s="364">
        <f t="shared" si="24"/>
        <v>0</v>
      </c>
      <c r="Y51" s="364">
        <f t="shared" si="24"/>
        <v>0</v>
      </c>
      <c r="Z51" s="364">
        <f t="shared" si="24"/>
        <v>0</v>
      </c>
      <c r="AA51" s="364"/>
      <c r="AB51" s="364">
        <f>SUM(AB43:AB43)</f>
        <v>0</v>
      </c>
      <c r="AC51" s="364">
        <f>SUM(AC43:AC43)</f>
        <v>0</v>
      </c>
      <c r="AD51" s="364">
        <f>SUM(AD43:AD43)</f>
        <v>0</v>
      </c>
      <c r="AE51" s="364">
        <f>SUM(AE43:AE49)</f>
        <v>0</v>
      </c>
      <c r="AF51" s="364">
        <f>SUM(AF43:AF49)</f>
        <v>9934.5</v>
      </c>
      <c r="AG51" s="364">
        <f>SUM(AG43:AG49)</f>
        <v>9934.5</v>
      </c>
      <c r="AH51" s="365"/>
      <c r="AI51" s="364">
        <f>SUM(AI43:AI43)</f>
        <v>0</v>
      </c>
      <c r="AJ51" s="366"/>
      <c r="AK51" s="364">
        <f>SUM(AK43:AK49)</f>
        <v>910.25</v>
      </c>
      <c r="AL51" s="366"/>
      <c r="AM51" s="364">
        <f>SUM(AM43:AM49)</f>
        <v>0</v>
      </c>
      <c r="AN51" s="366"/>
      <c r="AO51" s="364">
        <f>SUM(AO43:AO49)</f>
        <v>154.74250000000001</v>
      </c>
      <c r="AP51" s="366"/>
      <c r="AQ51" s="364">
        <f>SUM(AQ43:AQ49)</f>
        <v>1064.9924999999998</v>
      </c>
      <c r="AR51" s="364"/>
      <c r="AS51" s="364">
        <f>SUM(AS43:AS49)</f>
        <v>0</v>
      </c>
      <c r="AT51" s="364">
        <f>SUM(AT43:AT49)</f>
        <v>0</v>
      </c>
      <c r="AU51" s="364">
        <f>SUM(AU43:AU49)</f>
        <v>0</v>
      </c>
      <c r="AV51" s="364"/>
      <c r="AW51" s="364">
        <f>SUM(AW43:AW49)</f>
        <v>0</v>
      </c>
      <c r="AX51" s="364">
        <f>SUM(AX43:AX49)</f>
        <v>1064.9924999999998</v>
      </c>
      <c r="AY51" s="364">
        <f>SUM(AY43:AY50)</f>
        <v>9046.1075000000001</v>
      </c>
      <c r="AZ51" s="365"/>
      <c r="BA51" s="377">
        <f>SUM(BA43:BC49)</f>
        <v>944.51499999999999</v>
      </c>
      <c r="BB51" s="266">
        <f>SUM(BB43:BB49)</f>
        <v>50.41</v>
      </c>
      <c r="BC51" s="299"/>
      <c r="BD51" s="476"/>
      <c r="BE51" s="206"/>
      <c r="BF51" s="3"/>
      <c r="BG51" s="5"/>
      <c r="BH51" s="5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</row>
    <row r="52" spans="1:160" s="6" customFormat="1" ht="14.25" customHeight="1" thickBot="1">
      <c r="A52" s="378"/>
      <c r="B52" s="379"/>
      <c r="C52" s="380"/>
      <c r="D52" s="381"/>
      <c r="E52" s="381"/>
      <c r="F52" s="381"/>
      <c r="G52" s="381"/>
      <c r="H52" s="381"/>
      <c r="I52" s="382"/>
      <c r="J52" s="380"/>
      <c r="K52" s="383"/>
      <c r="L52" s="384"/>
      <c r="M52" s="384"/>
      <c r="N52" s="384"/>
      <c r="O52" s="385"/>
      <c r="P52" s="386"/>
      <c r="Q52" s="387"/>
      <c r="R52" s="360"/>
      <c r="S52" s="360"/>
      <c r="T52" s="360"/>
      <c r="U52" s="360"/>
      <c r="V52" s="388"/>
      <c r="W52" s="360"/>
      <c r="X52" s="360"/>
      <c r="Y52" s="360"/>
      <c r="Z52" s="360"/>
      <c r="AA52" s="360"/>
      <c r="AB52" s="360"/>
      <c r="AC52" s="360"/>
      <c r="AD52" s="360"/>
      <c r="AE52" s="389"/>
      <c r="AF52" s="360"/>
      <c r="AG52" s="360"/>
      <c r="AH52" s="390"/>
      <c r="AI52" s="360"/>
      <c r="AJ52" s="391"/>
      <c r="AK52" s="360"/>
      <c r="AL52" s="391"/>
      <c r="AM52" s="360"/>
      <c r="AN52" s="391"/>
      <c r="AO52" s="360"/>
      <c r="AP52" s="391"/>
      <c r="AQ52" s="360"/>
      <c r="AR52" s="360"/>
      <c r="AS52" s="392"/>
      <c r="AT52" s="360"/>
      <c r="AU52" s="360"/>
      <c r="AV52" s="360"/>
      <c r="AW52" s="360"/>
      <c r="AX52" s="360"/>
      <c r="AY52" s="360"/>
      <c r="AZ52" s="390"/>
      <c r="BA52" s="393"/>
      <c r="BB52" s="367"/>
      <c r="BC52" s="300"/>
      <c r="BD52" s="476"/>
      <c r="BE52" s="206"/>
      <c r="BF52" s="1"/>
      <c r="BG52" s="12"/>
      <c r="BH52" s="1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</row>
    <row r="53" spans="1:160" s="6" customFormat="1" ht="14.25" customHeight="1" thickBot="1">
      <c r="A53" s="398" t="s">
        <v>653</v>
      </c>
      <c r="B53" s="399"/>
      <c r="C53" s="400"/>
      <c r="D53" s="401"/>
      <c r="E53" s="401"/>
      <c r="F53" s="401"/>
      <c r="G53" s="401"/>
      <c r="H53" s="401"/>
      <c r="I53" s="402"/>
      <c r="J53" s="400"/>
      <c r="K53" s="403"/>
      <c r="L53" s="404"/>
      <c r="M53" s="404"/>
      <c r="N53" s="404"/>
      <c r="O53" s="405"/>
      <c r="P53" s="406"/>
      <c r="Q53" s="395">
        <f>Q42+Q51</f>
        <v>15424</v>
      </c>
      <c r="R53" s="395"/>
      <c r="S53" s="395">
        <f t="shared" ref="S53:Z53" si="25">S42+S51</f>
        <v>102.5</v>
      </c>
      <c r="T53" s="395">
        <f t="shared" si="25"/>
        <v>0</v>
      </c>
      <c r="U53" s="395">
        <f t="shared" si="25"/>
        <v>0</v>
      </c>
      <c r="V53" s="395">
        <f t="shared" si="25"/>
        <v>0</v>
      </c>
      <c r="W53" s="395">
        <f t="shared" si="25"/>
        <v>0</v>
      </c>
      <c r="X53" s="395">
        <f t="shared" si="25"/>
        <v>0</v>
      </c>
      <c r="Y53" s="395">
        <f t="shared" si="25"/>
        <v>0</v>
      </c>
      <c r="Z53" s="395">
        <f t="shared" si="25"/>
        <v>0</v>
      </c>
      <c r="AA53" s="395"/>
      <c r="AB53" s="395">
        <f t="shared" ref="AB53:AG53" si="26">AB42+AB51</f>
        <v>0</v>
      </c>
      <c r="AC53" s="395">
        <f t="shared" si="26"/>
        <v>0</v>
      </c>
      <c r="AD53" s="395">
        <f t="shared" si="26"/>
        <v>0</v>
      </c>
      <c r="AE53" s="395">
        <f t="shared" si="26"/>
        <v>0</v>
      </c>
      <c r="AF53" s="395">
        <f t="shared" si="26"/>
        <v>15526.5</v>
      </c>
      <c r="AG53" s="395">
        <f t="shared" si="26"/>
        <v>15526.5</v>
      </c>
      <c r="AH53" s="395"/>
      <c r="AI53" s="395">
        <f>AI42+AI51</f>
        <v>0</v>
      </c>
      <c r="AJ53" s="395"/>
      <c r="AK53" s="395">
        <f>AK42+AK51</f>
        <v>1469.45</v>
      </c>
      <c r="AL53" s="395"/>
      <c r="AM53" s="395">
        <f>AM42+AM51</f>
        <v>40.672000000000004</v>
      </c>
      <c r="AN53" s="395"/>
      <c r="AO53" s="395">
        <f>AO42+AO51</f>
        <v>249.80650000000003</v>
      </c>
      <c r="AP53" s="395"/>
      <c r="AQ53" s="395">
        <f>AQ42+AQ51</f>
        <v>1759.9284999999998</v>
      </c>
      <c r="AR53" s="395">
        <f>AR42+AR51</f>
        <v>0</v>
      </c>
      <c r="AS53" s="396">
        <f>AS42+AS51</f>
        <v>0</v>
      </c>
      <c r="AT53" s="395">
        <f>AT42+AT51</f>
        <v>0</v>
      </c>
      <c r="AU53" s="395">
        <f>AU42+AU51</f>
        <v>0</v>
      </c>
      <c r="AV53" s="395"/>
      <c r="AW53" s="395">
        <f>AW42+AW51</f>
        <v>0</v>
      </c>
      <c r="AX53" s="395">
        <f>AX42+AX51</f>
        <v>1759.9284999999998</v>
      </c>
      <c r="AY53" s="395">
        <f>AY42+AY51</f>
        <v>13943.1715</v>
      </c>
      <c r="AZ53" s="395"/>
      <c r="BA53" s="397">
        <f>BA42+BA51</f>
        <v>1450.675</v>
      </c>
      <c r="BB53" s="394">
        <f>+BB42+BB51</f>
        <v>53.29</v>
      </c>
      <c r="BC53" s="60"/>
      <c r="BD53" s="476"/>
      <c r="BE53" s="206"/>
      <c r="BG53" s="12"/>
      <c r="BH53" s="12"/>
    </row>
    <row r="54" spans="1:160" s="6" customFormat="1" ht="14.25" customHeight="1">
      <c r="A54" s="1"/>
      <c r="B54" s="1"/>
      <c r="C54" s="15"/>
      <c r="D54" s="16"/>
      <c r="E54" s="16"/>
      <c r="F54" s="16"/>
      <c r="G54" s="16"/>
      <c r="H54" s="16"/>
      <c r="I54" s="245"/>
      <c r="J54" s="15"/>
      <c r="K54" s="39"/>
      <c r="L54" s="17"/>
      <c r="M54" s="17"/>
      <c r="N54" s="17"/>
      <c r="O54" s="18"/>
      <c r="P54" s="19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229"/>
      <c r="AT54" s="9"/>
      <c r="AU54" s="47"/>
      <c r="AV54" s="9"/>
      <c r="AW54" s="9"/>
      <c r="AX54" s="47"/>
      <c r="AY54" s="516"/>
      <c r="AZ54" s="47"/>
      <c r="BA54" s="47"/>
      <c r="BB54" s="47"/>
      <c r="BC54" s="47"/>
      <c r="BD54" s="472"/>
      <c r="BE54" s="206"/>
      <c r="BG54" s="12"/>
      <c r="BH54" s="12"/>
    </row>
    <row r="55" spans="1:160" s="6" customFormat="1" ht="14.25" customHeight="1">
      <c r="A55" s="1"/>
      <c r="B55" s="1"/>
      <c r="C55" s="15"/>
      <c r="D55" s="16"/>
      <c r="E55" s="16"/>
      <c r="F55" s="16"/>
      <c r="G55" s="16"/>
      <c r="H55" s="16"/>
      <c r="I55" s="245"/>
      <c r="J55" s="15"/>
      <c r="K55" s="39"/>
      <c r="L55" s="17"/>
      <c r="M55" s="17"/>
      <c r="N55" s="17"/>
      <c r="O55" s="18"/>
      <c r="P55" s="19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2"/>
      <c r="AI55" s="20"/>
      <c r="AJ55" s="23"/>
      <c r="AK55" s="20"/>
      <c r="AL55" s="23"/>
      <c r="AM55" s="20"/>
      <c r="AN55" s="23"/>
      <c r="AO55" s="20"/>
      <c r="AP55" s="23"/>
      <c r="AQ55" s="20"/>
      <c r="AR55" s="20"/>
      <c r="AS55" s="226"/>
      <c r="AT55" s="20"/>
      <c r="AU55" s="20"/>
      <c r="AV55" s="20"/>
      <c r="AW55" s="20"/>
      <c r="AX55" s="20"/>
      <c r="AY55" s="503"/>
      <c r="AZ55" s="22"/>
      <c r="BA55" s="20"/>
      <c r="BB55" s="20"/>
      <c r="BC55" s="24"/>
      <c r="BD55" s="472"/>
      <c r="BE55" s="206"/>
      <c r="BG55" s="12"/>
      <c r="BH55" s="12"/>
    </row>
    <row r="56" spans="1:160" s="6" customFormat="1" ht="14.25" customHeight="1">
      <c r="A56" s="1" t="s">
        <v>707</v>
      </c>
      <c r="B56" s="1"/>
      <c r="C56" s="15">
        <v>1</v>
      </c>
      <c r="D56" s="16" t="s">
        <v>708</v>
      </c>
      <c r="E56" s="16" t="s">
        <v>709</v>
      </c>
      <c r="F56" s="16" t="s">
        <v>710</v>
      </c>
      <c r="G56" s="16"/>
      <c r="H56" s="16" t="s">
        <v>70</v>
      </c>
      <c r="I56" s="245" t="s">
        <v>711</v>
      </c>
      <c r="J56" s="15"/>
      <c r="K56" s="39">
        <v>40961414</v>
      </c>
      <c r="L56" s="17">
        <v>44902</v>
      </c>
      <c r="M56" s="17">
        <v>28713</v>
      </c>
      <c r="N56" s="17"/>
      <c r="O56" s="18" t="s">
        <v>712</v>
      </c>
      <c r="P56" s="18" t="s">
        <v>713</v>
      </c>
      <c r="Q56" s="44">
        <v>2250.17</v>
      </c>
      <c r="R56" s="44"/>
      <c r="S56" s="44">
        <v>102.5</v>
      </c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>
        <f>SUM(Q56:AD56)-AE56</f>
        <v>2352.67</v>
      </c>
      <c r="AG56" s="44">
        <f>+Q56+S56+T56+U56+V56+X56-AE56</f>
        <v>2352.67</v>
      </c>
      <c r="AH56" s="44"/>
      <c r="AI56" s="44"/>
      <c r="AJ56" s="46">
        <v>0.1</v>
      </c>
      <c r="AK56" s="44">
        <f>+AG56*AJ56</f>
        <v>235.26700000000002</v>
      </c>
      <c r="AL56" s="46">
        <v>0</v>
      </c>
      <c r="AM56" s="44"/>
      <c r="AN56" s="46">
        <v>1.7000000000000001E-2</v>
      </c>
      <c r="AO56" s="44">
        <f>+AG56*AN56</f>
        <v>39.995390000000008</v>
      </c>
      <c r="AP56" s="46">
        <f>+AJ56+AL56+AN56</f>
        <v>0.11700000000000001</v>
      </c>
      <c r="AQ56" s="44">
        <f>+AK56+AM56+AO56</f>
        <v>275.26239000000004</v>
      </c>
      <c r="AR56" s="44"/>
      <c r="AS56" s="277"/>
      <c r="AT56" s="50"/>
      <c r="AU56" s="48">
        <v>250</v>
      </c>
      <c r="AV56" s="51"/>
      <c r="AW56" s="51"/>
      <c r="AX56" s="44">
        <f>+AI56+AQ56+AR56+AS56+AT56+AU56+AW56</f>
        <v>525.2623900000001</v>
      </c>
      <c r="AY56" s="517">
        <f>(+AF56-AX56)</f>
        <v>1827.40761</v>
      </c>
      <c r="AZ56" s="45">
        <v>0.09</v>
      </c>
      <c r="BA56" s="44">
        <f>+AG56*AZ56</f>
        <v>211.74029999999999</v>
      </c>
      <c r="BB56" s="20">
        <v>8.3000000000000007</v>
      </c>
      <c r="BC56" s="24"/>
      <c r="BD56" s="476" t="s">
        <v>574</v>
      </c>
      <c r="BE56" s="206"/>
      <c r="BG56" s="12"/>
      <c r="BH56" s="12"/>
    </row>
    <row r="57" spans="1:160" s="6" customFormat="1" ht="14.25" customHeight="1" thickBot="1">
      <c r="A57" s="1"/>
      <c r="B57" s="1"/>
      <c r="C57" s="15"/>
      <c r="D57" s="16"/>
      <c r="E57" s="16"/>
      <c r="F57" s="16"/>
      <c r="G57" s="16"/>
      <c r="H57" s="16"/>
      <c r="I57" s="245"/>
      <c r="J57" s="15"/>
      <c r="K57" s="39"/>
      <c r="L57" s="17"/>
      <c r="M57" s="17"/>
      <c r="N57" s="17"/>
      <c r="O57" s="18"/>
      <c r="P57" s="19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3"/>
      <c r="AK57" s="20"/>
      <c r="AL57" s="23"/>
      <c r="AM57" s="20"/>
      <c r="AN57" s="23"/>
      <c r="AO57" s="20"/>
      <c r="AP57" s="23"/>
      <c r="AQ57" s="20"/>
      <c r="AR57" s="20"/>
      <c r="AS57" s="226"/>
      <c r="AT57" s="269"/>
      <c r="AU57" s="20"/>
      <c r="AV57" s="270"/>
      <c r="AW57" s="270"/>
      <c r="AX57" s="20"/>
      <c r="AY57" s="503"/>
      <c r="AZ57" s="22"/>
      <c r="BA57" s="20"/>
      <c r="BB57" s="20"/>
      <c r="BC57" s="24"/>
      <c r="BD57" s="472"/>
      <c r="BE57" s="206"/>
      <c r="BG57" s="12"/>
      <c r="BH57" s="12"/>
    </row>
    <row r="58" spans="1:160" s="6" customFormat="1" ht="14.25" customHeight="1" thickBot="1">
      <c r="A58" s="349"/>
      <c r="B58" s="340"/>
      <c r="C58" s="341"/>
      <c r="D58" s="342"/>
      <c r="E58" s="342"/>
      <c r="F58" s="342"/>
      <c r="G58" s="342"/>
      <c r="H58" s="342"/>
      <c r="I58" s="407"/>
      <c r="J58" s="341"/>
      <c r="K58" s="352"/>
      <c r="L58" s="345"/>
      <c r="M58" s="345"/>
      <c r="N58" s="345"/>
      <c r="O58" s="350"/>
      <c r="P58" s="362"/>
      <c r="Q58" s="354">
        <f>SUM(Q55:Q56)</f>
        <v>2250.17</v>
      </c>
      <c r="R58" s="347"/>
      <c r="S58" s="347">
        <f>SUM(S55:S56)</f>
        <v>102.5</v>
      </c>
      <c r="T58" s="347">
        <f t="shared" ref="T58:Z58" si="27">SUM(T55:T56)</f>
        <v>0</v>
      </c>
      <c r="U58" s="347">
        <f t="shared" si="27"/>
        <v>0</v>
      </c>
      <c r="V58" s="347">
        <f t="shared" si="27"/>
        <v>0</v>
      </c>
      <c r="W58" s="347">
        <f t="shared" si="27"/>
        <v>0</v>
      </c>
      <c r="X58" s="347">
        <f t="shared" si="27"/>
        <v>0</v>
      </c>
      <c r="Y58" s="347">
        <f t="shared" si="27"/>
        <v>0</v>
      </c>
      <c r="Z58" s="347">
        <f t="shared" si="27"/>
        <v>0</v>
      </c>
      <c r="AA58" s="347"/>
      <c r="AB58" s="347">
        <f t="shared" ref="AB58:AG58" si="28">SUM(AB55:AB56)</f>
        <v>0</v>
      </c>
      <c r="AC58" s="347">
        <f t="shared" si="28"/>
        <v>0</v>
      </c>
      <c r="AD58" s="347">
        <f t="shared" si="28"/>
        <v>0</v>
      </c>
      <c r="AE58" s="347">
        <f t="shared" si="28"/>
        <v>0</v>
      </c>
      <c r="AF58" s="347">
        <f>SUM(AF55:AF56)</f>
        <v>2352.67</v>
      </c>
      <c r="AG58" s="347">
        <f t="shared" si="28"/>
        <v>2352.67</v>
      </c>
      <c r="AH58" s="408"/>
      <c r="AI58" s="347"/>
      <c r="AJ58" s="358"/>
      <c r="AK58" s="347">
        <f>SUM(AK55:AK56)</f>
        <v>235.26700000000002</v>
      </c>
      <c r="AL58" s="358"/>
      <c r="AM58" s="347">
        <f>SUM(AM55:AM56)</f>
        <v>0</v>
      </c>
      <c r="AN58" s="358"/>
      <c r="AO58" s="347">
        <f>SUM(AO55:AO56)</f>
        <v>39.995390000000008</v>
      </c>
      <c r="AP58" s="358"/>
      <c r="AQ58" s="347">
        <f>SUM(AQ55:AQ56)</f>
        <v>275.26239000000004</v>
      </c>
      <c r="AR58" s="347"/>
      <c r="AS58" s="359">
        <f>SUM(AS55:AS56)</f>
        <v>0</v>
      </c>
      <c r="AT58" s="347">
        <f>SUM(AT55:AT56)</f>
        <v>0</v>
      </c>
      <c r="AU58" s="347">
        <f>SUM(AU56:AU57)</f>
        <v>250</v>
      </c>
      <c r="AV58" s="347"/>
      <c r="AW58" s="347"/>
      <c r="AX58" s="347">
        <f>SUM(AX54:AX57)</f>
        <v>525.2623900000001</v>
      </c>
      <c r="AY58" s="347">
        <f>SUM(AY54:AY57)</f>
        <v>1827.40761</v>
      </c>
      <c r="AZ58" s="408"/>
      <c r="BA58" s="348">
        <f>SUM(BA54:BA57)</f>
        <v>211.74029999999999</v>
      </c>
      <c r="BB58" s="265">
        <f>SUM(BB54:BB57)</f>
        <v>8.3000000000000007</v>
      </c>
      <c r="BC58" s="301"/>
      <c r="BD58" s="472"/>
      <c r="BE58" s="206"/>
      <c r="BG58" s="12"/>
      <c r="BH58" s="12"/>
    </row>
    <row r="59" spans="1:160" s="6" customFormat="1" ht="14.25" customHeight="1" thickBot="1">
      <c r="A59" s="1"/>
      <c r="B59" s="1"/>
      <c r="C59" s="52"/>
      <c r="D59" s="53"/>
      <c r="E59" s="53"/>
      <c r="F59" s="53"/>
      <c r="G59" s="53"/>
      <c r="H59" s="53"/>
      <c r="I59" s="278"/>
      <c r="J59" s="52"/>
      <c r="K59" s="54"/>
      <c r="L59" s="55"/>
      <c r="M59" s="55"/>
      <c r="N59" s="55"/>
      <c r="O59" s="56"/>
      <c r="P59" s="19"/>
      <c r="Q59" s="20"/>
      <c r="R59" s="20"/>
      <c r="S59" s="20"/>
      <c r="T59" s="20"/>
      <c r="U59" s="20"/>
      <c r="V59" s="21"/>
      <c r="W59" s="20"/>
      <c r="X59" s="20"/>
      <c r="Y59" s="20"/>
      <c r="Z59" s="20"/>
      <c r="AA59" s="20"/>
      <c r="AB59" s="20"/>
      <c r="AC59" s="20"/>
      <c r="AD59" s="20"/>
      <c r="AE59" s="41"/>
      <c r="AF59" s="20"/>
      <c r="AG59" s="20"/>
      <c r="AH59" s="22"/>
      <c r="AI59" s="20"/>
      <c r="AJ59" s="23"/>
      <c r="AK59" s="20"/>
      <c r="AL59" s="23"/>
      <c r="AM59" s="20"/>
      <c r="AN59" s="23"/>
      <c r="AO59" s="20"/>
      <c r="AP59" s="23"/>
      <c r="AQ59" s="20"/>
      <c r="AR59" s="20"/>
      <c r="AS59" s="226"/>
      <c r="AT59" s="269"/>
      <c r="AU59" s="13"/>
      <c r="AV59" s="13"/>
      <c r="AW59" s="13"/>
      <c r="AX59" s="416"/>
      <c r="AY59" s="518"/>
      <c r="AZ59" s="415"/>
      <c r="BA59" s="303"/>
      <c r="BB59" s="20"/>
      <c r="BC59" s="24"/>
      <c r="BD59" s="472"/>
      <c r="BE59" s="206"/>
      <c r="BG59" s="12"/>
      <c r="BH59" s="12"/>
    </row>
    <row r="60" spans="1:160" s="6" customFormat="1" ht="15" customHeight="1" thickBot="1">
      <c r="A60" s="1"/>
      <c r="B60" s="1"/>
      <c r="C60" s="1"/>
      <c r="I60" s="239"/>
      <c r="J60" s="1"/>
      <c r="K60" s="234"/>
      <c r="L60" s="202"/>
      <c r="M60" s="202"/>
      <c r="N60" s="202"/>
      <c r="O60" s="203"/>
      <c r="P60" s="1530" t="s">
        <v>292</v>
      </c>
      <c r="Q60" s="270"/>
      <c r="R60" s="20"/>
      <c r="S60" s="20"/>
      <c r="T60" s="20"/>
      <c r="U60" s="20"/>
      <c r="V60" s="21"/>
      <c r="W60" s="20"/>
      <c r="X60" s="20"/>
      <c r="Y60" s="20"/>
      <c r="Z60" s="20"/>
      <c r="AA60" s="20"/>
      <c r="AB60" s="20"/>
      <c r="AC60" s="20"/>
      <c r="AD60" s="20"/>
      <c r="AE60" s="41"/>
      <c r="AF60" s="20"/>
      <c r="AG60" s="20"/>
      <c r="AH60" s="22"/>
      <c r="AI60" s="20"/>
      <c r="AJ60" s="23"/>
      <c r="AK60" s="20"/>
      <c r="AL60" s="23"/>
      <c r="AM60" s="20"/>
      <c r="AN60" s="23"/>
      <c r="AO60" s="20"/>
      <c r="AP60" s="23"/>
      <c r="AQ60" s="20"/>
      <c r="AR60" s="20"/>
      <c r="AS60" s="226"/>
      <c r="AT60" s="20"/>
      <c r="AU60" s="44"/>
      <c r="AV60" s="44"/>
      <c r="AW60" s="44"/>
      <c r="AX60" s="44"/>
      <c r="AY60" s="517"/>
      <c r="AZ60" s="45"/>
      <c r="BA60" s="44"/>
      <c r="BB60" s="20"/>
      <c r="BC60" s="24"/>
      <c r="BD60" s="472"/>
      <c r="BE60" s="206"/>
      <c r="BG60" s="12"/>
      <c r="BH60" s="12"/>
    </row>
    <row r="61" spans="1:160" s="8" customFormat="1" ht="16.5" thickBot="1">
      <c r="A61" s="3"/>
      <c r="B61" s="3"/>
      <c r="I61" s="240"/>
      <c r="J61" s="3"/>
      <c r="K61" s="3"/>
      <c r="L61" s="3"/>
      <c r="M61" s="3"/>
      <c r="N61" s="3"/>
      <c r="O61" s="5"/>
      <c r="P61" s="1531"/>
      <c r="Q61" s="410">
        <f>Q21+Q33+Q38+Q53+Q58</f>
        <v>49700.75</v>
      </c>
      <c r="R61" s="411"/>
      <c r="S61" s="411">
        <f t="shared" ref="S61:Z61" si="29">S21+S33+S38+S53+S58</f>
        <v>717.5</v>
      </c>
      <c r="T61" s="411">
        <f t="shared" si="29"/>
        <v>0</v>
      </c>
      <c r="U61" s="411">
        <f t="shared" si="29"/>
        <v>0</v>
      </c>
      <c r="V61" s="411">
        <f t="shared" si="29"/>
        <v>0</v>
      </c>
      <c r="W61" s="411">
        <f t="shared" si="29"/>
        <v>0</v>
      </c>
      <c r="X61" s="411">
        <f t="shared" si="29"/>
        <v>0</v>
      </c>
      <c r="Y61" s="411">
        <f t="shared" si="29"/>
        <v>0</v>
      </c>
      <c r="Z61" s="411">
        <f t="shared" si="29"/>
        <v>0</v>
      </c>
      <c r="AA61" s="411"/>
      <c r="AB61" s="411">
        <f t="shared" ref="AB61:AG61" si="30">AB21+AB33+AB38+AB53+AB58</f>
        <v>0</v>
      </c>
      <c r="AC61" s="411">
        <f t="shared" si="30"/>
        <v>0</v>
      </c>
      <c r="AD61" s="411">
        <f t="shared" si="30"/>
        <v>0</v>
      </c>
      <c r="AE61" s="411">
        <f t="shared" si="30"/>
        <v>83.33</v>
      </c>
      <c r="AF61" s="411">
        <f t="shared" si="30"/>
        <v>50334.92</v>
      </c>
      <c r="AG61" s="411">
        <f t="shared" si="30"/>
        <v>50334.92</v>
      </c>
      <c r="AH61" s="411"/>
      <c r="AI61" s="411">
        <f>AI21+AI33+AI38+AI53+AI58</f>
        <v>1451.2654000000002</v>
      </c>
      <c r="AJ61" s="411"/>
      <c r="AK61" s="411">
        <f>AK21+AK33+AK38+AK53+AK58</f>
        <v>3675.4669999999996</v>
      </c>
      <c r="AL61" s="411"/>
      <c r="AM61" s="411">
        <f>AM21+AM33+AM38+AM53+AM58</f>
        <v>121.31200000000001</v>
      </c>
      <c r="AN61" s="411"/>
      <c r="AO61" s="411">
        <f>AO21+AO33+AO38+AO53+AO58</f>
        <v>624.8293900000001</v>
      </c>
      <c r="AP61" s="411"/>
      <c r="AQ61" s="411">
        <f t="shared" ref="AQ61:AY61" si="31">AQ21+AQ33+AQ38+AQ53+AQ58</f>
        <v>4421.6083899999994</v>
      </c>
      <c r="AR61" s="411">
        <f t="shared" si="31"/>
        <v>213.47</v>
      </c>
      <c r="AS61" s="412">
        <f t="shared" si="31"/>
        <v>0</v>
      </c>
      <c r="AT61" s="411">
        <f t="shared" si="31"/>
        <v>0</v>
      </c>
      <c r="AU61" s="413">
        <f t="shared" si="31"/>
        <v>800</v>
      </c>
      <c r="AV61" s="413">
        <f t="shared" si="31"/>
        <v>1124.3</v>
      </c>
      <c r="AW61" s="413">
        <f t="shared" si="31"/>
        <v>0</v>
      </c>
      <c r="AX61" s="413">
        <f t="shared" si="31"/>
        <v>8010.6437900000001</v>
      </c>
      <c r="AY61" s="413">
        <f t="shared" si="31"/>
        <v>42500.876210000009</v>
      </c>
      <c r="AZ61" s="413"/>
      <c r="BA61" s="414">
        <f>BA21+BA33+BA38+BA53+BA58</f>
        <v>4583.4328000000005</v>
      </c>
      <c r="BB61" s="409">
        <f>+BB21+BB33+BB53+BB58+BB38</f>
        <v>201.28</v>
      </c>
      <c r="BC61" s="57"/>
      <c r="BD61" s="472"/>
      <c r="BE61" s="206"/>
      <c r="BG61" s="5"/>
      <c r="BH61" s="5"/>
    </row>
    <row r="62" spans="1:160" s="8" customFormat="1" ht="28.15" customHeight="1">
      <c r="A62" s="3"/>
      <c r="B62" s="3"/>
      <c r="I62" s="240"/>
      <c r="J62" s="3"/>
      <c r="K62" s="3"/>
      <c r="L62" s="3"/>
      <c r="M62" s="3"/>
      <c r="N62" s="3"/>
      <c r="O62" s="5"/>
      <c r="P62" s="3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207"/>
      <c r="AT62" s="9"/>
      <c r="AU62" s="9"/>
      <c r="AV62" s="9"/>
      <c r="AW62" s="285"/>
      <c r="AX62" s="285"/>
      <c r="AY62" s="285"/>
      <c r="AZ62" s="285"/>
      <c r="BA62" s="9"/>
      <c r="BB62" s="9"/>
      <c r="BC62" s="235"/>
      <c r="BD62" s="419"/>
      <c r="BG62" s="5"/>
      <c r="BH62" s="5"/>
    </row>
    <row r="63" spans="1:160" s="6" customFormat="1" ht="25.9" customHeight="1">
      <c r="A63" s="1"/>
      <c r="B63" s="1"/>
      <c r="C63"/>
      <c r="D63" s="288" t="s">
        <v>551</v>
      </c>
      <c r="E63" s="288" t="s">
        <v>714</v>
      </c>
      <c r="F63"/>
      <c r="G63"/>
      <c r="H63"/>
      <c r="I63" s="139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 s="13"/>
      <c r="AG63" s="14"/>
      <c r="AH63" s="13"/>
      <c r="AI63" s="58" t="s">
        <v>289</v>
      </c>
      <c r="AJ63" s="58" t="s">
        <v>290</v>
      </c>
      <c r="AK63" s="58" t="s">
        <v>11</v>
      </c>
      <c r="AL63" s="58" t="s">
        <v>177</v>
      </c>
      <c r="AM63" s="58" t="s">
        <v>132</v>
      </c>
      <c r="AN63" s="58" t="s">
        <v>72</v>
      </c>
      <c r="AO63" s="58" t="s">
        <v>291</v>
      </c>
      <c r="AP63" s="58" t="s">
        <v>292</v>
      </c>
      <c r="AQ63" s="13"/>
      <c r="AR63" s="208"/>
      <c r="AS63" s="13"/>
      <c r="AT63" s="13"/>
      <c r="AU63" s="13"/>
      <c r="AV63" s="13"/>
      <c r="AW63" s="286"/>
      <c r="AX63" s="286"/>
      <c r="AY63" s="285">
        <f>AY61</f>
        <v>42500.876210000009</v>
      </c>
      <c r="AZ63" s="286"/>
      <c r="BA63" s="13"/>
      <c r="BB63" s="40"/>
      <c r="BC63" s="40"/>
      <c r="BD63" s="12"/>
      <c r="BG63" s="12"/>
      <c r="BH63" s="12"/>
    </row>
    <row r="64" spans="1:160" s="6" customFormat="1" ht="14.25" customHeight="1">
      <c r="A64" s="1"/>
      <c r="B64" s="1"/>
      <c r="C64"/>
      <c r="D64" s="158" t="s">
        <v>715</v>
      </c>
      <c r="E64" s="519">
        <f>+AY42+AY51-AY49</f>
        <v>12353.771500000001</v>
      </c>
      <c r="F64"/>
      <c r="G64"/>
      <c r="H64"/>
      <c r="I64" s="139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I64" s="532" t="s">
        <v>290</v>
      </c>
      <c r="AJ64" s="59">
        <f>+AI61</f>
        <v>1451.2654000000002</v>
      </c>
      <c r="AK64" s="59"/>
      <c r="AL64" s="59"/>
      <c r="AM64" s="59"/>
      <c r="AN64" s="59"/>
      <c r="AO64" s="59"/>
      <c r="AP64" s="533">
        <f t="shared" ref="AP64:AP69" si="32">SUM(AJ64:AO64)</f>
        <v>1451.2654000000002</v>
      </c>
      <c r="AR64" s="232"/>
      <c r="AW64" s="284"/>
      <c r="AX64" s="284"/>
      <c r="AY64" s="284"/>
      <c r="AZ64" s="284"/>
      <c r="BB64" s="40"/>
      <c r="BC64" s="40"/>
      <c r="BD64" s="12"/>
      <c r="BG64" s="12"/>
      <c r="BH64" s="12"/>
    </row>
    <row r="65" spans="1:60" s="6" customFormat="1" ht="14.25" customHeight="1">
      <c r="A65" s="1"/>
      <c r="B65" s="1"/>
      <c r="C65"/>
      <c r="D65" s="158" t="s">
        <v>696</v>
      </c>
      <c r="E65" s="519">
        <f>+AY49</f>
        <v>1589.4</v>
      </c>
      <c r="F65"/>
      <c r="G65"/>
      <c r="H65"/>
      <c r="I65" s="139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I65" s="534" t="s">
        <v>11</v>
      </c>
      <c r="AJ65" s="20"/>
      <c r="AK65" s="20">
        <f>+BA61</f>
        <v>4583.4328000000005</v>
      </c>
      <c r="AL65" s="20"/>
      <c r="AM65" s="20"/>
      <c r="AN65" s="20"/>
      <c r="AO65" s="20"/>
      <c r="AP65" s="47">
        <f t="shared" si="32"/>
        <v>4583.4328000000005</v>
      </c>
      <c r="AR65" s="232"/>
      <c r="AW65" s="284"/>
      <c r="AX65" s="284"/>
      <c r="AY65" s="284"/>
      <c r="AZ65" s="284"/>
      <c r="BB65" s="40"/>
      <c r="BC65" s="40"/>
      <c r="BD65" s="12"/>
      <c r="BG65" s="12"/>
      <c r="BH65" s="12"/>
    </row>
    <row r="66" spans="1:60" ht="14.25" customHeight="1">
      <c r="D66" s="158" t="s">
        <v>716</v>
      </c>
      <c r="E66" s="519">
        <f>+AY35+AY36+AY56</f>
        <v>4932.3550100000002</v>
      </c>
      <c r="AI66" s="535" t="s">
        <v>70</v>
      </c>
      <c r="AJ66" s="20"/>
      <c r="AK66" s="20"/>
      <c r="AL66" s="20" t="e">
        <f>+#REF!+AK56+AK40+AK17</f>
        <v>#REF!</v>
      </c>
      <c r="AM66" s="20" t="e">
        <f>+#REF!+AM56</f>
        <v>#REF!</v>
      </c>
      <c r="AN66" s="20" t="e">
        <f>+#REF!+AO56+AO40+AO17</f>
        <v>#REF!</v>
      </c>
      <c r="AO66" s="20"/>
      <c r="AP66" s="47" t="e">
        <f>SUM(AJ66:AO66)</f>
        <v>#REF!</v>
      </c>
      <c r="AR66" s="236"/>
      <c r="AS66"/>
      <c r="AW66" s="287"/>
      <c r="AX66" s="287"/>
      <c r="AY66" s="287"/>
      <c r="AZ66" s="287"/>
    </row>
    <row r="67" spans="1:60" ht="14.25" customHeight="1">
      <c r="D67" s="158" t="s">
        <v>717</v>
      </c>
      <c r="E67" s="263">
        <f>+AY21</f>
        <v>8902.6375000000007</v>
      </c>
      <c r="AI67" s="535" t="s">
        <v>71</v>
      </c>
      <c r="AJ67" s="20"/>
      <c r="AK67" s="20"/>
      <c r="AL67" s="20" t="e">
        <f>+AK47+AK46+AK45+AK44+AK41+#REF!+AK31+AK30+AK29+AK28+#REF!+AK25+AK24+#REF!+AK19+AK18+AK16+#REF!+AK15+AK13+AK12+#REF!</f>
        <v>#REF!</v>
      </c>
      <c r="AM67" s="20">
        <f>+AM24+AM13+AM12</f>
        <v>31</v>
      </c>
      <c r="AN67" s="20" t="e">
        <f>+AO47+AO46+AO45+AO44+#REF!+AO41+#REF!+AO31+AO30+AO29+AO28+#REF!+AO25+AO24+#REF!+AO19+AO18+AO16+#REF!+AO15+AO13+AO12</f>
        <v>#REF!</v>
      </c>
      <c r="AO67" s="20"/>
      <c r="AP67" s="47" t="e">
        <f t="shared" si="32"/>
        <v>#REF!</v>
      </c>
      <c r="AR67" s="236"/>
      <c r="AS67"/>
      <c r="AW67" s="287"/>
      <c r="AX67" s="287"/>
      <c r="AY67" s="287"/>
      <c r="AZ67" s="287"/>
    </row>
    <row r="68" spans="1:60" ht="14.25" customHeight="1">
      <c r="D68" s="158" t="s">
        <v>718</v>
      </c>
      <c r="E68" s="263">
        <f>+AY33</f>
        <v>14722.712200000002</v>
      </c>
      <c r="AI68" s="535" t="s">
        <v>72</v>
      </c>
      <c r="AJ68" s="20"/>
      <c r="AK68" s="20"/>
      <c r="AL68" s="20">
        <f>+AK49+AK39+AK23</f>
        <v>744.45</v>
      </c>
      <c r="AM68" s="20">
        <f>+AM39+AM23</f>
        <v>90.312000000000012</v>
      </c>
      <c r="AN68" s="20">
        <f>+AO49+AO39+AO23</f>
        <v>126.55650000000001</v>
      </c>
      <c r="AO68" s="20"/>
      <c r="AP68" s="47">
        <f>SUM(AJ68:AO68)</f>
        <v>961.31850000000009</v>
      </c>
      <c r="AR68" s="236"/>
      <c r="AS68"/>
      <c r="AW68" s="287"/>
      <c r="AX68" s="287"/>
      <c r="AY68" s="287"/>
      <c r="AZ68" s="287"/>
    </row>
    <row r="69" spans="1:60">
      <c r="D69" s="289" t="s">
        <v>719</v>
      </c>
      <c r="E69" s="290">
        <f>SUM(E64:E68)</f>
        <v>42500.876210000002</v>
      </c>
      <c r="AI69" s="535" t="s">
        <v>291</v>
      </c>
      <c r="AJ69" s="20"/>
      <c r="AK69" s="20"/>
      <c r="AL69" s="20"/>
      <c r="AM69" s="20"/>
      <c r="AN69" s="20"/>
      <c r="AO69" s="20">
        <f>+AR61</f>
        <v>213.47</v>
      </c>
      <c r="AP69" s="47">
        <f t="shared" si="32"/>
        <v>213.47</v>
      </c>
      <c r="AR69" s="236"/>
      <c r="AS69"/>
      <c r="AW69" s="287"/>
      <c r="AX69" s="287"/>
      <c r="AY69" s="287"/>
      <c r="AZ69" s="287"/>
    </row>
    <row r="70" spans="1:60">
      <c r="AI70" s="536"/>
      <c r="AJ70" s="44"/>
      <c r="AK70" s="44"/>
      <c r="AL70" s="44"/>
      <c r="AM70" s="44"/>
      <c r="AN70" s="44"/>
      <c r="AO70" s="44"/>
      <c r="AP70" s="60">
        <v>0</v>
      </c>
      <c r="AR70" s="236"/>
      <c r="AS70"/>
      <c r="AW70" s="287"/>
      <c r="AX70" s="287"/>
      <c r="AY70" s="287"/>
      <c r="AZ70" s="287"/>
    </row>
    <row r="71" spans="1:60" ht="15.75" thickBot="1">
      <c r="AI71" s="13"/>
      <c r="AJ71" s="537">
        <f t="shared" ref="AJ71:AP71" si="33">SUM(AJ64:AJ70)</f>
        <v>1451.2654000000002</v>
      </c>
      <c r="AK71" s="537">
        <f t="shared" si="33"/>
        <v>4583.4328000000005</v>
      </c>
      <c r="AL71" s="537" t="e">
        <f t="shared" si="33"/>
        <v>#REF!</v>
      </c>
      <c r="AM71" s="537" t="e">
        <f t="shared" si="33"/>
        <v>#REF!</v>
      </c>
      <c r="AN71" s="537" t="e">
        <f t="shared" si="33"/>
        <v>#REF!</v>
      </c>
      <c r="AO71" s="537">
        <f t="shared" si="33"/>
        <v>213.47</v>
      </c>
      <c r="AP71" s="537" t="e">
        <f t="shared" si="33"/>
        <v>#REF!</v>
      </c>
      <c r="AR71" s="236"/>
      <c r="AS71"/>
      <c r="AW71" s="287"/>
      <c r="AX71" s="287"/>
      <c r="AY71" s="287"/>
      <c r="AZ71" s="287"/>
    </row>
    <row r="72" spans="1:60" ht="15.75" thickTop="1">
      <c r="AW72" s="287"/>
      <c r="AX72" s="287"/>
      <c r="AY72" s="287"/>
      <c r="AZ72" s="287"/>
    </row>
    <row r="73" spans="1:60">
      <c r="AW73" s="287"/>
      <c r="AX73" s="287"/>
      <c r="AY73" s="287"/>
      <c r="AZ73" s="287"/>
    </row>
    <row r="74" spans="1:60">
      <c r="AW74" s="287"/>
      <c r="AX74" s="287"/>
      <c r="AY74" s="287"/>
      <c r="AZ74" s="287"/>
    </row>
    <row r="75" spans="1:60">
      <c r="AW75" s="287"/>
      <c r="AX75" s="287"/>
      <c r="AY75" s="287"/>
      <c r="AZ75" s="287"/>
    </row>
    <row r="76" spans="1:60">
      <c r="AW76" s="287"/>
      <c r="AX76" s="287"/>
      <c r="AY76" s="287"/>
      <c r="AZ76" s="287"/>
    </row>
    <row r="77" spans="1:60">
      <c r="AW77" s="287"/>
      <c r="AX77" s="287"/>
      <c r="AY77" s="287"/>
      <c r="AZ77" s="287"/>
    </row>
    <row r="78" spans="1:60">
      <c r="AW78" s="287"/>
      <c r="AX78" s="287"/>
      <c r="AY78" s="287"/>
      <c r="AZ78" s="287"/>
    </row>
    <row r="79" spans="1:60">
      <c r="AW79" s="287"/>
      <c r="AX79" s="287"/>
      <c r="AY79" s="287"/>
      <c r="AZ79" s="287"/>
    </row>
    <row r="80" spans="1:60">
      <c r="AW80" s="287"/>
      <c r="AX80" s="287"/>
      <c r="AY80" s="287"/>
      <c r="AZ80" s="287"/>
    </row>
    <row r="81" spans="46:52">
      <c r="AW81" s="287"/>
      <c r="AX81" s="287"/>
      <c r="AY81" s="287"/>
      <c r="AZ81" s="287"/>
    </row>
    <row r="82" spans="46:52">
      <c r="AT82" s="539"/>
      <c r="AU82" s="542"/>
      <c r="AW82" s="287"/>
      <c r="AX82" s="287"/>
      <c r="AY82" s="287"/>
      <c r="AZ82" s="287"/>
    </row>
    <row r="83" spans="46:52">
      <c r="AT83" s="540"/>
      <c r="AU83" s="542"/>
      <c r="AW83" s="287"/>
      <c r="AX83" s="287"/>
      <c r="AY83" s="287"/>
      <c r="AZ83" s="287"/>
    </row>
    <row r="84" spans="46:52">
      <c r="AT84" s="541"/>
      <c r="AU84" s="542"/>
      <c r="AW84" s="287"/>
      <c r="AX84" s="287"/>
      <c r="AY84" s="287"/>
      <c r="AZ84" s="287"/>
    </row>
    <row r="85" spans="46:52">
      <c r="AT85" s="542"/>
      <c r="AU85" s="542"/>
      <c r="AW85" s="287"/>
      <c r="AX85" s="287"/>
      <c r="AY85" s="287"/>
      <c r="AZ85" s="287"/>
    </row>
    <row r="86" spans="46:52">
      <c r="AT86" s="542"/>
      <c r="AU86" s="542"/>
      <c r="AW86" s="287"/>
      <c r="AX86" s="287"/>
      <c r="AY86" s="287"/>
      <c r="AZ86" s="287"/>
    </row>
    <row r="87" spans="46:52">
      <c r="AT87" s="541"/>
      <c r="AU87" s="542"/>
      <c r="AW87" s="287"/>
      <c r="AX87" s="287"/>
      <c r="AY87" s="287"/>
      <c r="AZ87" s="287"/>
    </row>
    <row r="88" spans="46:52">
      <c r="AT88" s="542"/>
      <c r="AU88" s="542"/>
      <c r="AW88" s="287"/>
      <c r="AX88" s="287"/>
      <c r="AY88" s="287"/>
      <c r="AZ88" s="287"/>
    </row>
    <row r="89" spans="46:52">
      <c r="AT89" s="542"/>
      <c r="AU89" s="542"/>
      <c r="AW89" s="287"/>
      <c r="AX89" s="287"/>
      <c r="AY89" s="287"/>
      <c r="AZ89" s="287"/>
    </row>
    <row r="90" spans="46:52">
      <c r="AT90" s="542"/>
      <c r="AU90" s="542"/>
      <c r="AW90" s="287"/>
      <c r="AX90" s="287"/>
      <c r="AY90" s="287"/>
      <c r="AZ90" s="287"/>
    </row>
    <row r="91" spans="46:52">
      <c r="AT91" s="542"/>
      <c r="AU91" s="542"/>
      <c r="AW91" s="287"/>
      <c r="AX91" s="287"/>
      <c r="AY91" s="287"/>
      <c r="AZ91" s="287"/>
    </row>
    <row r="92" spans="46:52">
      <c r="AW92" s="287"/>
      <c r="AX92" s="287"/>
      <c r="AY92" s="287"/>
      <c r="AZ92" s="287"/>
    </row>
    <row r="93" spans="46:52">
      <c r="AW93" s="287"/>
      <c r="AX93" s="287"/>
      <c r="AY93" s="287"/>
      <c r="AZ93" s="287"/>
    </row>
    <row r="94" spans="46:52">
      <c r="AW94" s="287"/>
      <c r="AX94" s="287"/>
      <c r="AY94" s="287"/>
      <c r="AZ94" s="287"/>
    </row>
    <row r="95" spans="46:52">
      <c r="AW95" s="287"/>
      <c r="AX95" s="287"/>
      <c r="AY95" s="287"/>
      <c r="AZ95" s="287"/>
    </row>
    <row r="96" spans="46:52">
      <c r="AW96" s="287"/>
      <c r="AX96" s="287"/>
      <c r="AY96" s="287"/>
      <c r="AZ96" s="287"/>
    </row>
    <row r="97" spans="49:52">
      <c r="AW97" s="287"/>
      <c r="AX97" s="287"/>
      <c r="AY97" s="287"/>
      <c r="AZ97" s="287"/>
    </row>
    <row r="98" spans="49:52">
      <c r="AW98" s="287"/>
      <c r="AX98" s="287"/>
      <c r="AY98" s="287"/>
      <c r="AZ98" s="287"/>
    </row>
    <row r="99" spans="49:52">
      <c r="AW99" s="287"/>
      <c r="AX99" s="287"/>
      <c r="AY99" s="287"/>
      <c r="AZ99" s="287"/>
    </row>
    <row r="100" spans="49:52">
      <c r="AW100" s="287"/>
      <c r="AX100" s="287"/>
      <c r="AY100" s="287"/>
      <c r="AZ100" s="287"/>
    </row>
    <row r="101" spans="49:52">
      <c r="AW101" s="287"/>
      <c r="AX101" s="287"/>
      <c r="AZ101" s="287"/>
    </row>
    <row r="102" spans="49:52">
      <c r="AW102" s="287"/>
      <c r="AX102" s="287"/>
      <c r="AZ102" s="287"/>
    </row>
    <row r="103" spans="49:52">
      <c r="AW103" s="287"/>
      <c r="AX103" s="287"/>
      <c r="AZ103" s="287"/>
    </row>
    <row r="104" spans="49:52">
      <c r="AW104" s="287"/>
      <c r="AX104" s="287"/>
      <c r="AZ104" s="287"/>
    </row>
    <row r="105" spans="49:52">
      <c r="AW105" s="287"/>
      <c r="AX105" s="287"/>
      <c r="AZ105" s="287"/>
    </row>
    <row r="106" spans="49:52">
      <c r="AW106" s="287"/>
      <c r="AX106" s="287"/>
      <c r="AZ106" s="287"/>
    </row>
  </sheetData>
  <mergeCells count="23">
    <mergeCell ref="BF8:BF9"/>
    <mergeCell ref="BG8:BG9"/>
    <mergeCell ref="BH8:BH9"/>
    <mergeCell ref="R9:R11"/>
    <mergeCell ref="V9:V11"/>
    <mergeCell ref="AH9:AI9"/>
    <mergeCell ref="AJ9:AQ9"/>
    <mergeCell ref="AZ9:BA9"/>
    <mergeCell ref="AJ10:AK10"/>
    <mergeCell ref="AL10:AM10"/>
    <mergeCell ref="AN10:AO10"/>
    <mergeCell ref="AP10:AQ10"/>
    <mergeCell ref="D9:E9"/>
    <mergeCell ref="F9:G9"/>
    <mergeCell ref="P60:P61"/>
    <mergeCell ref="C2:BA2"/>
    <mergeCell ref="C4:BA4"/>
    <mergeCell ref="C6:BA6"/>
    <mergeCell ref="Q8:AE8"/>
    <mergeCell ref="AH8:AR8"/>
    <mergeCell ref="AZ8:BA8"/>
    <mergeCell ref="D8:G8"/>
    <mergeCell ref="H8:P8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0.499984740745262"/>
  </sheetPr>
  <dimension ref="B1:L36"/>
  <sheetViews>
    <sheetView topLeftCell="A4" zoomScaleNormal="100" zoomScaleSheetLayoutView="100" workbookViewId="0">
      <selection activeCell="E12" sqref="E12"/>
    </sheetView>
  </sheetViews>
  <sheetFormatPr baseColWidth="10" defaultColWidth="11.42578125" defaultRowHeight="20.100000000000001" customHeight="1"/>
  <cols>
    <col min="1" max="1" width="0.7109375" style="69" customWidth="1"/>
    <col min="2" max="2" width="5.5703125" style="61" customWidth="1"/>
    <col min="3" max="3" width="22.85546875" style="69" bestFit="1" customWidth="1"/>
    <col min="4" max="4" width="35.85546875" style="69" customWidth="1"/>
    <col min="5" max="6" width="10.140625" style="69" customWidth="1"/>
    <col min="7" max="8" width="13.28515625" style="69" customWidth="1"/>
    <col min="9" max="10" width="17.85546875" style="61" customWidth="1"/>
    <col min="11" max="11" width="19.7109375" style="61" customWidth="1"/>
    <col min="12" max="12" width="21.5703125" style="61" customWidth="1"/>
    <col min="13" max="235" width="11.42578125" style="69"/>
    <col min="236" max="236" width="2.28515625" style="69" customWidth="1"/>
    <col min="237" max="237" width="5.5703125" style="69" customWidth="1"/>
    <col min="238" max="238" width="34.28515625" style="69" customWidth="1"/>
    <col min="239" max="239" width="41.5703125" style="69" customWidth="1"/>
    <col min="240" max="245" width="10.140625" style="69" customWidth="1"/>
    <col min="246" max="246" width="11" style="69" customWidth="1"/>
    <col min="247" max="247" width="10.140625" style="69" customWidth="1"/>
    <col min="248" max="248" width="10.5703125" style="69" customWidth="1"/>
    <col min="249" max="251" width="10.140625" style="69" customWidth="1"/>
    <col min="252" max="252" width="4.140625" style="69" customWidth="1"/>
    <col min="253" max="255" width="10.42578125" style="69" customWidth="1"/>
    <col min="256" max="256" width="9.85546875" style="69" customWidth="1"/>
    <col min="257" max="257" width="21.5703125" style="69" customWidth="1"/>
    <col min="258" max="258" width="25.7109375" style="69" customWidth="1"/>
    <col min="259" max="261" width="21.5703125" style="69" customWidth="1"/>
    <col min="262" max="262" width="29.85546875" style="69" customWidth="1"/>
    <col min="263" max="491" width="11.42578125" style="69"/>
    <col min="492" max="492" width="2.28515625" style="69" customWidth="1"/>
    <col min="493" max="493" width="5.5703125" style="69" customWidth="1"/>
    <col min="494" max="494" width="34.28515625" style="69" customWidth="1"/>
    <col min="495" max="495" width="41.5703125" style="69" customWidth="1"/>
    <col min="496" max="501" width="10.140625" style="69" customWidth="1"/>
    <col min="502" max="502" width="11" style="69" customWidth="1"/>
    <col min="503" max="503" width="10.140625" style="69" customWidth="1"/>
    <col min="504" max="504" width="10.5703125" style="69" customWidth="1"/>
    <col min="505" max="507" width="10.140625" style="69" customWidth="1"/>
    <col min="508" max="508" width="4.140625" style="69" customWidth="1"/>
    <col min="509" max="511" width="10.42578125" style="69" customWidth="1"/>
    <col min="512" max="512" width="9.85546875" style="69" customWidth="1"/>
    <col min="513" max="513" width="21.5703125" style="69" customWidth="1"/>
    <col min="514" max="514" width="25.7109375" style="69" customWidth="1"/>
    <col min="515" max="517" width="21.5703125" style="69" customWidth="1"/>
    <col min="518" max="518" width="29.85546875" style="69" customWidth="1"/>
    <col min="519" max="747" width="11.42578125" style="69"/>
    <col min="748" max="748" width="2.28515625" style="69" customWidth="1"/>
    <col min="749" max="749" width="5.5703125" style="69" customWidth="1"/>
    <col min="750" max="750" width="34.28515625" style="69" customWidth="1"/>
    <col min="751" max="751" width="41.5703125" style="69" customWidth="1"/>
    <col min="752" max="757" width="10.140625" style="69" customWidth="1"/>
    <col min="758" max="758" width="11" style="69" customWidth="1"/>
    <col min="759" max="759" width="10.140625" style="69" customWidth="1"/>
    <col min="760" max="760" width="10.5703125" style="69" customWidth="1"/>
    <col min="761" max="763" width="10.140625" style="69" customWidth="1"/>
    <col min="764" max="764" width="4.140625" style="69" customWidth="1"/>
    <col min="765" max="767" width="10.42578125" style="69" customWidth="1"/>
    <col min="768" max="768" width="9.85546875" style="69" customWidth="1"/>
    <col min="769" max="769" width="21.5703125" style="69" customWidth="1"/>
    <col min="770" max="770" width="25.7109375" style="69" customWidth="1"/>
    <col min="771" max="773" width="21.5703125" style="69" customWidth="1"/>
    <col min="774" max="774" width="29.85546875" style="69" customWidth="1"/>
    <col min="775" max="1003" width="11.42578125" style="69"/>
    <col min="1004" max="1004" width="2.28515625" style="69" customWidth="1"/>
    <col min="1005" max="1005" width="5.5703125" style="69" customWidth="1"/>
    <col min="1006" max="1006" width="34.28515625" style="69" customWidth="1"/>
    <col min="1007" max="1007" width="41.5703125" style="69" customWidth="1"/>
    <col min="1008" max="1013" width="10.140625" style="69" customWidth="1"/>
    <col min="1014" max="1014" width="11" style="69" customWidth="1"/>
    <col min="1015" max="1015" width="10.140625" style="69" customWidth="1"/>
    <col min="1016" max="1016" width="10.5703125" style="69" customWidth="1"/>
    <col min="1017" max="1019" width="10.140625" style="69" customWidth="1"/>
    <col min="1020" max="1020" width="4.140625" style="69" customWidth="1"/>
    <col min="1021" max="1023" width="10.42578125" style="69" customWidth="1"/>
    <col min="1024" max="1024" width="9.85546875" style="69" customWidth="1"/>
    <col min="1025" max="1025" width="21.5703125" style="69" customWidth="1"/>
    <col min="1026" max="1026" width="25.7109375" style="69" customWidth="1"/>
    <col min="1027" max="1029" width="21.5703125" style="69" customWidth="1"/>
    <col min="1030" max="1030" width="29.85546875" style="69" customWidth="1"/>
    <col min="1031" max="1259" width="11.42578125" style="69"/>
    <col min="1260" max="1260" width="2.28515625" style="69" customWidth="1"/>
    <col min="1261" max="1261" width="5.5703125" style="69" customWidth="1"/>
    <col min="1262" max="1262" width="34.28515625" style="69" customWidth="1"/>
    <col min="1263" max="1263" width="41.5703125" style="69" customWidth="1"/>
    <col min="1264" max="1269" width="10.140625" style="69" customWidth="1"/>
    <col min="1270" max="1270" width="11" style="69" customWidth="1"/>
    <col min="1271" max="1271" width="10.140625" style="69" customWidth="1"/>
    <col min="1272" max="1272" width="10.5703125" style="69" customWidth="1"/>
    <col min="1273" max="1275" width="10.140625" style="69" customWidth="1"/>
    <col min="1276" max="1276" width="4.140625" style="69" customWidth="1"/>
    <col min="1277" max="1279" width="10.42578125" style="69" customWidth="1"/>
    <col min="1280" max="1280" width="9.85546875" style="69" customWidth="1"/>
    <col min="1281" max="1281" width="21.5703125" style="69" customWidth="1"/>
    <col min="1282" max="1282" width="25.7109375" style="69" customWidth="1"/>
    <col min="1283" max="1285" width="21.5703125" style="69" customWidth="1"/>
    <col min="1286" max="1286" width="29.85546875" style="69" customWidth="1"/>
    <col min="1287" max="1515" width="11.42578125" style="69"/>
    <col min="1516" max="1516" width="2.28515625" style="69" customWidth="1"/>
    <col min="1517" max="1517" width="5.5703125" style="69" customWidth="1"/>
    <col min="1518" max="1518" width="34.28515625" style="69" customWidth="1"/>
    <col min="1519" max="1519" width="41.5703125" style="69" customWidth="1"/>
    <col min="1520" max="1525" width="10.140625" style="69" customWidth="1"/>
    <col min="1526" max="1526" width="11" style="69" customWidth="1"/>
    <col min="1527" max="1527" width="10.140625" style="69" customWidth="1"/>
    <col min="1528" max="1528" width="10.5703125" style="69" customWidth="1"/>
    <col min="1529" max="1531" width="10.140625" style="69" customWidth="1"/>
    <col min="1532" max="1532" width="4.140625" style="69" customWidth="1"/>
    <col min="1533" max="1535" width="10.42578125" style="69" customWidth="1"/>
    <col min="1536" max="1536" width="9.85546875" style="69" customWidth="1"/>
    <col min="1537" max="1537" width="21.5703125" style="69" customWidth="1"/>
    <col min="1538" max="1538" width="25.7109375" style="69" customWidth="1"/>
    <col min="1539" max="1541" width="21.5703125" style="69" customWidth="1"/>
    <col min="1542" max="1542" width="29.85546875" style="69" customWidth="1"/>
    <col min="1543" max="1771" width="11.42578125" style="69"/>
    <col min="1772" max="1772" width="2.28515625" style="69" customWidth="1"/>
    <col min="1773" max="1773" width="5.5703125" style="69" customWidth="1"/>
    <col min="1774" max="1774" width="34.28515625" style="69" customWidth="1"/>
    <col min="1775" max="1775" width="41.5703125" style="69" customWidth="1"/>
    <col min="1776" max="1781" width="10.140625" style="69" customWidth="1"/>
    <col min="1782" max="1782" width="11" style="69" customWidth="1"/>
    <col min="1783" max="1783" width="10.140625" style="69" customWidth="1"/>
    <col min="1784" max="1784" width="10.5703125" style="69" customWidth="1"/>
    <col min="1785" max="1787" width="10.140625" style="69" customWidth="1"/>
    <col min="1788" max="1788" width="4.140625" style="69" customWidth="1"/>
    <col min="1789" max="1791" width="10.42578125" style="69" customWidth="1"/>
    <col min="1792" max="1792" width="9.85546875" style="69" customWidth="1"/>
    <col min="1793" max="1793" width="21.5703125" style="69" customWidth="1"/>
    <col min="1794" max="1794" width="25.7109375" style="69" customWidth="1"/>
    <col min="1795" max="1797" width="21.5703125" style="69" customWidth="1"/>
    <col min="1798" max="1798" width="29.85546875" style="69" customWidth="1"/>
    <col min="1799" max="2027" width="11.42578125" style="69"/>
    <col min="2028" max="2028" width="2.28515625" style="69" customWidth="1"/>
    <col min="2029" max="2029" width="5.5703125" style="69" customWidth="1"/>
    <col min="2030" max="2030" width="34.28515625" style="69" customWidth="1"/>
    <col min="2031" max="2031" width="41.5703125" style="69" customWidth="1"/>
    <col min="2032" max="2037" width="10.140625" style="69" customWidth="1"/>
    <col min="2038" max="2038" width="11" style="69" customWidth="1"/>
    <col min="2039" max="2039" width="10.140625" style="69" customWidth="1"/>
    <col min="2040" max="2040" width="10.5703125" style="69" customWidth="1"/>
    <col min="2041" max="2043" width="10.140625" style="69" customWidth="1"/>
    <col min="2044" max="2044" width="4.140625" style="69" customWidth="1"/>
    <col min="2045" max="2047" width="10.42578125" style="69" customWidth="1"/>
    <col min="2048" max="2048" width="9.85546875" style="69" customWidth="1"/>
    <col min="2049" max="2049" width="21.5703125" style="69" customWidth="1"/>
    <col min="2050" max="2050" width="25.7109375" style="69" customWidth="1"/>
    <col min="2051" max="2053" width="21.5703125" style="69" customWidth="1"/>
    <col min="2054" max="2054" width="29.85546875" style="69" customWidth="1"/>
    <col min="2055" max="2283" width="11.42578125" style="69"/>
    <col min="2284" max="2284" width="2.28515625" style="69" customWidth="1"/>
    <col min="2285" max="2285" width="5.5703125" style="69" customWidth="1"/>
    <col min="2286" max="2286" width="34.28515625" style="69" customWidth="1"/>
    <col min="2287" max="2287" width="41.5703125" style="69" customWidth="1"/>
    <col min="2288" max="2293" width="10.140625" style="69" customWidth="1"/>
    <col min="2294" max="2294" width="11" style="69" customWidth="1"/>
    <col min="2295" max="2295" width="10.140625" style="69" customWidth="1"/>
    <col min="2296" max="2296" width="10.5703125" style="69" customWidth="1"/>
    <col min="2297" max="2299" width="10.140625" style="69" customWidth="1"/>
    <col min="2300" max="2300" width="4.140625" style="69" customWidth="1"/>
    <col min="2301" max="2303" width="10.42578125" style="69" customWidth="1"/>
    <col min="2304" max="2304" width="9.85546875" style="69" customWidth="1"/>
    <col min="2305" max="2305" width="21.5703125" style="69" customWidth="1"/>
    <col min="2306" max="2306" width="25.7109375" style="69" customWidth="1"/>
    <col min="2307" max="2309" width="21.5703125" style="69" customWidth="1"/>
    <col min="2310" max="2310" width="29.85546875" style="69" customWidth="1"/>
    <col min="2311" max="2539" width="11.42578125" style="69"/>
    <col min="2540" max="2540" width="2.28515625" style="69" customWidth="1"/>
    <col min="2541" max="2541" width="5.5703125" style="69" customWidth="1"/>
    <col min="2542" max="2542" width="34.28515625" style="69" customWidth="1"/>
    <col min="2543" max="2543" width="41.5703125" style="69" customWidth="1"/>
    <col min="2544" max="2549" width="10.140625" style="69" customWidth="1"/>
    <col min="2550" max="2550" width="11" style="69" customWidth="1"/>
    <col min="2551" max="2551" width="10.140625" style="69" customWidth="1"/>
    <col min="2552" max="2552" width="10.5703125" style="69" customWidth="1"/>
    <col min="2553" max="2555" width="10.140625" style="69" customWidth="1"/>
    <col min="2556" max="2556" width="4.140625" style="69" customWidth="1"/>
    <col min="2557" max="2559" width="10.42578125" style="69" customWidth="1"/>
    <col min="2560" max="2560" width="9.85546875" style="69" customWidth="1"/>
    <col min="2561" max="2561" width="21.5703125" style="69" customWidth="1"/>
    <col min="2562" max="2562" width="25.7109375" style="69" customWidth="1"/>
    <col min="2563" max="2565" width="21.5703125" style="69" customWidth="1"/>
    <col min="2566" max="2566" width="29.85546875" style="69" customWidth="1"/>
    <col min="2567" max="2795" width="11.42578125" style="69"/>
    <col min="2796" max="2796" width="2.28515625" style="69" customWidth="1"/>
    <col min="2797" max="2797" width="5.5703125" style="69" customWidth="1"/>
    <col min="2798" max="2798" width="34.28515625" style="69" customWidth="1"/>
    <col min="2799" max="2799" width="41.5703125" style="69" customWidth="1"/>
    <col min="2800" max="2805" width="10.140625" style="69" customWidth="1"/>
    <col min="2806" max="2806" width="11" style="69" customWidth="1"/>
    <col min="2807" max="2807" width="10.140625" style="69" customWidth="1"/>
    <col min="2808" max="2808" width="10.5703125" style="69" customWidth="1"/>
    <col min="2809" max="2811" width="10.140625" style="69" customWidth="1"/>
    <col min="2812" max="2812" width="4.140625" style="69" customWidth="1"/>
    <col min="2813" max="2815" width="10.42578125" style="69" customWidth="1"/>
    <col min="2816" max="2816" width="9.85546875" style="69" customWidth="1"/>
    <col min="2817" max="2817" width="21.5703125" style="69" customWidth="1"/>
    <col min="2818" max="2818" width="25.7109375" style="69" customWidth="1"/>
    <col min="2819" max="2821" width="21.5703125" style="69" customWidth="1"/>
    <col min="2822" max="2822" width="29.85546875" style="69" customWidth="1"/>
    <col min="2823" max="3051" width="11.42578125" style="69"/>
    <col min="3052" max="3052" width="2.28515625" style="69" customWidth="1"/>
    <col min="3053" max="3053" width="5.5703125" style="69" customWidth="1"/>
    <col min="3054" max="3054" width="34.28515625" style="69" customWidth="1"/>
    <col min="3055" max="3055" width="41.5703125" style="69" customWidth="1"/>
    <col min="3056" max="3061" width="10.140625" style="69" customWidth="1"/>
    <col min="3062" max="3062" width="11" style="69" customWidth="1"/>
    <col min="3063" max="3063" width="10.140625" style="69" customWidth="1"/>
    <col min="3064" max="3064" width="10.5703125" style="69" customWidth="1"/>
    <col min="3065" max="3067" width="10.140625" style="69" customWidth="1"/>
    <col min="3068" max="3068" width="4.140625" style="69" customWidth="1"/>
    <col min="3069" max="3071" width="10.42578125" style="69" customWidth="1"/>
    <col min="3072" max="3072" width="9.85546875" style="69" customWidth="1"/>
    <col min="3073" max="3073" width="21.5703125" style="69" customWidth="1"/>
    <col min="3074" max="3074" width="25.7109375" style="69" customWidth="1"/>
    <col min="3075" max="3077" width="21.5703125" style="69" customWidth="1"/>
    <col min="3078" max="3078" width="29.85546875" style="69" customWidth="1"/>
    <col min="3079" max="3307" width="11.42578125" style="69"/>
    <col min="3308" max="3308" width="2.28515625" style="69" customWidth="1"/>
    <col min="3309" max="3309" width="5.5703125" style="69" customWidth="1"/>
    <col min="3310" max="3310" width="34.28515625" style="69" customWidth="1"/>
    <col min="3311" max="3311" width="41.5703125" style="69" customWidth="1"/>
    <col min="3312" max="3317" width="10.140625" style="69" customWidth="1"/>
    <col min="3318" max="3318" width="11" style="69" customWidth="1"/>
    <col min="3319" max="3319" width="10.140625" style="69" customWidth="1"/>
    <col min="3320" max="3320" width="10.5703125" style="69" customWidth="1"/>
    <col min="3321" max="3323" width="10.140625" style="69" customWidth="1"/>
    <col min="3324" max="3324" width="4.140625" style="69" customWidth="1"/>
    <col min="3325" max="3327" width="10.42578125" style="69" customWidth="1"/>
    <col min="3328" max="3328" width="9.85546875" style="69" customWidth="1"/>
    <col min="3329" max="3329" width="21.5703125" style="69" customWidth="1"/>
    <col min="3330" max="3330" width="25.7109375" style="69" customWidth="1"/>
    <col min="3331" max="3333" width="21.5703125" style="69" customWidth="1"/>
    <col min="3334" max="3334" width="29.85546875" style="69" customWidth="1"/>
    <col min="3335" max="3563" width="11.42578125" style="69"/>
    <col min="3564" max="3564" width="2.28515625" style="69" customWidth="1"/>
    <col min="3565" max="3565" width="5.5703125" style="69" customWidth="1"/>
    <col min="3566" max="3566" width="34.28515625" style="69" customWidth="1"/>
    <col min="3567" max="3567" width="41.5703125" style="69" customWidth="1"/>
    <col min="3568" max="3573" width="10.140625" style="69" customWidth="1"/>
    <col min="3574" max="3574" width="11" style="69" customWidth="1"/>
    <col min="3575" max="3575" width="10.140625" style="69" customWidth="1"/>
    <col min="3576" max="3576" width="10.5703125" style="69" customWidth="1"/>
    <col min="3577" max="3579" width="10.140625" style="69" customWidth="1"/>
    <col min="3580" max="3580" width="4.140625" style="69" customWidth="1"/>
    <col min="3581" max="3583" width="10.42578125" style="69" customWidth="1"/>
    <col min="3584" max="3584" width="9.85546875" style="69" customWidth="1"/>
    <col min="3585" max="3585" width="21.5703125" style="69" customWidth="1"/>
    <col min="3586" max="3586" width="25.7109375" style="69" customWidth="1"/>
    <col min="3587" max="3589" width="21.5703125" style="69" customWidth="1"/>
    <col min="3590" max="3590" width="29.85546875" style="69" customWidth="1"/>
    <col min="3591" max="3819" width="11.42578125" style="69"/>
    <col min="3820" max="3820" width="2.28515625" style="69" customWidth="1"/>
    <col min="3821" max="3821" width="5.5703125" style="69" customWidth="1"/>
    <col min="3822" max="3822" width="34.28515625" style="69" customWidth="1"/>
    <col min="3823" max="3823" width="41.5703125" style="69" customWidth="1"/>
    <col min="3824" max="3829" width="10.140625" style="69" customWidth="1"/>
    <col min="3830" max="3830" width="11" style="69" customWidth="1"/>
    <col min="3831" max="3831" width="10.140625" style="69" customWidth="1"/>
    <col min="3832" max="3832" width="10.5703125" style="69" customWidth="1"/>
    <col min="3833" max="3835" width="10.140625" style="69" customWidth="1"/>
    <col min="3836" max="3836" width="4.140625" style="69" customWidth="1"/>
    <col min="3837" max="3839" width="10.42578125" style="69" customWidth="1"/>
    <col min="3840" max="3840" width="9.85546875" style="69" customWidth="1"/>
    <col min="3841" max="3841" width="21.5703125" style="69" customWidth="1"/>
    <col min="3842" max="3842" width="25.7109375" style="69" customWidth="1"/>
    <col min="3843" max="3845" width="21.5703125" style="69" customWidth="1"/>
    <col min="3846" max="3846" width="29.85546875" style="69" customWidth="1"/>
    <col min="3847" max="4075" width="11.42578125" style="69"/>
    <col min="4076" max="4076" width="2.28515625" style="69" customWidth="1"/>
    <col min="4077" max="4077" width="5.5703125" style="69" customWidth="1"/>
    <col min="4078" max="4078" width="34.28515625" style="69" customWidth="1"/>
    <col min="4079" max="4079" width="41.5703125" style="69" customWidth="1"/>
    <col min="4080" max="4085" width="10.140625" style="69" customWidth="1"/>
    <col min="4086" max="4086" width="11" style="69" customWidth="1"/>
    <col min="4087" max="4087" width="10.140625" style="69" customWidth="1"/>
    <col min="4088" max="4088" width="10.5703125" style="69" customWidth="1"/>
    <col min="4089" max="4091" width="10.140625" style="69" customWidth="1"/>
    <col min="4092" max="4092" width="4.140625" style="69" customWidth="1"/>
    <col min="4093" max="4095" width="10.42578125" style="69" customWidth="1"/>
    <col min="4096" max="4096" width="9.85546875" style="69" customWidth="1"/>
    <col min="4097" max="4097" width="21.5703125" style="69" customWidth="1"/>
    <col min="4098" max="4098" width="25.7109375" style="69" customWidth="1"/>
    <col min="4099" max="4101" width="21.5703125" style="69" customWidth="1"/>
    <col min="4102" max="4102" width="29.85546875" style="69" customWidth="1"/>
    <col min="4103" max="4331" width="11.42578125" style="69"/>
    <col min="4332" max="4332" width="2.28515625" style="69" customWidth="1"/>
    <col min="4333" max="4333" width="5.5703125" style="69" customWidth="1"/>
    <col min="4334" max="4334" width="34.28515625" style="69" customWidth="1"/>
    <col min="4335" max="4335" width="41.5703125" style="69" customWidth="1"/>
    <col min="4336" max="4341" width="10.140625" style="69" customWidth="1"/>
    <col min="4342" max="4342" width="11" style="69" customWidth="1"/>
    <col min="4343" max="4343" width="10.140625" style="69" customWidth="1"/>
    <col min="4344" max="4344" width="10.5703125" style="69" customWidth="1"/>
    <col min="4345" max="4347" width="10.140625" style="69" customWidth="1"/>
    <col min="4348" max="4348" width="4.140625" style="69" customWidth="1"/>
    <col min="4349" max="4351" width="10.42578125" style="69" customWidth="1"/>
    <col min="4352" max="4352" width="9.85546875" style="69" customWidth="1"/>
    <col min="4353" max="4353" width="21.5703125" style="69" customWidth="1"/>
    <col min="4354" max="4354" width="25.7109375" style="69" customWidth="1"/>
    <col min="4355" max="4357" width="21.5703125" style="69" customWidth="1"/>
    <col min="4358" max="4358" width="29.85546875" style="69" customWidth="1"/>
    <col min="4359" max="4587" width="11.42578125" style="69"/>
    <col min="4588" max="4588" width="2.28515625" style="69" customWidth="1"/>
    <col min="4589" max="4589" width="5.5703125" style="69" customWidth="1"/>
    <col min="4590" max="4590" width="34.28515625" style="69" customWidth="1"/>
    <col min="4591" max="4591" width="41.5703125" style="69" customWidth="1"/>
    <col min="4592" max="4597" width="10.140625" style="69" customWidth="1"/>
    <col min="4598" max="4598" width="11" style="69" customWidth="1"/>
    <col min="4599" max="4599" width="10.140625" style="69" customWidth="1"/>
    <col min="4600" max="4600" width="10.5703125" style="69" customWidth="1"/>
    <col min="4601" max="4603" width="10.140625" style="69" customWidth="1"/>
    <col min="4604" max="4604" width="4.140625" style="69" customWidth="1"/>
    <col min="4605" max="4607" width="10.42578125" style="69" customWidth="1"/>
    <col min="4608" max="4608" width="9.85546875" style="69" customWidth="1"/>
    <col min="4609" max="4609" width="21.5703125" style="69" customWidth="1"/>
    <col min="4610" max="4610" width="25.7109375" style="69" customWidth="1"/>
    <col min="4611" max="4613" width="21.5703125" style="69" customWidth="1"/>
    <col min="4614" max="4614" width="29.85546875" style="69" customWidth="1"/>
    <col min="4615" max="4843" width="11.42578125" style="69"/>
    <col min="4844" max="4844" width="2.28515625" style="69" customWidth="1"/>
    <col min="4845" max="4845" width="5.5703125" style="69" customWidth="1"/>
    <col min="4846" max="4846" width="34.28515625" style="69" customWidth="1"/>
    <col min="4847" max="4847" width="41.5703125" style="69" customWidth="1"/>
    <col min="4848" max="4853" width="10.140625" style="69" customWidth="1"/>
    <col min="4854" max="4854" width="11" style="69" customWidth="1"/>
    <col min="4855" max="4855" width="10.140625" style="69" customWidth="1"/>
    <col min="4856" max="4856" width="10.5703125" style="69" customWidth="1"/>
    <col min="4857" max="4859" width="10.140625" style="69" customWidth="1"/>
    <col min="4860" max="4860" width="4.140625" style="69" customWidth="1"/>
    <col min="4861" max="4863" width="10.42578125" style="69" customWidth="1"/>
    <col min="4864" max="4864" width="9.85546875" style="69" customWidth="1"/>
    <col min="4865" max="4865" width="21.5703125" style="69" customWidth="1"/>
    <col min="4866" max="4866" width="25.7109375" style="69" customWidth="1"/>
    <col min="4867" max="4869" width="21.5703125" style="69" customWidth="1"/>
    <col min="4870" max="4870" width="29.85546875" style="69" customWidth="1"/>
    <col min="4871" max="5099" width="11.42578125" style="69"/>
    <col min="5100" max="5100" width="2.28515625" style="69" customWidth="1"/>
    <col min="5101" max="5101" width="5.5703125" style="69" customWidth="1"/>
    <col min="5102" max="5102" width="34.28515625" style="69" customWidth="1"/>
    <col min="5103" max="5103" width="41.5703125" style="69" customWidth="1"/>
    <col min="5104" max="5109" width="10.140625" style="69" customWidth="1"/>
    <col min="5110" max="5110" width="11" style="69" customWidth="1"/>
    <col min="5111" max="5111" width="10.140625" style="69" customWidth="1"/>
    <col min="5112" max="5112" width="10.5703125" style="69" customWidth="1"/>
    <col min="5113" max="5115" width="10.140625" style="69" customWidth="1"/>
    <col min="5116" max="5116" width="4.140625" style="69" customWidth="1"/>
    <col min="5117" max="5119" width="10.42578125" style="69" customWidth="1"/>
    <col min="5120" max="5120" width="9.85546875" style="69" customWidth="1"/>
    <col min="5121" max="5121" width="21.5703125" style="69" customWidth="1"/>
    <col min="5122" max="5122" width="25.7109375" style="69" customWidth="1"/>
    <col min="5123" max="5125" width="21.5703125" style="69" customWidth="1"/>
    <col min="5126" max="5126" width="29.85546875" style="69" customWidth="1"/>
    <col min="5127" max="5355" width="11.42578125" style="69"/>
    <col min="5356" max="5356" width="2.28515625" style="69" customWidth="1"/>
    <col min="5357" max="5357" width="5.5703125" style="69" customWidth="1"/>
    <col min="5358" max="5358" width="34.28515625" style="69" customWidth="1"/>
    <col min="5359" max="5359" width="41.5703125" style="69" customWidth="1"/>
    <col min="5360" max="5365" width="10.140625" style="69" customWidth="1"/>
    <col min="5366" max="5366" width="11" style="69" customWidth="1"/>
    <col min="5367" max="5367" width="10.140625" style="69" customWidth="1"/>
    <col min="5368" max="5368" width="10.5703125" style="69" customWidth="1"/>
    <col min="5369" max="5371" width="10.140625" style="69" customWidth="1"/>
    <col min="5372" max="5372" width="4.140625" style="69" customWidth="1"/>
    <col min="5373" max="5375" width="10.42578125" style="69" customWidth="1"/>
    <col min="5376" max="5376" width="9.85546875" style="69" customWidth="1"/>
    <col min="5377" max="5377" width="21.5703125" style="69" customWidth="1"/>
    <col min="5378" max="5378" width="25.7109375" style="69" customWidth="1"/>
    <col min="5379" max="5381" width="21.5703125" style="69" customWidth="1"/>
    <col min="5382" max="5382" width="29.85546875" style="69" customWidth="1"/>
    <col min="5383" max="5611" width="11.42578125" style="69"/>
    <col min="5612" max="5612" width="2.28515625" style="69" customWidth="1"/>
    <col min="5613" max="5613" width="5.5703125" style="69" customWidth="1"/>
    <col min="5614" max="5614" width="34.28515625" style="69" customWidth="1"/>
    <col min="5615" max="5615" width="41.5703125" style="69" customWidth="1"/>
    <col min="5616" max="5621" width="10.140625" style="69" customWidth="1"/>
    <col min="5622" max="5622" width="11" style="69" customWidth="1"/>
    <col min="5623" max="5623" width="10.140625" style="69" customWidth="1"/>
    <col min="5624" max="5624" width="10.5703125" style="69" customWidth="1"/>
    <col min="5625" max="5627" width="10.140625" style="69" customWidth="1"/>
    <col min="5628" max="5628" width="4.140625" style="69" customWidth="1"/>
    <col min="5629" max="5631" width="10.42578125" style="69" customWidth="1"/>
    <col min="5632" max="5632" width="9.85546875" style="69" customWidth="1"/>
    <col min="5633" max="5633" width="21.5703125" style="69" customWidth="1"/>
    <col min="5634" max="5634" width="25.7109375" style="69" customWidth="1"/>
    <col min="5635" max="5637" width="21.5703125" style="69" customWidth="1"/>
    <col min="5638" max="5638" width="29.85546875" style="69" customWidth="1"/>
    <col min="5639" max="5867" width="11.42578125" style="69"/>
    <col min="5868" max="5868" width="2.28515625" style="69" customWidth="1"/>
    <col min="5869" max="5869" width="5.5703125" style="69" customWidth="1"/>
    <col min="5870" max="5870" width="34.28515625" style="69" customWidth="1"/>
    <col min="5871" max="5871" width="41.5703125" style="69" customWidth="1"/>
    <col min="5872" max="5877" width="10.140625" style="69" customWidth="1"/>
    <col min="5878" max="5878" width="11" style="69" customWidth="1"/>
    <col min="5879" max="5879" width="10.140625" style="69" customWidth="1"/>
    <col min="5880" max="5880" width="10.5703125" style="69" customWidth="1"/>
    <col min="5881" max="5883" width="10.140625" style="69" customWidth="1"/>
    <col min="5884" max="5884" width="4.140625" style="69" customWidth="1"/>
    <col min="5885" max="5887" width="10.42578125" style="69" customWidth="1"/>
    <col min="5888" max="5888" width="9.85546875" style="69" customWidth="1"/>
    <col min="5889" max="5889" width="21.5703125" style="69" customWidth="1"/>
    <col min="5890" max="5890" width="25.7109375" style="69" customWidth="1"/>
    <col min="5891" max="5893" width="21.5703125" style="69" customWidth="1"/>
    <col min="5894" max="5894" width="29.85546875" style="69" customWidth="1"/>
    <col min="5895" max="6123" width="11.42578125" style="69"/>
    <col min="6124" max="6124" width="2.28515625" style="69" customWidth="1"/>
    <col min="6125" max="6125" width="5.5703125" style="69" customWidth="1"/>
    <col min="6126" max="6126" width="34.28515625" style="69" customWidth="1"/>
    <col min="6127" max="6127" width="41.5703125" style="69" customWidth="1"/>
    <col min="6128" max="6133" width="10.140625" style="69" customWidth="1"/>
    <col min="6134" max="6134" width="11" style="69" customWidth="1"/>
    <col min="6135" max="6135" width="10.140625" style="69" customWidth="1"/>
    <col min="6136" max="6136" width="10.5703125" style="69" customWidth="1"/>
    <col min="6137" max="6139" width="10.140625" style="69" customWidth="1"/>
    <col min="6140" max="6140" width="4.140625" style="69" customWidth="1"/>
    <col min="6141" max="6143" width="10.42578125" style="69" customWidth="1"/>
    <col min="6144" max="6144" width="9.85546875" style="69" customWidth="1"/>
    <col min="6145" max="6145" width="21.5703125" style="69" customWidth="1"/>
    <col min="6146" max="6146" width="25.7109375" style="69" customWidth="1"/>
    <col min="6147" max="6149" width="21.5703125" style="69" customWidth="1"/>
    <col min="6150" max="6150" width="29.85546875" style="69" customWidth="1"/>
    <col min="6151" max="6379" width="11.42578125" style="69"/>
    <col min="6380" max="6380" width="2.28515625" style="69" customWidth="1"/>
    <col min="6381" max="6381" width="5.5703125" style="69" customWidth="1"/>
    <col min="6382" max="6382" width="34.28515625" style="69" customWidth="1"/>
    <col min="6383" max="6383" width="41.5703125" style="69" customWidth="1"/>
    <col min="6384" max="6389" width="10.140625" style="69" customWidth="1"/>
    <col min="6390" max="6390" width="11" style="69" customWidth="1"/>
    <col min="6391" max="6391" width="10.140625" style="69" customWidth="1"/>
    <col min="6392" max="6392" width="10.5703125" style="69" customWidth="1"/>
    <col min="6393" max="6395" width="10.140625" style="69" customWidth="1"/>
    <col min="6396" max="6396" width="4.140625" style="69" customWidth="1"/>
    <col min="6397" max="6399" width="10.42578125" style="69" customWidth="1"/>
    <col min="6400" max="6400" width="9.85546875" style="69" customWidth="1"/>
    <col min="6401" max="6401" width="21.5703125" style="69" customWidth="1"/>
    <col min="6402" max="6402" width="25.7109375" style="69" customWidth="1"/>
    <col min="6403" max="6405" width="21.5703125" style="69" customWidth="1"/>
    <col min="6406" max="6406" width="29.85546875" style="69" customWidth="1"/>
    <col min="6407" max="6635" width="11.42578125" style="69"/>
    <col min="6636" max="6636" width="2.28515625" style="69" customWidth="1"/>
    <col min="6637" max="6637" width="5.5703125" style="69" customWidth="1"/>
    <col min="6638" max="6638" width="34.28515625" style="69" customWidth="1"/>
    <col min="6639" max="6639" width="41.5703125" style="69" customWidth="1"/>
    <col min="6640" max="6645" width="10.140625" style="69" customWidth="1"/>
    <col min="6646" max="6646" width="11" style="69" customWidth="1"/>
    <col min="6647" max="6647" width="10.140625" style="69" customWidth="1"/>
    <col min="6648" max="6648" width="10.5703125" style="69" customWidth="1"/>
    <col min="6649" max="6651" width="10.140625" style="69" customWidth="1"/>
    <col min="6652" max="6652" width="4.140625" style="69" customWidth="1"/>
    <col min="6653" max="6655" width="10.42578125" style="69" customWidth="1"/>
    <col min="6656" max="6656" width="9.85546875" style="69" customWidth="1"/>
    <col min="6657" max="6657" width="21.5703125" style="69" customWidth="1"/>
    <col min="6658" max="6658" width="25.7109375" style="69" customWidth="1"/>
    <col min="6659" max="6661" width="21.5703125" style="69" customWidth="1"/>
    <col min="6662" max="6662" width="29.85546875" style="69" customWidth="1"/>
    <col min="6663" max="6891" width="11.42578125" style="69"/>
    <col min="6892" max="6892" width="2.28515625" style="69" customWidth="1"/>
    <col min="6893" max="6893" width="5.5703125" style="69" customWidth="1"/>
    <col min="6894" max="6894" width="34.28515625" style="69" customWidth="1"/>
    <col min="6895" max="6895" width="41.5703125" style="69" customWidth="1"/>
    <col min="6896" max="6901" width="10.140625" style="69" customWidth="1"/>
    <col min="6902" max="6902" width="11" style="69" customWidth="1"/>
    <col min="6903" max="6903" width="10.140625" style="69" customWidth="1"/>
    <col min="6904" max="6904" width="10.5703125" style="69" customWidth="1"/>
    <col min="6905" max="6907" width="10.140625" style="69" customWidth="1"/>
    <col min="6908" max="6908" width="4.140625" style="69" customWidth="1"/>
    <col min="6909" max="6911" width="10.42578125" style="69" customWidth="1"/>
    <col min="6912" max="6912" width="9.85546875" style="69" customWidth="1"/>
    <col min="6913" max="6913" width="21.5703125" style="69" customWidth="1"/>
    <col min="6914" max="6914" width="25.7109375" style="69" customWidth="1"/>
    <col min="6915" max="6917" width="21.5703125" style="69" customWidth="1"/>
    <col min="6918" max="6918" width="29.85546875" style="69" customWidth="1"/>
    <col min="6919" max="7147" width="11.42578125" style="69"/>
    <col min="7148" max="7148" width="2.28515625" style="69" customWidth="1"/>
    <col min="7149" max="7149" width="5.5703125" style="69" customWidth="1"/>
    <col min="7150" max="7150" width="34.28515625" style="69" customWidth="1"/>
    <col min="7151" max="7151" width="41.5703125" style="69" customWidth="1"/>
    <col min="7152" max="7157" width="10.140625" style="69" customWidth="1"/>
    <col min="7158" max="7158" width="11" style="69" customWidth="1"/>
    <col min="7159" max="7159" width="10.140625" style="69" customWidth="1"/>
    <col min="7160" max="7160" width="10.5703125" style="69" customWidth="1"/>
    <col min="7161" max="7163" width="10.140625" style="69" customWidth="1"/>
    <col min="7164" max="7164" width="4.140625" style="69" customWidth="1"/>
    <col min="7165" max="7167" width="10.42578125" style="69" customWidth="1"/>
    <col min="7168" max="7168" width="9.85546875" style="69" customWidth="1"/>
    <col min="7169" max="7169" width="21.5703125" style="69" customWidth="1"/>
    <col min="7170" max="7170" width="25.7109375" style="69" customWidth="1"/>
    <col min="7171" max="7173" width="21.5703125" style="69" customWidth="1"/>
    <col min="7174" max="7174" width="29.85546875" style="69" customWidth="1"/>
    <col min="7175" max="7403" width="11.42578125" style="69"/>
    <col min="7404" max="7404" width="2.28515625" style="69" customWidth="1"/>
    <col min="7405" max="7405" width="5.5703125" style="69" customWidth="1"/>
    <col min="7406" max="7406" width="34.28515625" style="69" customWidth="1"/>
    <col min="7407" max="7407" width="41.5703125" style="69" customWidth="1"/>
    <col min="7408" max="7413" width="10.140625" style="69" customWidth="1"/>
    <col min="7414" max="7414" width="11" style="69" customWidth="1"/>
    <col min="7415" max="7415" width="10.140625" style="69" customWidth="1"/>
    <col min="7416" max="7416" width="10.5703125" style="69" customWidth="1"/>
    <col min="7417" max="7419" width="10.140625" style="69" customWidth="1"/>
    <col min="7420" max="7420" width="4.140625" style="69" customWidth="1"/>
    <col min="7421" max="7423" width="10.42578125" style="69" customWidth="1"/>
    <col min="7424" max="7424" width="9.85546875" style="69" customWidth="1"/>
    <col min="7425" max="7425" width="21.5703125" style="69" customWidth="1"/>
    <col min="7426" max="7426" width="25.7109375" style="69" customWidth="1"/>
    <col min="7427" max="7429" width="21.5703125" style="69" customWidth="1"/>
    <col min="7430" max="7430" width="29.85546875" style="69" customWidth="1"/>
    <col min="7431" max="7659" width="11.42578125" style="69"/>
    <col min="7660" max="7660" width="2.28515625" style="69" customWidth="1"/>
    <col min="7661" max="7661" width="5.5703125" style="69" customWidth="1"/>
    <col min="7662" max="7662" width="34.28515625" style="69" customWidth="1"/>
    <col min="7663" max="7663" width="41.5703125" style="69" customWidth="1"/>
    <col min="7664" max="7669" width="10.140625" style="69" customWidth="1"/>
    <col min="7670" max="7670" width="11" style="69" customWidth="1"/>
    <col min="7671" max="7671" width="10.140625" style="69" customWidth="1"/>
    <col min="7672" max="7672" width="10.5703125" style="69" customWidth="1"/>
    <col min="7673" max="7675" width="10.140625" style="69" customWidth="1"/>
    <col min="7676" max="7676" width="4.140625" style="69" customWidth="1"/>
    <col min="7677" max="7679" width="10.42578125" style="69" customWidth="1"/>
    <col min="7680" max="7680" width="9.85546875" style="69" customWidth="1"/>
    <col min="7681" max="7681" width="21.5703125" style="69" customWidth="1"/>
    <col min="7682" max="7682" width="25.7109375" style="69" customWidth="1"/>
    <col min="7683" max="7685" width="21.5703125" style="69" customWidth="1"/>
    <col min="7686" max="7686" width="29.85546875" style="69" customWidth="1"/>
    <col min="7687" max="7915" width="11.42578125" style="69"/>
    <col min="7916" max="7916" width="2.28515625" style="69" customWidth="1"/>
    <col min="7917" max="7917" width="5.5703125" style="69" customWidth="1"/>
    <col min="7918" max="7918" width="34.28515625" style="69" customWidth="1"/>
    <col min="7919" max="7919" width="41.5703125" style="69" customWidth="1"/>
    <col min="7920" max="7925" width="10.140625" style="69" customWidth="1"/>
    <col min="7926" max="7926" width="11" style="69" customWidth="1"/>
    <col min="7927" max="7927" width="10.140625" style="69" customWidth="1"/>
    <col min="7928" max="7928" width="10.5703125" style="69" customWidth="1"/>
    <col min="7929" max="7931" width="10.140625" style="69" customWidth="1"/>
    <col min="7932" max="7932" width="4.140625" style="69" customWidth="1"/>
    <col min="7933" max="7935" width="10.42578125" style="69" customWidth="1"/>
    <col min="7936" max="7936" width="9.85546875" style="69" customWidth="1"/>
    <col min="7937" max="7937" width="21.5703125" style="69" customWidth="1"/>
    <col min="7938" max="7938" width="25.7109375" style="69" customWidth="1"/>
    <col min="7939" max="7941" width="21.5703125" style="69" customWidth="1"/>
    <col min="7942" max="7942" width="29.85546875" style="69" customWidth="1"/>
    <col min="7943" max="8171" width="11.42578125" style="69"/>
    <col min="8172" max="8172" width="2.28515625" style="69" customWidth="1"/>
    <col min="8173" max="8173" width="5.5703125" style="69" customWidth="1"/>
    <col min="8174" max="8174" width="34.28515625" style="69" customWidth="1"/>
    <col min="8175" max="8175" width="41.5703125" style="69" customWidth="1"/>
    <col min="8176" max="8181" width="10.140625" style="69" customWidth="1"/>
    <col min="8182" max="8182" width="11" style="69" customWidth="1"/>
    <col min="8183" max="8183" width="10.140625" style="69" customWidth="1"/>
    <col min="8184" max="8184" width="10.5703125" style="69" customWidth="1"/>
    <col min="8185" max="8187" width="10.140625" style="69" customWidth="1"/>
    <col min="8188" max="8188" width="4.140625" style="69" customWidth="1"/>
    <col min="8189" max="8191" width="10.42578125" style="69" customWidth="1"/>
    <col min="8192" max="8192" width="9.85546875" style="69" customWidth="1"/>
    <col min="8193" max="8193" width="21.5703125" style="69" customWidth="1"/>
    <col min="8194" max="8194" width="25.7109375" style="69" customWidth="1"/>
    <col min="8195" max="8197" width="21.5703125" style="69" customWidth="1"/>
    <col min="8198" max="8198" width="29.85546875" style="69" customWidth="1"/>
    <col min="8199" max="8427" width="11.42578125" style="69"/>
    <col min="8428" max="8428" width="2.28515625" style="69" customWidth="1"/>
    <col min="8429" max="8429" width="5.5703125" style="69" customWidth="1"/>
    <col min="8430" max="8430" width="34.28515625" style="69" customWidth="1"/>
    <col min="8431" max="8431" width="41.5703125" style="69" customWidth="1"/>
    <col min="8432" max="8437" width="10.140625" style="69" customWidth="1"/>
    <col min="8438" max="8438" width="11" style="69" customWidth="1"/>
    <col min="8439" max="8439" width="10.140625" style="69" customWidth="1"/>
    <col min="8440" max="8440" width="10.5703125" style="69" customWidth="1"/>
    <col min="8441" max="8443" width="10.140625" style="69" customWidth="1"/>
    <col min="8444" max="8444" width="4.140625" style="69" customWidth="1"/>
    <col min="8445" max="8447" width="10.42578125" style="69" customWidth="1"/>
    <col min="8448" max="8448" width="9.85546875" style="69" customWidth="1"/>
    <col min="8449" max="8449" width="21.5703125" style="69" customWidth="1"/>
    <col min="8450" max="8450" width="25.7109375" style="69" customWidth="1"/>
    <col min="8451" max="8453" width="21.5703125" style="69" customWidth="1"/>
    <col min="8454" max="8454" width="29.85546875" style="69" customWidth="1"/>
    <col min="8455" max="8683" width="11.42578125" style="69"/>
    <col min="8684" max="8684" width="2.28515625" style="69" customWidth="1"/>
    <col min="8685" max="8685" width="5.5703125" style="69" customWidth="1"/>
    <col min="8686" max="8686" width="34.28515625" style="69" customWidth="1"/>
    <col min="8687" max="8687" width="41.5703125" style="69" customWidth="1"/>
    <col min="8688" max="8693" width="10.140625" style="69" customWidth="1"/>
    <col min="8694" max="8694" width="11" style="69" customWidth="1"/>
    <col min="8695" max="8695" width="10.140625" style="69" customWidth="1"/>
    <col min="8696" max="8696" width="10.5703125" style="69" customWidth="1"/>
    <col min="8697" max="8699" width="10.140625" style="69" customWidth="1"/>
    <col min="8700" max="8700" width="4.140625" style="69" customWidth="1"/>
    <col min="8701" max="8703" width="10.42578125" style="69" customWidth="1"/>
    <col min="8704" max="8704" width="9.85546875" style="69" customWidth="1"/>
    <col min="8705" max="8705" width="21.5703125" style="69" customWidth="1"/>
    <col min="8706" max="8706" width="25.7109375" style="69" customWidth="1"/>
    <col min="8707" max="8709" width="21.5703125" style="69" customWidth="1"/>
    <col min="8710" max="8710" width="29.85546875" style="69" customWidth="1"/>
    <col min="8711" max="8939" width="11.42578125" style="69"/>
    <col min="8940" max="8940" width="2.28515625" style="69" customWidth="1"/>
    <col min="8941" max="8941" width="5.5703125" style="69" customWidth="1"/>
    <col min="8942" max="8942" width="34.28515625" style="69" customWidth="1"/>
    <col min="8943" max="8943" width="41.5703125" style="69" customWidth="1"/>
    <col min="8944" max="8949" width="10.140625" style="69" customWidth="1"/>
    <col min="8950" max="8950" width="11" style="69" customWidth="1"/>
    <col min="8951" max="8951" width="10.140625" style="69" customWidth="1"/>
    <col min="8952" max="8952" width="10.5703125" style="69" customWidth="1"/>
    <col min="8953" max="8955" width="10.140625" style="69" customWidth="1"/>
    <col min="8956" max="8956" width="4.140625" style="69" customWidth="1"/>
    <col min="8957" max="8959" width="10.42578125" style="69" customWidth="1"/>
    <col min="8960" max="8960" width="9.85546875" style="69" customWidth="1"/>
    <col min="8961" max="8961" width="21.5703125" style="69" customWidth="1"/>
    <col min="8962" max="8962" width="25.7109375" style="69" customWidth="1"/>
    <col min="8963" max="8965" width="21.5703125" style="69" customWidth="1"/>
    <col min="8966" max="8966" width="29.85546875" style="69" customWidth="1"/>
    <col min="8967" max="9195" width="11.42578125" style="69"/>
    <col min="9196" max="9196" width="2.28515625" style="69" customWidth="1"/>
    <col min="9197" max="9197" width="5.5703125" style="69" customWidth="1"/>
    <col min="9198" max="9198" width="34.28515625" style="69" customWidth="1"/>
    <col min="9199" max="9199" width="41.5703125" style="69" customWidth="1"/>
    <col min="9200" max="9205" width="10.140625" style="69" customWidth="1"/>
    <col min="9206" max="9206" width="11" style="69" customWidth="1"/>
    <col min="9207" max="9207" width="10.140625" style="69" customWidth="1"/>
    <col min="9208" max="9208" width="10.5703125" style="69" customWidth="1"/>
    <col min="9209" max="9211" width="10.140625" style="69" customWidth="1"/>
    <col min="9212" max="9212" width="4.140625" style="69" customWidth="1"/>
    <col min="9213" max="9215" width="10.42578125" style="69" customWidth="1"/>
    <col min="9216" max="9216" width="9.85546875" style="69" customWidth="1"/>
    <col min="9217" max="9217" width="21.5703125" style="69" customWidth="1"/>
    <col min="9218" max="9218" width="25.7109375" style="69" customWidth="1"/>
    <col min="9219" max="9221" width="21.5703125" style="69" customWidth="1"/>
    <col min="9222" max="9222" width="29.85546875" style="69" customWidth="1"/>
    <col min="9223" max="9451" width="11.42578125" style="69"/>
    <col min="9452" max="9452" width="2.28515625" style="69" customWidth="1"/>
    <col min="9453" max="9453" width="5.5703125" style="69" customWidth="1"/>
    <col min="9454" max="9454" width="34.28515625" style="69" customWidth="1"/>
    <col min="9455" max="9455" width="41.5703125" style="69" customWidth="1"/>
    <col min="9456" max="9461" width="10.140625" style="69" customWidth="1"/>
    <col min="9462" max="9462" width="11" style="69" customWidth="1"/>
    <col min="9463" max="9463" width="10.140625" style="69" customWidth="1"/>
    <col min="9464" max="9464" width="10.5703125" style="69" customWidth="1"/>
    <col min="9465" max="9467" width="10.140625" style="69" customWidth="1"/>
    <col min="9468" max="9468" width="4.140625" style="69" customWidth="1"/>
    <col min="9469" max="9471" width="10.42578125" style="69" customWidth="1"/>
    <col min="9472" max="9472" width="9.85546875" style="69" customWidth="1"/>
    <col min="9473" max="9473" width="21.5703125" style="69" customWidth="1"/>
    <col min="9474" max="9474" width="25.7109375" style="69" customWidth="1"/>
    <col min="9475" max="9477" width="21.5703125" style="69" customWidth="1"/>
    <col min="9478" max="9478" width="29.85546875" style="69" customWidth="1"/>
    <col min="9479" max="9707" width="11.42578125" style="69"/>
    <col min="9708" max="9708" width="2.28515625" style="69" customWidth="1"/>
    <col min="9709" max="9709" width="5.5703125" style="69" customWidth="1"/>
    <col min="9710" max="9710" width="34.28515625" style="69" customWidth="1"/>
    <col min="9711" max="9711" width="41.5703125" style="69" customWidth="1"/>
    <col min="9712" max="9717" width="10.140625" style="69" customWidth="1"/>
    <col min="9718" max="9718" width="11" style="69" customWidth="1"/>
    <col min="9719" max="9719" width="10.140625" style="69" customWidth="1"/>
    <col min="9720" max="9720" width="10.5703125" style="69" customWidth="1"/>
    <col min="9721" max="9723" width="10.140625" style="69" customWidth="1"/>
    <col min="9724" max="9724" width="4.140625" style="69" customWidth="1"/>
    <col min="9725" max="9727" width="10.42578125" style="69" customWidth="1"/>
    <col min="9728" max="9728" width="9.85546875" style="69" customWidth="1"/>
    <col min="9729" max="9729" width="21.5703125" style="69" customWidth="1"/>
    <col min="9730" max="9730" width="25.7109375" style="69" customWidth="1"/>
    <col min="9731" max="9733" width="21.5703125" style="69" customWidth="1"/>
    <col min="9734" max="9734" width="29.85546875" style="69" customWidth="1"/>
    <col min="9735" max="9963" width="11.42578125" style="69"/>
    <col min="9964" max="9964" width="2.28515625" style="69" customWidth="1"/>
    <col min="9965" max="9965" width="5.5703125" style="69" customWidth="1"/>
    <col min="9966" max="9966" width="34.28515625" style="69" customWidth="1"/>
    <col min="9967" max="9967" width="41.5703125" style="69" customWidth="1"/>
    <col min="9968" max="9973" width="10.140625" style="69" customWidth="1"/>
    <col min="9974" max="9974" width="11" style="69" customWidth="1"/>
    <col min="9975" max="9975" width="10.140625" style="69" customWidth="1"/>
    <col min="9976" max="9976" width="10.5703125" style="69" customWidth="1"/>
    <col min="9977" max="9979" width="10.140625" style="69" customWidth="1"/>
    <col min="9980" max="9980" width="4.140625" style="69" customWidth="1"/>
    <col min="9981" max="9983" width="10.42578125" style="69" customWidth="1"/>
    <col min="9984" max="9984" width="9.85546875" style="69" customWidth="1"/>
    <col min="9985" max="9985" width="21.5703125" style="69" customWidth="1"/>
    <col min="9986" max="9986" width="25.7109375" style="69" customWidth="1"/>
    <col min="9987" max="9989" width="21.5703125" style="69" customWidth="1"/>
    <col min="9990" max="9990" width="29.85546875" style="69" customWidth="1"/>
    <col min="9991" max="10219" width="11.42578125" style="69"/>
    <col min="10220" max="10220" width="2.28515625" style="69" customWidth="1"/>
    <col min="10221" max="10221" width="5.5703125" style="69" customWidth="1"/>
    <col min="10222" max="10222" width="34.28515625" style="69" customWidth="1"/>
    <col min="10223" max="10223" width="41.5703125" style="69" customWidth="1"/>
    <col min="10224" max="10229" width="10.140625" style="69" customWidth="1"/>
    <col min="10230" max="10230" width="11" style="69" customWidth="1"/>
    <col min="10231" max="10231" width="10.140625" style="69" customWidth="1"/>
    <col min="10232" max="10232" width="10.5703125" style="69" customWidth="1"/>
    <col min="10233" max="10235" width="10.140625" style="69" customWidth="1"/>
    <col min="10236" max="10236" width="4.140625" style="69" customWidth="1"/>
    <col min="10237" max="10239" width="10.42578125" style="69" customWidth="1"/>
    <col min="10240" max="10240" width="9.85546875" style="69" customWidth="1"/>
    <col min="10241" max="10241" width="21.5703125" style="69" customWidth="1"/>
    <col min="10242" max="10242" width="25.7109375" style="69" customWidth="1"/>
    <col min="10243" max="10245" width="21.5703125" style="69" customWidth="1"/>
    <col min="10246" max="10246" width="29.85546875" style="69" customWidth="1"/>
    <col min="10247" max="10475" width="11.42578125" style="69"/>
    <col min="10476" max="10476" width="2.28515625" style="69" customWidth="1"/>
    <col min="10477" max="10477" width="5.5703125" style="69" customWidth="1"/>
    <col min="10478" max="10478" width="34.28515625" style="69" customWidth="1"/>
    <col min="10479" max="10479" width="41.5703125" style="69" customWidth="1"/>
    <col min="10480" max="10485" width="10.140625" style="69" customWidth="1"/>
    <col min="10486" max="10486" width="11" style="69" customWidth="1"/>
    <col min="10487" max="10487" width="10.140625" style="69" customWidth="1"/>
    <col min="10488" max="10488" width="10.5703125" style="69" customWidth="1"/>
    <col min="10489" max="10491" width="10.140625" style="69" customWidth="1"/>
    <col min="10492" max="10492" width="4.140625" style="69" customWidth="1"/>
    <col min="10493" max="10495" width="10.42578125" style="69" customWidth="1"/>
    <col min="10496" max="10496" width="9.85546875" style="69" customWidth="1"/>
    <col min="10497" max="10497" width="21.5703125" style="69" customWidth="1"/>
    <col min="10498" max="10498" width="25.7109375" style="69" customWidth="1"/>
    <col min="10499" max="10501" width="21.5703125" style="69" customWidth="1"/>
    <col min="10502" max="10502" width="29.85546875" style="69" customWidth="1"/>
    <col min="10503" max="10731" width="11.42578125" style="69"/>
    <col min="10732" max="10732" width="2.28515625" style="69" customWidth="1"/>
    <col min="10733" max="10733" width="5.5703125" style="69" customWidth="1"/>
    <col min="10734" max="10734" width="34.28515625" style="69" customWidth="1"/>
    <col min="10735" max="10735" width="41.5703125" style="69" customWidth="1"/>
    <col min="10736" max="10741" width="10.140625" style="69" customWidth="1"/>
    <col min="10742" max="10742" width="11" style="69" customWidth="1"/>
    <col min="10743" max="10743" width="10.140625" style="69" customWidth="1"/>
    <col min="10744" max="10744" width="10.5703125" style="69" customWidth="1"/>
    <col min="10745" max="10747" width="10.140625" style="69" customWidth="1"/>
    <col min="10748" max="10748" width="4.140625" style="69" customWidth="1"/>
    <col min="10749" max="10751" width="10.42578125" style="69" customWidth="1"/>
    <col min="10752" max="10752" width="9.85546875" style="69" customWidth="1"/>
    <col min="10753" max="10753" width="21.5703125" style="69" customWidth="1"/>
    <col min="10754" max="10754" width="25.7109375" style="69" customWidth="1"/>
    <col min="10755" max="10757" width="21.5703125" style="69" customWidth="1"/>
    <col min="10758" max="10758" width="29.85546875" style="69" customWidth="1"/>
    <col min="10759" max="10987" width="11.42578125" style="69"/>
    <col min="10988" max="10988" width="2.28515625" style="69" customWidth="1"/>
    <col min="10989" max="10989" width="5.5703125" style="69" customWidth="1"/>
    <col min="10990" max="10990" width="34.28515625" style="69" customWidth="1"/>
    <col min="10991" max="10991" width="41.5703125" style="69" customWidth="1"/>
    <col min="10992" max="10997" width="10.140625" style="69" customWidth="1"/>
    <col min="10998" max="10998" width="11" style="69" customWidth="1"/>
    <col min="10999" max="10999" width="10.140625" style="69" customWidth="1"/>
    <col min="11000" max="11000" width="10.5703125" style="69" customWidth="1"/>
    <col min="11001" max="11003" width="10.140625" style="69" customWidth="1"/>
    <col min="11004" max="11004" width="4.140625" style="69" customWidth="1"/>
    <col min="11005" max="11007" width="10.42578125" style="69" customWidth="1"/>
    <col min="11008" max="11008" width="9.85546875" style="69" customWidth="1"/>
    <col min="11009" max="11009" width="21.5703125" style="69" customWidth="1"/>
    <col min="11010" max="11010" width="25.7109375" style="69" customWidth="1"/>
    <col min="11011" max="11013" width="21.5703125" style="69" customWidth="1"/>
    <col min="11014" max="11014" width="29.85546875" style="69" customWidth="1"/>
    <col min="11015" max="11243" width="11.42578125" style="69"/>
    <col min="11244" max="11244" width="2.28515625" style="69" customWidth="1"/>
    <col min="11245" max="11245" width="5.5703125" style="69" customWidth="1"/>
    <col min="11246" max="11246" width="34.28515625" style="69" customWidth="1"/>
    <col min="11247" max="11247" width="41.5703125" style="69" customWidth="1"/>
    <col min="11248" max="11253" width="10.140625" style="69" customWidth="1"/>
    <col min="11254" max="11254" width="11" style="69" customWidth="1"/>
    <col min="11255" max="11255" width="10.140625" style="69" customWidth="1"/>
    <col min="11256" max="11256" width="10.5703125" style="69" customWidth="1"/>
    <col min="11257" max="11259" width="10.140625" style="69" customWidth="1"/>
    <col min="11260" max="11260" width="4.140625" style="69" customWidth="1"/>
    <col min="11261" max="11263" width="10.42578125" style="69" customWidth="1"/>
    <col min="11264" max="11264" width="9.85546875" style="69" customWidth="1"/>
    <col min="11265" max="11265" width="21.5703125" style="69" customWidth="1"/>
    <col min="11266" max="11266" width="25.7109375" style="69" customWidth="1"/>
    <col min="11267" max="11269" width="21.5703125" style="69" customWidth="1"/>
    <col min="11270" max="11270" width="29.85546875" style="69" customWidth="1"/>
    <col min="11271" max="11499" width="11.42578125" style="69"/>
    <col min="11500" max="11500" width="2.28515625" style="69" customWidth="1"/>
    <col min="11501" max="11501" width="5.5703125" style="69" customWidth="1"/>
    <col min="11502" max="11502" width="34.28515625" style="69" customWidth="1"/>
    <col min="11503" max="11503" width="41.5703125" style="69" customWidth="1"/>
    <col min="11504" max="11509" width="10.140625" style="69" customWidth="1"/>
    <col min="11510" max="11510" width="11" style="69" customWidth="1"/>
    <col min="11511" max="11511" width="10.140625" style="69" customWidth="1"/>
    <col min="11512" max="11512" width="10.5703125" style="69" customWidth="1"/>
    <col min="11513" max="11515" width="10.140625" style="69" customWidth="1"/>
    <col min="11516" max="11516" width="4.140625" style="69" customWidth="1"/>
    <col min="11517" max="11519" width="10.42578125" style="69" customWidth="1"/>
    <col min="11520" max="11520" width="9.85546875" style="69" customWidth="1"/>
    <col min="11521" max="11521" width="21.5703125" style="69" customWidth="1"/>
    <col min="11522" max="11522" width="25.7109375" style="69" customWidth="1"/>
    <col min="11523" max="11525" width="21.5703125" style="69" customWidth="1"/>
    <col min="11526" max="11526" width="29.85546875" style="69" customWidth="1"/>
    <col min="11527" max="11755" width="11.42578125" style="69"/>
    <col min="11756" max="11756" width="2.28515625" style="69" customWidth="1"/>
    <col min="11757" max="11757" width="5.5703125" style="69" customWidth="1"/>
    <col min="11758" max="11758" width="34.28515625" style="69" customWidth="1"/>
    <col min="11759" max="11759" width="41.5703125" style="69" customWidth="1"/>
    <col min="11760" max="11765" width="10.140625" style="69" customWidth="1"/>
    <col min="11766" max="11766" width="11" style="69" customWidth="1"/>
    <col min="11767" max="11767" width="10.140625" style="69" customWidth="1"/>
    <col min="11768" max="11768" width="10.5703125" style="69" customWidth="1"/>
    <col min="11769" max="11771" width="10.140625" style="69" customWidth="1"/>
    <col min="11772" max="11772" width="4.140625" style="69" customWidth="1"/>
    <col min="11773" max="11775" width="10.42578125" style="69" customWidth="1"/>
    <col min="11776" max="11776" width="9.85546875" style="69" customWidth="1"/>
    <col min="11777" max="11777" width="21.5703125" style="69" customWidth="1"/>
    <col min="11778" max="11778" width="25.7109375" style="69" customWidth="1"/>
    <col min="11779" max="11781" width="21.5703125" style="69" customWidth="1"/>
    <col min="11782" max="11782" width="29.85546875" style="69" customWidth="1"/>
    <col min="11783" max="12011" width="11.42578125" style="69"/>
    <col min="12012" max="12012" width="2.28515625" style="69" customWidth="1"/>
    <col min="12013" max="12013" width="5.5703125" style="69" customWidth="1"/>
    <col min="12014" max="12014" width="34.28515625" style="69" customWidth="1"/>
    <col min="12015" max="12015" width="41.5703125" style="69" customWidth="1"/>
    <col min="12016" max="12021" width="10.140625" style="69" customWidth="1"/>
    <col min="12022" max="12022" width="11" style="69" customWidth="1"/>
    <col min="12023" max="12023" width="10.140625" style="69" customWidth="1"/>
    <col min="12024" max="12024" width="10.5703125" style="69" customWidth="1"/>
    <col min="12025" max="12027" width="10.140625" style="69" customWidth="1"/>
    <col min="12028" max="12028" width="4.140625" style="69" customWidth="1"/>
    <col min="12029" max="12031" width="10.42578125" style="69" customWidth="1"/>
    <col min="12032" max="12032" width="9.85546875" style="69" customWidth="1"/>
    <col min="12033" max="12033" width="21.5703125" style="69" customWidth="1"/>
    <col min="12034" max="12034" width="25.7109375" style="69" customWidth="1"/>
    <col min="12035" max="12037" width="21.5703125" style="69" customWidth="1"/>
    <col min="12038" max="12038" width="29.85546875" style="69" customWidth="1"/>
    <col min="12039" max="12267" width="11.42578125" style="69"/>
    <col min="12268" max="12268" width="2.28515625" style="69" customWidth="1"/>
    <col min="12269" max="12269" width="5.5703125" style="69" customWidth="1"/>
    <col min="12270" max="12270" width="34.28515625" style="69" customWidth="1"/>
    <col min="12271" max="12271" width="41.5703125" style="69" customWidth="1"/>
    <col min="12272" max="12277" width="10.140625" style="69" customWidth="1"/>
    <col min="12278" max="12278" width="11" style="69" customWidth="1"/>
    <col min="12279" max="12279" width="10.140625" style="69" customWidth="1"/>
    <col min="12280" max="12280" width="10.5703125" style="69" customWidth="1"/>
    <col min="12281" max="12283" width="10.140625" style="69" customWidth="1"/>
    <col min="12284" max="12284" width="4.140625" style="69" customWidth="1"/>
    <col min="12285" max="12287" width="10.42578125" style="69" customWidth="1"/>
    <col min="12288" max="12288" width="9.85546875" style="69" customWidth="1"/>
    <col min="12289" max="12289" width="21.5703125" style="69" customWidth="1"/>
    <col min="12290" max="12290" width="25.7109375" style="69" customWidth="1"/>
    <col min="12291" max="12293" width="21.5703125" style="69" customWidth="1"/>
    <col min="12294" max="12294" width="29.85546875" style="69" customWidth="1"/>
    <col min="12295" max="12523" width="11.42578125" style="69"/>
    <col min="12524" max="12524" width="2.28515625" style="69" customWidth="1"/>
    <col min="12525" max="12525" width="5.5703125" style="69" customWidth="1"/>
    <col min="12526" max="12526" width="34.28515625" style="69" customWidth="1"/>
    <col min="12527" max="12527" width="41.5703125" style="69" customWidth="1"/>
    <col min="12528" max="12533" width="10.140625" style="69" customWidth="1"/>
    <col min="12534" max="12534" width="11" style="69" customWidth="1"/>
    <col min="12535" max="12535" width="10.140625" style="69" customWidth="1"/>
    <col min="12536" max="12536" width="10.5703125" style="69" customWidth="1"/>
    <col min="12537" max="12539" width="10.140625" style="69" customWidth="1"/>
    <col min="12540" max="12540" width="4.140625" style="69" customWidth="1"/>
    <col min="12541" max="12543" width="10.42578125" style="69" customWidth="1"/>
    <col min="12544" max="12544" width="9.85546875" style="69" customWidth="1"/>
    <col min="12545" max="12545" width="21.5703125" style="69" customWidth="1"/>
    <col min="12546" max="12546" width="25.7109375" style="69" customWidth="1"/>
    <col min="12547" max="12549" width="21.5703125" style="69" customWidth="1"/>
    <col min="12550" max="12550" width="29.85546875" style="69" customWidth="1"/>
    <col min="12551" max="12779" width="11.42578125" style="69"/>
    <col min="12780" max="12780" width="2.28515625" style="69" customWidth="1"/>
    <col min="12781" max="12781" width="5.5703125" style="69" customWidth="1"/>
    <col min="12782" max="12782" width="34.28515625" style="69" customWidth="1"/>
    <col min="12783" max="12783" width="41.5703125" style="69" customWidth="1"/>
    <col min="12784" max="12789" width="10.140625" style="69" customWidth="1"/>
    <col min="12790" max="12790" width="11" style="69" customWidth="1"/>
    <col min="12791" max="12791" width="10.140625" style="69" customWidth="1"/>
    <col min="12792" max="12792" width="10.5703125" style="69" customWidth="1"/>
    <col min="12793" max="12795" width="10.140625" style="69" customWidth="1"/>
    <col min="12796" max="12796" width="4.140625" style="69" customWidth="1"/>
    <col min="12797" max="12799" width="10.42578125" style="69" customWidth="1"/>
    <col min="12800" max="12800" width="9.85546875" style="69" customWidth="1"/>
    <col min="12801" max="12801" width="21.5703125" style="69" customWidth="1"/>
    <col min="12802" max="12802" width="25.7109375" style="69" customWidth="1"/>
    <col min="12803" max="12805" width="21.5703125" style="69" customWidth="1"/>
    <col min="12806" max="12806" width="29.85546875" style="69" customWidth="1"/>
    <col min="12807" max="13035" width="11.42578125" style="69"/>
    <col min="13036" max="13036" width="2.28515625" style="69" customWidth="1"/>
    <col min="13037" max="13037" width="5.5703125" style="69" customWidth="1"/>
    <col min="13038" max="13038" width="34.28515625" style="69" customWidth="1"/>
    <col min="13039" max="13039" width="41.5703125" style="69" customWidth="1"/>
    <col min="13040" max="13045" width="10.140625" style="69" customWidth="1"/>
    <col min="13046" max="13046" width="11" style="69" customWidth="1"/>
    <col min="13047" max="13047" width="10.140625" style="69" customWidth="1"/>
    <col min="13048" max="13048" width="10.5703125" style="69" customWidth="1"/>
    <col min="13049" max="13051" width="10.140625" style="69" customWidth="1"/>
    <col min="13052" max="13052" width="4.140625" style="69" customWidth="1"/>
    <col min="13053" max="13055" width="10.42578125" style="69" customWidth="1"/>
    <col min="13056" max="13056" width="9.85546875" style="69" customWidth="1"/>
    <col min="13057" max="13057" width="21.5703125" style="69" customWidth="1"/>
    <col min="13058" max="13058" width="25.7109375" style="69" customWidth="1"/>
    <col min="13059" max="13061" width="21.5703125" style="69" customWidth="1"/>
    <col min="13062" max="13062" width="29.85546875" style="69" customWidth="1"/>
    <col min="13063" max="13291" width="11.42578125" style="69"/>
    <col min="13292" max="13292" width="2.28515625" style="69" customWidth="1"/>
    <col min="13293" max="13293" width="5.5703125" style="69" customWidth="1"/>
    <col min="13294" max="13294" width="34.28515625" style="69" customWidth="1"/>
    <col min="13295" max="13295" width="41.5703125" style="69" customWidth="1"/>
    <col min="13296" max="13301" width="10.140625" style="69" customWidth="1"/>
    <col min="13302" max="13302" width="11" style="69" customWidth="1"/>
    <col min="13303" max="13303" width="10.140625" style="69" customWidth="1"/>
    <col min="13304" max="13304" width="10.5703125" style="69" customWidth="1"/>
    <col min="13305" max="13307" width="10.140625" style="69" customWidth="1"/>
    <col min="13308" max="13308" width="4.140625" style="69" customWidth="1"/>
    <col min="13309" max="13311" width="10.42578125" style="69" customWidth="1"/>
    <col min="13312" max="13312" width="9.85546875" style="69" customWidth="1"/>
    <col min="13313" max="13313" width="21.5703125" style="69" customWidth="1"/>
    <col min="13314" max="13314" width="25.7109375" style="69" customWidth="1"/>
    <col min="13315" max="13317" width="21.5703125" style="69" customWidth="1"/>
    <col min="13318" max="13318" width="29.85546875" style="69" customWidth="1"/>
    <col min="13319" max="13547" width="11.42578125" style="69"/>
    <col min="13548" max="13548" width="2.28515625" style="69" customWidth="1"/>
    <col min="13549" max="13549" width="5.5703125" style="69" customWidth="1"/>
    <col min="13550" max="13550" width="34.28515625" style="69" customWidth="1"/>
    <col min="13551" max="13551" width="41.5703125" style="69" customWidth="1"/>
    <col min="13552" max="13557" width="10.140625" style="69" customWidth="1"/>
    <col min="13558" max="13558" width="11" style="69" customWidth="1"/>
    <col min="13559" max="13559" width="10.140625" style="69" customWidth="1"/>
    <col min="13560" max="13560" width="10.5703125" style="69" customWidth="1"/>
    <col min="13561" max="13563" width="10.140625" style="69" customWidth="1"/>
    <col min="13564" max="13564" width="4.140625" style="69" customWidth="1"/>
    <col min="13565" max="13567" width="10.42578125" style="69" customWidth="1"/>
    <col min="13568" max="13568" width="9.85546875" style="69" customWidth="1"/>
    <col min="13569" max="13569" width="21.5703125" style="69" customWidth="1"/>
    <col min="13570" max="13570" width="25.7109375" style="69" customWidth="1"/>
    <col min="13571" max="13573" width="21.5703125" style="69" customWidth="1"/>
    <col min="13574" max="13574" width="29.85546875" style="69" customWidth="1"/>
    <col min="13575" max="13803" width="11.42578125" style="69"/>
    <col min="13804" max="13804" width="2.28515625" style="69" customWidth="1"/>
    <col min="13805" max="13805" width="5.5703125" style="69" customWidth="1"/>
    <col min="13806" max="13806" width="34.28515625" style="69" customWidth="1"/>
    <col min="13807" max="13807" width="41.5703125" style="69" customWidth="1"/>
    <col min="13808" max="13813" width="10.140625" style="69" customWidth="1"/>
    <col min="13814" max="13814" width="11" style="69" customWidth="1"/>
    <col min="13815" max="13815" width="10.140625" style="69" customWidth="1"/>
    <col min="13816" max="13816" width="10.5703125" style="69" customWidth="1"/>
    <col min="13817" max="13819" width="10.140625" style="69" customWidth="1"/>
    <col min="13820" max="13820" width="4.140625" style="69" customWidth="1"/>
    <col min="13821" max="13823" width="10.42578125" style="69" customWidth="1"/>
    <col min="13824" max="13824" width="9.85546875" style="69" customWidth="1"/>
    <col min="13825" max="13825" width="21.5703125" style="69" customWidth="1"/>
    <col min="13826" max="13826" width="25.7109375" style="69" customWidth="1"/>
    <col min="13827" max="13829" width="21.5703125" style="69" customWidth="1"/>
    <col min="13830" max="13830" width="29.85546875" style="69" customWidth="1"/>
    <col min="13831" max="14059" width="11.42578125" style="69"/>
    <col min="14060" max="14060" width="2.28515625" style="69" customWidth="1"/>
    <col min="14061" max="14061" width="5.5703125" style="69" customWidth="1"/>
    <col min="14062" max="14062" width="34.28515625" style="69" customWidth="1"/>
    <col min="14063" max="14063" width="41.5703125" style="69" customWidth="1"/>
    <col min="14064" max="14069" width="10.140625" style="69" customWidth="1"/>
    <col min="14070" max="14070" width="11" style="69" customWidth="1"/>
    <col min="14071" max="14071" width="10.140625" style="69" customWidth="1"/>
    <col min="14072" max="14072" width="10.5703125" style="69" customWidth="1"/>
    <col min="14073" max="14075" width="10.140625" style="69" customWidth="1"/>
    <col min="14076" max="14076" width="4.140625" style="69" customWidth="1"/>
    <col min="14077" max="14079" width="10.42578125" style="69" customWidth="1"/>
    <col min="14080" max="14080" width="9.85546875" style="69" customWidth="1"/>
    <col min="14081" max="14081" width="21.5703125" style="69" customWidth="1"/>
    <col min="14082" max="14082" width="25.7109375" style="69" customWidth="1"/>
    <col min="14083" max="14085" width="21.5703125" style="69" customWidth="1"/>
    <col min="14086" max="14086" width="29.85546875" style="69" customWidth="1"/>
    <col min="14087" max="14315" width="11.42578125" style="69"/>
    <col min="14316" max="14316" width="2.28515625" style="69" customWidth="1"/>
    <col min="14317" max="14317" width="5.5703125" style="69" customWidth="1"/>
    <col min="14318" max="14318" width="34.28515625" style="69" customWidth="1"/>
    <col min="14319" max="14319" width="41.5703125" style="69" customWidth="1"/>
    <col min="14320" max="14325" width="10.140625" style="69" customWidth="1"/>
    <col min="14326" max="14326" width="11" style="69" customWidth="1"/>
    <col min="14327" max="14327" width="10.140625" style="69" customWidth="1"/>
    <col min="14328" max="14328" width="10.5703125" style="69" customWidth="1"/>
    <col min="14329" max="14331" width="10.140625" style="69" customWidth="1"/>
    <col min="14332" max="14332" width="4.140625" style="69" customWidth="1"/>
    <col min="14333" max="14335" width="10.42578125" style="69" customWidth="1"/>
    <col min="14336" max="14336" width="9.85546875" style="69" customWidth="1"/>
    <col min="14337" max="14337" width="21.5703125" style="69" customWidth="1"/>
    <col min="14338" max="14338" width="25.7109375" style="69" customWidth="1"/>
    <col min="14339" max="14341" width="21.5703125" style="69" customWidth="1"/>
    <col min="14342" max="14342" width="29.85546875" style="69" customWidth="1"/>
    <col min="14343" max="14571" width="11.42578125" style="69"/>
    <col min="14572" max="14572" width="2.28515625" style="69" customWidth="1"/>
    <col min="14573" max="14573" width="5.5703125" style="69" customWidth="1"/>
    <col min="14574" max="14574" width="34.28515625" style="69" customWidth="1"/>
    <col min="14575" max="14575" width="41.5703125" style="69" customWidth="1"/>
    <col min="14576" max="14581" width="10.140625" style="69" customWidth="1"/>
    <col min="14582" max="14582" width="11" style="69" customWidth="1"/>
    <col min="14583" max="14583" width="10.140625" style="69" customWidth="1"/>
    <col min="14584" max="14584" width="10.5703125" style="69" customWidth="1"/>
    <col min="14585" max="14587" width="10.140625" style="69" customWidth="1"/>
    <col min="14588" max="14588" width="4.140625" style="69" customWidth="1"/>
    <col min="14589" max="14591" width="10.42578125" style="69" customWidth="1"/>
    <col min="14592" max="14592" width="9.85546875" style="69" customWidth="1"/>
    <col min="14593" max="14593" width="21.5703125" style="69" customWidth="1"/>
    <col min="14594" max="14594" width="25.7109375" style="69" customWidth="1"/>
    <col min="14595" max="14597" width="21.5703125" style="69" customWidth="1"/>
    <col min="14598" max="14598" width="29.85546875" style="69" customWidth="1"/>
    <col min="14599" max="14827" width="11.42578125" style="69"/>
    <col min="14828" max="14828" width="2.28515625" style="69" customWidth="1"/>
    <col min="14829" max="14829" width="5.5703125" style="69" customWidth="1"/>
    <col min="14830" max="14830" width="34.28515625" style="69" customWidth="1"/>
    <col min="14831" max="14831" width="41.5703125" style="69" customWidth="1"/>
    <col min="14832" max="14837" width="10.140625" style="69" customWidth="1"/>
    <col min="14838" max="14838" width="11" style="69" customWidth="1"/>
    <col min="14839" max="14839" width="10.140625" style="69" customWidth="1"/>
    <col min="14840" max="14840" width="10.5703125" style="69" customWidth="1"/>
    <col min="14841" max="14843" width="10.140625" style="69" customWidth="1"/>
    <col min="14844" max="14844" width="4.140625" style="69" customWidth="1"/>
    <col min="14845" max="14847" width="10.42578125" style="69" customWidth="1"/>
    <col min="14848" max="14848" width="9.85546875" style="69" customWidth="1"/>
    <col min="14849" max="14849" width="21.5703125" style="69" customWidth="1"/>
    <col min="14850" max="14850" width="25.7109375" style="69" customWidth="1"/>
    <col min="14851" max="14853" width="21.5703125" style="69" customWidth="1"/>
    <col min="14854" max="14854" width="29.85546875" style="69" customWidth="1"/>
    <col min="14855" max="15083" width="11.42578125" style="69"/>
    <col min="15084" max="15084" width="2.28515625" style="69" customWidth="1"/>
    <col min="15085" max="15085" width="5.5703125" style="69" customWidth="1"/>
    <col min="15086" max="15086" width="34.28515625" style="69" customWidth="1"/>
    <col min="15087" max="15087" width="41.5703125" style="69" customWidth="1"/>
    <col min="15088" max="15093" width="10.140625" style="69" customWidth="1"/>
    <col min="15094" max="15094" width="11" style="69" customWidth="1"/>
    <col min="15095" max="15095" width="10.140625" style="69" customWidth="1"/>
    <col min="15096" max="15096" width="10.5703125" style="69" customWidth="1"/>
    <col min="15097" max="15099" width="10.140625" style="69" customWidth="1"/>
    <col min="15100" max="15100" width="4.140625" style="69" customWidth="1"/>
    <col min="15101" max="15103" width="10.42578125" style="69" customWidth="1"/>
    <col min="15104" max="15104" width="9.85546875" style="69" customWidth="1"/>
    <col min="15105" max="15105" width="21.5703125" style="69" customWidth="1"/>
    <col min="15106" max="15106" width="25.7109375" style="69" customWidth="1"/>
    <col min="15107" max="15109" width="21.5703125" style="69" customWidth="1"/>
    <col min="15110" max="15110" width="29.85546875" style="69" customWidth="1"/>
    <col min="15111" max="15339" width="11.42578125" style="69"/>
    <col min="15340" max="15340" width="2.28515625" style="69" customWidth="1"/>
    <col min="15341" max="15341" width="5.5703125" style="69" customWidth="1"/>
    <col min="15342" max="15342" width="34.28515625" style="69" customWidth="1"/>
    <col min="15343" max="15343" width="41.5703125" style="69" customWidth="1"/>
    <col min="15344" max="15349" width="10.140625" style="69" customWidth="1"/>
    <col min="15350" max="15350" width="11" style="69" customWidth="1"/>
    <col min="15351" max="15351" width="10.140625" style="69" customWidth="1"/>
    <col min="15352" max="15352" width="10.5703125" style="69" customWidth="1"/>
    <col min="15353" max="15355" width="10.140625" style="69" customWidth="1"/>
    <col min="15356" max="15356" width="4.140625" style="69" customWidth="1"/>
    <col min="15357" max="15359" width="10.42578125" style="69" customWidth="1"/>
    <col min="15360" max="15360" width="9.85546875" style="69" customWidth="1"/>
    <col min="15361" max="15361" width="21.5703125" style="69" customWidth="1"/>
    <col min="15362" max="15362" width="25.7109375" style="69" customWidth="1"/>
    <col min="15363" max="15365" width="21.5703125" style="69" customWidth="1"/>
    <col min="15366" max="15366" width="29.85546875" style="69" customWidth="1"/>
    <col min="15367" max="15595" width="11.42578125" style="69"/>
    <col min="15596" max="15596" width="2.28515625" style="69" customWidth="1"/>
    <col min="15597" max="15597" width="5.5703125" style="69" customWidth="1"/>
    <col min="15598" max="15598" width="34.28515625" style="69" customWidth="1"/>
    <col min="15599" max="15599" width="41.5703125" style="69" customWidth="1"/>
    <col min="15600" max="15605" width="10.140625" style="69" customWidth="1"/>
    <col min="15606" max="15606" width="11" style="69" customWidth="1"/>
    <col min="15607" max="15607" width="10.140625" style="69" customWidth="1"/>
    <col min="15608" max="15608" width="10.5703125" style="69" customWidth="1"/>
    <col min="15609" max="15611" width="10.140625" style="69" customWidth="1"/>
    <col min="15612" max="15612" width="4.140625" style="69" customWidth="1"/>
    <col min="15613" max="15615" width="10.42578125" style="69" customWidth="1"/>
    <col min="15616" max="15616" width="9.85546875" style="69" customWidth="1"/>
    <col min="15617" max="15617" width="21.5703125" style="69" customWidth="1"/>
    <col min="15618" max="15618" width="25.7109375" style="69" customWidth="1"/>
    <col min="15619" max="15621" width="21.5703125" style="69" customWidth="1"/>
    <col min="15622" max="15622" width="29.85546875" style="69" customWidth="1"/>
    <col min="15623" max="15851" width="11.42578125" style="69"/>
    <col min="15852" max="15852" width="2.28515625" style="69" customWidth="1"/>
    <col min="15853" max="15853" width="5.5703125" style="69" customWidth="1"/>
    <col min="15854" max="15854" width="34.28515625" style="69" customWidth="1"/>
    <col min="15855" max="15855" width="41.5703125" style="69" customWidth="1"/>
    <col min="15856" max="15861" width="10.140625" style="69" customWidth="1"/>
    <col min="15862" max="15862" width="11" style="69" customWidth="1"/>
    <col min="15863" max="15863" width="10.140625" style="69" customWidth="1"/>
    <col min="15864" max="15864" width="10.5703125" style="69" customWidth="1"/>
    <col min="15865" max="15867" width="10.140625" style="69" customWidth="1"/>
    <col min="15868" max="15868" width="4.140625" style="69" customWidth="1"/>
    <col min="15869" max="15871" width="10.42578125" style="69" customWidth="1"/>
    <col min="15872" max="15872" width="9.85546875" style="69" customWidth="1"/>
    <col min="15873" max="15873" width="21.5703125" style="69" customWidth="1"/>
    <col min="15874" max="15874" width="25.7109375" style="69" customWidth="1"/>
    <col min="15875" max="15877" width="21.5703125" style="69" customWidth="1"/>
    <col min="15878" max="15878" width="29.85546875" style="69" customWidth="1"/>
    <col min="15879" max="16107" width="11.42578125" style="69"/>
    <col min="16108" max="16108" width="2.28515625" style="69" customWidth="1"/>
    <col min="16109" max="16109" width="5.5703125" style="69" customWidth="1"/>
    <col min="16110" max="16110" width="34.28515625" style="69" customWidth="1"/>
    <col min="16111" max="16111" width="41.5703125" style="69" customWidth="1"/>
    <col min="16112" max="16117" width="10.140625" style="69" customWidth="1"/>
    <col min="16118" max="16118" width="11" style="69" customWidth="1"/>
    <col min="16119" max="16119" width="10.140625" style="69" customWidth="1"/>
    <col min="16120" max="16120" width="10.5703125" style="69" customWidth="1"/>
    <col min="16121" max="16123" width="10.140625" style="69" customWidth="1"/>
    <col min="16124" max="16124" width="4.140625" style="69" customWidth="1"/>
    <col min="16125" max="16127" width="10.42578125" style="69" customWidth="1"/>
    <col min="16128" max="16128" width="9.85546875" style="69" customWidth="1"/>
    <col min="16129" max="16129" width="21.5703125" style="69" customWidth="1"/>
    <col min="16130" max="16130" width="25.7109375" style="69" customWidth="1"/>
    <col min="16131" max="16133" width="21.5703125" style="69" customWidth="1"/>
    <col min="16134" max="16134" width="29.85546875" style="69" customWidth="1"/>
    <col min="16135" max="16384" width="11.42578125" style="69"/>
  </cols>
  <sheetData>
    <row r="1" spans="2:12" ht="20.100000000000001" customHeight="1">
      <c r="C1" s="62"/>
      <c r="D1" s="63"/>
      <c r="E1" s="64"/>
      <c r="F1" s="65"/>
      <c r="G1" s="65"/>
      <c r="H1" s="65"/>
      <c r="I1" s="66"/>
      <c r="J1" s="66"/>
    </row>
    <row r="2" spans="2:12" s="80" customFormat="1" ht="20.100000000000001" hidden="1" customHeight="1">
      <c r="B2" s="70"/>
      <c r="C2" s="71"/>
      <c r="D2" s="72"/>
      <c r="E2" s="73"/>
      <c r="F2" s="73"/>
      <c r="G2" s="73"/>
      <c r="H2" s="73"/>
      <c r="I2" s="74"/>
      <c r="J2" s="74"/>
      <c r="K2" s="78"/>
      <c r="L2" s="78"/>
    </row>
    <row r="3" spans="2:12" ht="12" customHeight="1">
      <c r="B3" s="81"/>
      <c r="D3" s="63"/>
      <c r="E3" s="65"/>
      <c r="F3" s="139"/>
      <c r="G3" s="139"/>
      <c r="H3" s="139"/>
      <c r="I3" s="82">
        <f>18.17%</f>
        <v>0.18170000000000003</v>
      </c>
      <c r="J3" s="82"/>
    </row>
    <row r="4" spans="2:12" s="65" customFormat="1" ht="20.100000000000001" customHeight="1">
      <c r="B4" s="138" t="s">
        <v>0</v>
      </c>
      <c r="C4" s="139"/>
      <c r="D4" s="139"/>
      <c r="E4" s="137"/>
      <c r="F4" s="139"/>
      <c r="G4" s="139"/>
      <c r="H4" s="139"/>
      <c r="I4" s="136"/>
      <c r="J4" s="136"/>
      <c r="K4" s="88"/>
      <c r="L4" s="88"/>
    </row>
    <row r="5" spans="2:12" s="65" customFormat="1" ht="20.100000000000001" customHeight="1">
      <c r="B5" s="84"/>
      <c r="E5" s="85"/>
      <c r="F5" s="139"/>
      <c r="G5" s="139"/>
      <c r="H5" s="139"/>
      <c r="I5" s="147"/>
      <c r="J5" s="147"/>
      <c r="K5" s="88"/>
      <c r="L5" s="88"/>
    </row>
    <row r="6" spans="2:12" ht="20.100000000000001" customHeight="1">
      <c r="B6" s="1559" t="s">
        <v>2</v>
      </c>
      <c r="C6" s="1557" t="s">
        <v>3</v>
      </c>
      <c r="D6" s="1557" t="s">
        <v>4</v>
      </c>
      <c r="E6" s="1557" t="s">
        <v>5</v>
      </c>
      <c r="F6" s="1557" t="s">
        <v>6</v>
      </c>
      <c r="G6" s="1557" t="s">
        <v>7</v>
      </c>
      <c r="H6" s="1554" t="s">
        <v>720</v>
      </c>
      <c r="I6" s="1558" t="s">
        <v>8</v>
      </c>
      <c r="J6" s="1551" t="s">
        <v>721</v>
      </c>
      <c r="K6" s="149" t="s">
        <v>125</v>
      </c>
      <c r="L6" s="149" t="s">
        <v>125</v>
      </c>
    </row>
    <row r="7" spans="2:12" ht="20.100000000000001" customHeight="1">
      <c r="B7" s="1559"/>
      <c r="C7" s="1557"/>
      <c r="D7" s="1557"/>
      <c r="E7" s="1557"/>
      <c r="F7" s="1557"/>
      <c r="G7" s="1557"/>
      <c r="H7" s="1555"/>
      <c r="I7" s="1558"/>
      <c r="J7" s="1552"/>
      <c r="K7" s="150" t="s">
        <v>361</v>
      </c>
      <c r="L7" s="150" t="s">
        <v>361</v>
      </c>
    </row>
    <row r="8" spans="2:12" ht="20.100000000000001" customHeight="1">
      <c r="B8" s="1559"/>
      <c r="C8" s="1557"/>
      <c r="D8" s="1557"/>
      <c r="E8" s="1557"/>
      <c r="F8" s="1557"/>
      <c r="G8" s="1557"/>
      <c r="H8" s="1556"/>
      <c r="I8" s="1558"/>
      <c r="J8" s="1553"/>
      <c r="K8" s="151" t="s">
        <v>722</v>
      </c>
      <c r="L8" s="151" t="s">
        <v>447</v>
      </c>
    </row>
    <row r="9" spans="2:12" ht="20.100000000000001" customHeight="1">
      <c r="B9" s="93">
        <v>1</v>
      </c>
      <c r="C9" s="94" t="s">
        <v>20</v>
      </c>
      <c r="D9" s="95" t="s">
        <v>21</v>
      </c>
      <c r="E9" s="96">
        <v>793.24</v>
      </c>
      <c r="F9" s="97">
        <v>0</v>
      </c>
      <c r="G9" s="109">
        <f t="shared" ref="G9:G16" si="0">E9+F9</f>
        <v>793.24</v>
      </c>
      <c r="H9" s="99">
        <f>1025*9%</f>
        <v>92.25</v>
      </c>
      <c r="I9" s="99">
        <f>+G9/2*2</f>
        <v>793.24</v>
      </c>
      <c r="J9" s="99">
        <f>+I9*9%</f>
        <v>71.391599999999997</v>
      </c>
      <c r="K9" s="148">
        <f>SUM(I9:J9)</f>
        <v>864.63160000000005</v>
      </c>
      <c r="L9" s="152">
        <f t="shared" ref="L9:L16" si="1">+K9/12</f>
        <v>72.052633333333333</v>
      </c>
    </row>
    <row r="10" spans="2:12" ht="20.100000000000001" customHeight="1">
      <c r="B10" s="93">
        <f>B9+1</f>
        <v>2</v>
      </c>
      <c r="C10" s="106" t="s">
        <v>22</v>
      </c>
      <c r="D10" s="107" t="s">
        <v>23</v>
      </c>
      <c r="E10" s="108">
        <v>1966.47</v>
      </c>
      <c r="F10" s="146">
        <v>102.5</v>
      </c>
      <c r="G10" s="109">
        <f>E10+F10</f>
        <v>2068.9700000000003</v>
      </c>
      <c r="H10" s="99">
        <f>+G10*9%</f>
        <v>186.2073</v>
      </c>
      <c r="I10" s="99">
        <f>+G10/2*2</f>
        <v>2068.9700000000003</v>
      </c>
      <c r="J10" s="99">
        <f>+I10*9%</f>
        <v>186.2073</v>
      </c>
      <c r="K10" s="153">
        <f>SUM(I10:J10)</f>
        <v>2255.1773000000003</v>
      </c>
      <c r="L10" s="152">
        <f t="shared" si="1"/>
        <v>187.9314416666667</v>
      </c>
    </row>
    <row r="11" spans="2:12" ht="20.100000000000001" customHeight="1">
      <c r="B11" s="93">
        <f>B10+1</f>
        <v>3</v>
      </c>
      <c r="C11" s="111" t="s">
        <v>22</v>
      </c>
      <c r="D11" s="112" t="s">
        <v>25</v>
      </c>
      <c r="E11" s="108">
        <v>1588.02</v>
      </c>
      <c r="F11" s="97"/>
      <c r="G11" s="109">
        <f t="shared" si="0"/>
        <v>1588.02</v>
      </c>
      <c r="H11" s="99">
        <f t="shared" ref="H11:H16" si="2">+G11*9%</f>
        <v>142.92179999999999</v>
      </c>
      <c r="I11" s="99">
        <f t="shared" ref="I11:I16" si="3">+G11/2*2</f>
        <v>1588.02</v>
      </c>
      <c r="J11" s="99">
        <f t="shared" ref="J11:J16" si="4">+I11*9%</f>
        <v>142.92179999999999</v>
      </c>
      <c r="K11" s="153">
        <f t="shared" ref="K11:K16" si="5">SUM(I11:J11)</f>
        <v>1730.9418000000001</v>
      </c>
      <c r="L11" s="152">
        <f t="shared" si="1"/>
        <v>144.24515</v>
      </c>
    </row>
    <row r="12" spans="2:12" ht="20.100000000000001" customHeight="1">
      <c r="B12" s="93">
        <v>4</v>
      </c>
      <c r="C12" s="106" t="s">
        <v>30</v>
      </c>
      <c r="D12" s="107" t="s">
        <v>31</v>
      </c>
      <c r="E12" s="108">
        <v>830.15</v>
      </c>
      <c r="F12" s="97"/>
      <c r="G12" s="109">
        <f t="shared" si="0"/>
        <v>830.15</v>
      </c>
      <c r="H12" s="99">
        <f t="shared" si="2"/>
        <v>74.713499999999996</v>
      </c>
      <c r="I12" s="99">
        <f t="shared" si="3"/>
        <v>830.15</v>
      </c>
      <c r="J12" s="99">
        <f t="shared" si="4"/>
        <v>74.713499999999996</v>
      </c>
      <c r="K12" s="153">
        <f t="shared" si="5"/>
        <v>904.86349999999993</v>
      </c>
      <c r="L12" s="152">
        <f t="shared" si="1"/>
        <v>75.405291666666656</v>
      </c>
    </row>
    <row r="13" spans="2:12" s="63" customFormat="1" ht="20.100000000000001" customHeight="1">
      <c r="B13" s="93">
        <v>5</v>
      </c>
      <c r="C13" s="106" t="s">
        <v>723</v>
      </c>
      <c r="D13" s="112" t="s">
        <v>27</v>
      </c>
      <c r="E13" s="96">
        <v>1474.5900000000001</v>
      </c>
      <c r="F13" s="96">
        <v>0</v>
      </c>
      <c r="G13" s="109">
        <f t="shared" si="0"/>
        <v>1474.5900000000001</v>
      </c>
      <c r="H13" s="99">
        <f t="shared" si="2"/>
        <v>132.7131</v>
      </c>
      <c r="I13" s="99">
        <f t="shared" si="3"/>
        <v>1474.5900000000001</v>
      </c>
      <c r="J13" s="99">
        <f t="shared" si="4"/>
        <v>132.7131</v>
      </c>
      <c r="K13" s="153">
        <f t="shared" si="5"/>
        <v>1607.3031000000001</v>
      </c>
      <c r="L13" s="152">
        <f t="shared" si="1"/>
        <v>133.941925</v>
      </c>
    </row>
    <row r="14" spans="2:12" s="63" customFormat="1" ht="20.100000000000001" customHeight="1">
      <c r="B14" s="93">
        <v>6</v>
      </c>
      <c r="C14" s="106" t="s">
        <v>28</v>
      </c>
      <c r="D14" s="106" t="s">
        <v>29</v>
      </c>
      <c r="E14" s="96">
        <v>1025</v>
      </c>
      <c r="F14" s="96"/>
      <c r="G14" s="109">
        <f t="shared" si="0"/>
        <v>1025</v>
      </c>
      <c r="H14" s="99">
        <f t="shared" si="2"/>
        <v>92.25</v>
      </c>
      <c r="I14" s="99">
        <f t="shared" si="3"/>
        <v>1025</v>
      </c>
      <c r="J14" s="99">
        <f t="shared" si="4"/>
        <v>92.25</v>
      </c>
      <c r="K14" s="153">
        <f t="shared" si="5"/>
        <v>1117.25</v>
      </c>
      <c r="L14" s="152">
        <f t="shared" si="1"/>
        <v>93.104166666666671</v>
      </c>
    </row>
    <row r="15" spans="2:12" ht="20.100000000000001" customHeight="1">
      <c r="B15" s="93">
        <v>7</v>
      </c>
      <c r="C15" s="106" t="s">
        <v>32</v>
      </c>
      <c r="D15" s="134" t="s">
        <v>33</v>
      </c>
      <c r="E15" s="108">
        <v>3000</v>
      </c>
      <c r="F15" s="146">
        <v>102.5</v>
      </c>
      <c r="G15" s="109">
        <f t="shared" si="0"/>
        <v>3102.5</v>
      </c>
      <c r="H15" s="99">
        <f t="shared" si="2"/>
        <v>279.22499999999997</v>
      </c>
      <c r="I15" s="99">
        <f t="shared" si="3"/>
        <v>3102.5</v>
      </c>
      <c r="J15" s="99">
        <f t="shared" si="4"/>
        <v>279.22499999999997</v>
      </c>
      <c r="K15" s="153">
        <f t="shared" si="5"/>
        <v>3381.7249999999999</v>
      </c>
      <c r="L15" s="152">
        <f t="shared" si="1"/>
        <v>281.81041666666664</v>
      </c>
    </row>
    <row r="16" spans="2:12" ht="20.100000000000001" customHeight="1" thickBot="1">
      <c r="B16" s="93">
        <v>8</v>
      </c>
      <c r="C16" s="106" t="s">
        <v>20</v>
      </c>
      <c r="D16" s="134" t="s">
        <v>34</v>
      </c>
      <c r="E16" s="96">
        <v>1270.8</v>
      </c>
      <c r="F16" s="97"/>
      <c r="G16" s="109">
        <f t="shared" si="0"/>
        <v>1270.8</v>
      </c>
      <c r="H16" s="99">
        <f t="shared" si="2"/>
        <v>114.37199999999999</v>
      </c>
      <c r="I16" s="99">
        <f t="shared" si="3"/>
        <v>1270.8</v>
      </c>
      <c r="J16" s="99">
        <f t="shared" si="4"/>
        <v>114.37199999999999</v>
      </c>
      <c r="K16" s="153">
        <f t="shared" si="5"/>
        <v>1385.172</v>
      </c>
      <c r="L16" s="152">
        <f t="shared" si="1"/>
        <v>115.431</v>
      </c>
    </row>
    <row r="17" spans="2:12" s="63" customFormat="1" ht="20.100000000000001" customHeight="1" thickBot="1">
      <c r="B17" s="125"/>
      <c r="C17" s="140"/>
      <c r="D17" s="141" t="s">
        <v>35</v>
      </c>
      <c r="E17" s="142">
        <f>SUM(E9:E16)</f>
        <v>11948.269999999999</v>
      </c>
      <c r="F17" s="143">
        <f>SUM(F9:F16)</f>
        <v>205</v>
      </c>
      <c r="G17" s="143">
        <f>SUM(G9:G16)</f>
        <v>12153.269999999999</v>
      </c>
      <c r="H17" s="143">
        <f>SUM(H9:H16)</f>
        <v>1114.6527000000001</v>
      </c>
      <c r="I17" s="143">
        <f>SUM(I9:I16)</f>
        <v>12153.269999999999</v>
      </c>
      <c r="J17" s="143">
        <f>SUM(J10:J16)</f>
        <v>1022.4027</v>
      </c>
      <c r="K17" s="154">
        <f>SUM(K10:K16)</f>
        <v>12382.432700000001</v>
      </c>
      <c r="L17" s="154">
        <f>SUM(L9:L16)</f>
        <v>1103.9220250000001</v>
      </c>
    </row>
    <row r="18" spans="2:12" s="65" customFormat="1" ht="20.100000000000001" customHeight="1">
      <c r="B18" s="84"/>
      <c r="E18" s="85"/>
      <c r="I18" s="82"/>
      <c r="J18" s="82"/>
      <c r="K18" s="88"/>
      <c r="L18" s="88"/>
    </row>
    <row r="19" spans="2:12" s="65" customFormat="1" ht="20.100000000000001" customHeight="1">
      <c r="B19" s="84"/>
      <c r="E19" s="85"/>
      <c r="I19" s="82"/>
      <c r="J19" s="82"/>
      <c r="K19" s="88"/>
      <c r="L19" s="88"/>
    </row>
    <row r="20" spans="2:12" ht="20.100000000000001" customHeight="1">
      <c r="B20" s="1559" t="s">
        <v>2</v>
      </c>
      <c r="C20" s="1557" t="s">
        <v>3</v>
      </c>
      <c r="D20" s="1557" t="s">
        <v>4</v>
      </c>
      <c r="E20" s="1557" t="s">
        <v>5</v>
      </c>
      <c r="F20" s="1557" t="s">
        <v>6</v>
      </c>
      <c r="G20" s="1557" t="s">
        <v>7</v>
      </c>
      <c r="H20" s="1554" t="s">
        <v>720</v>
      </c>
      <c r="I20" s="1558" t="s">
        <v>8</v>
      </c>
      <c r="J20" s="1551" t="s">
        <v>721</v>
      </c>
      <c r="K20" s="149" t="s">
        <v>125</v>
      </c>
      <c r="L20" s="149" t="s">
        <v>125</v>
      </c>
    </row>
    <row r="21" spans="2:12" ht="20.100000000000001" customHeight="1">
      <c r="B21" s="1559"/>
      <c r="C21" s="1557"/>
      <c r="D21" s="1557"/>
      <c r="E21" s="1557"/>
      <c r="F21" s="1557"/>
      <c r="G21" s="1557"/>
      <c r="H21" s="1555"/>
      <c r="I21" s="1558"/>
      <c r="J21" s="1552"/>
      <c r="K21" s="150" t="s">
        <v>361</v>
      </c>
      <c r="L21" s="150" t="s">
        <v>361</v>
      </c>
    </row>
    <row r="22" spans="2:12" ht="20.100000000000001" customHeight="1">
      <c r="B22" s="1559"/>
      <c r="C22" s="1557"/>
      <c r="D22" s="1557"/>
      <c r="E22" s="1557"/>
      <c r="F22" s="1557"/>
      <c r="G22" s="1557"/>
      <c r="H22" s="1556"/>
      <c r="I22" s="1558"/>
      <c r="J22" s="1553"/>
      <c r="K22" s="151" t="s">
        <v>722</v>
      </c>
      <c r="L22" s="151" t="s">
        <v>447</v>
      </c>
    </row>
    <row r="23" spans="2:12" ht="20.100000000000001" customHeight="1">
      <c r="B23" s="93">
        <v>1</v>
      </c>
      <c r="C23" s="94" t="s">
        <v>36</v>
      </c>
      <c r="D23" s="95" t="s">
        <v>724</v>
      </c>
      <c r="E23" s="96">
        <v>4208.6000000000004</v>
      </c>
      <c r="F23" s="97">
        <v>0</v>
      </c>
      <c r="G23" s="98">
        <f>E23+F23</f>
        <v>4208.6000000000004</v>
      </c>
      <c r="H23" s="99">
        <f>+G23*9%</f>
        <v>378.774</v>
      </c>
      <c r="I23" s="99">
        <f>+G23*2</f>
        <v>8417.2000000000007</v>
      </c>
      <c r="J23" s="99">
        <f>+I23*9%</f>
        <v>757.548</v>
      </c>
      <c r="K23" s="152">
        <f>SUM(I23:J23)</f>
        <v>9174.7480000000014</v>
      </c>
      <c r="L23" s="152">
        <f>+K23/12</f>
        <v>764.56233333333341</v>
      </c>
    </row>
    <row r="24" spans="2:12" ht="20.100000000000001" customHeight="1">
      <c r="B24" s="93">
        <f>B23+1</f>
        <v>2</v>
      </c>
      <c r="C24" s="94" t="s">
        <v>38</v>
      </c>
      <c r="D24" s="107" t="s">
        <v>39</v>
      </c>
      <c r="E24" s="108">
        <v>2081.4100000000003</v>
      </c>
      <c r="F24" s="146">
        <v>102.5</v>
      </c>
      <c r="G24" s="109">
        <f t="shared" ref="G24:G32" si="6">E24+F24</f>
        <v>2183.9100000000003</v>
      </c>
      <c r="H24" s="109">
        <f t="shared" ref="H24:H32" si="7">+G24*9%</f>
        <v>196.55190000000002</v>
      </c>
      <c r="I24" s="99">
        <f>+G24/2*2</f>
        <v>2183.9100000000003</v>
      </c>
      <c r="J24" s="99">
        <f t="shared" ref="J24:J32" si="8">+I24*9%</f>
        <v>196.55190000000002</v>
      </c>
      <c r="K24" s="152">
        <f t="shared" ref="K24:K32" si="9">SUM(I24:J24)</f>
        <v>2380.4619000000002</v>
      </c>
      <c r="L24" s="152">
        <f t="shared" ref="L24:L32" si="10">+K24/12</f>
        <v>198.37182500000003</v>
      </c>
    </row>
    <row r="25" spans="2:12" ht="20.100000000000001" customHeight="1">
      <c r="B25" s="93">
        <f>B24+1</f>
        <v>3</v>
      </c>
      <c r="C25" s="94" t="s">
        <v>40</v>
      </c>
      <c r="D25" s="112" t="s">
        <v>41</v>
      </c>
      <c r="E25" s="108">
        <v>1588.02</v>
      </c>
      <c r="F25" s="97"/>
      <c r="G25" s="109">
        <f t="shared" si="6"/>
        <v>1588.02</v>
      </c>
      <c r="H25" s="109">
        <f t="shared" si="7"/>
        <v>142.92179999999999</v>
      </c>
      <c r="I25" s="99">
        <f t="shared" ref="I25:I32" si="11">+G25/2*2</f>
        <v>1588.02</v>
      </c>
      <c r="J25" s="99">
        <f t="shared" si="8"/>
        <v>142.92179999999999</v>
      </c>
      <c r="K25" s="152">
        <f t="shared" si="9"/>
        <v>1730.9418000000001</v>
      </c>
      <c r="L25" s="152">
        <f t="shared" si="10"/>
        <v>144.24515</v>
      </c>
    </row>
    <row r="26" spans="2:12" s="63" customFormat="1" ht="20.100000000000001" customHeight="1">
      <c r="B26" s="93">
        <v>4</v>
      </c>
      <c r="C26" s="94" t="s">
        <v>42</v>
      </c>
      <c r="D26" s="112" t="s">
        <v>43</v>
      </c>
      <c r="E26" s="96">
        <v>1474.6000000000001</v>
      </c>
      <c r="F26" s="96"/>
      <c r="G26" s="109">
        <f>E26+F26</f>
        <v>1474.6000000000001</v>
      </c>
      <c r="H26" s="109">
        <f t="shared" si="7"/>
        <v>132.714</v>
      </c>
      <c r="I26" s="99">
        <f t="shared" si="11"/>
        <v>1474.6000000000001</v>
      </c>
      <c r="J26" s="99">
        <f t="shared" si="8"/>
        <v>132.714</v>
      </c>
      <c r="K26" s="152">
        <f t="shared" si="9"/>
        <v>1607.3140000000001</v>
      </c>
      <c r="L26" s="152">
        <f t="shared" si="10"/>
        <v>133.94283333333334</v>
      </c>
    </row>
    <row r="27" spans="2:12" s="63" customFormat="1" ht="20.100000000000001" customHeight="1">
      <c r="B27" s="93">
        <v>5</v>
      </c>
      <c r="C27" s="94" t="s">
        <v>44</v>
      </c>
      <c r="D27" s="112" t="s">
        <v>45</v>
      </c>
      <c r="E27" s="96">
        <v>1474.6000000000001</v>
      </c>
      <c r="F27" s="96">
        <v>0</v>
      </c>
      <c r="G27" s="109">
        <f t="shared" si="6"/>
        <v>1474.6000000000001</v>
      </c>
      <c r="H27" s="109">
        <f t="shared" si="7"/>
        <v>132.714</v>
      </c>
      <c r="I27" s="99">
        <f t="shared" si="11"/>
        <v>1474.6000000000001</v>
      </c>
      <c r="J27" s="99">
        <f t="shared" si="8"/>
        <v>132.714</v>
      </c>
      <c r="K27" s="152">
        <f t="shared" si="9"/>
        <v>1607.3140000000001</v>
      </c>
      <c r="L27" s="152">
        <f t="shared" si="10"/>
        <v>133.94283333333334</v>
      </c>
    </row>
    <row r="28" spans="2:12" ht="20.100000000000001" customHeight="1">
      <c r="B28" s="93">
        <v>6</v>
      </c>
      <c r="C28" s="94" t="s">
        <v>24</v>
      </c>
      <c r="D28" s="107" t="s">
        <v>46</v>
      </c>
      <c r="E28" s="108">
        <v>1701.45</v>
      </c>
      <c r="F28" s="97"/>
      <c r="G28" s="109">
        <f t="shared" si="6"/>
        <v>1701.45</v>
      </c>
      <c r="H28" s="109">
        <f t="shared" si="7"/>
        <v>153.13050000000001</v>
      </c>
      <c r="I28" s="99">
        <f t="shared" si="11"/>
        <v>1701.45</v>
      </c>
      <c r="J28" s="99">
        <f t="shared" si="8"/>
        <v>153.13050000000001</v>
      </c>
      <c r="K28" s="152">
        <f t="shared" si="9"/>
        <v>1854.5805</v>
      </c>
      <c r="L28" s="152">
        <f t="shared" si="10"/>
        <v>154.54837499999999</v>
      </c>
    </row>
    <row r="29" spans="2:12" ht="20.100000000000001" customHeight="1">
      <c r="B29" s="93">
        <v>7</v>
      </c>
      <c r="C29" s="94" t="s">
        <v>30</v>
      </c>
      <c r="D29" s="107" t="s">
        <v>31</v>
      </c>
      <c r="E29" s="108">
        <v>830.15</v>
      </c>
      <c r="F29" s="97"/>
      <c r="G29" s="109">
        <f t="shared" si="6"/>
        <v>830.15</v>
      </c>
      <c r="H29" s="109">
        <f t="shared" si="7"/>
        <v>74.713499999999996</v>
      </c>
      <c r="I29" s="99">
        <f t="shared" si="11"/>
        <v>830.15</v>
      </c>
      <c r="J29" s="99">
        <f t="shared" si="8"/>
        <v>74.713499999999996</v>
      </c>
      <c r="K29" s="152">
        <f t="shared" si="9"/>
        <v>904.86349999999993</v>
      </c>
      <c r="L29" s="152">
        <f t="shared" si="10"/>
        <v>75.405291666666656</v>
      </c>
    </row>
    <row r="30" spans="2:12" ht="20.100000000000001" customHeight="1">
      <c r="B30" s="93">
        <v>8</v>
      </c>
      <c r="C30" s="94" t="s">
        <v>24</v>
      </c>
      <c r="D30" s="112" t="s">
        <v>47</v>
      </c>
      <c r="E30" s="108">
        <v>2155.17</v>
      </c>
      <c r="F30" s="97"/>
      <c r="G30" s="109">
        <f t="shared" si="6"/>
        <v>2155.17</v>
      </c>
      <c r="H30" s="109">
        <f t="shared" si="7"/>
        <v>193.96530000000001</v>
      </c>
      <c r="I30" s="99">
        <f t="shared" si="11"/>
        <v>2155.17</v>
      </c>
      <c r="J30" s="99">
        <f t="shared" si="8"/>
        <v>193.96530000000001</v>
      </c>
      <c r="K30" s="152">
        <f t="shared" si="9"/>
        <v>2349.1352999999999</v>
      </c>
      <c r="L30" s="152">
        <f t="shared" si="10"/>
        <v>195.76127499999998</v>
      </c>
    </row>
    <row r="31" spans="2:12" ht="20.100000000000001" customHeight="1">
      <c r="B31" s="93">
        <v>9</v>
      </c>
      <c r="C31" s="94" t="s">
        <v>28</v>
      </c>
      <c r="D31" s="106" t="s">
        <v>48</v>
      </c>
      <c r="E31" s="96">
        <v>1336.28</v>
      </c>
      <c r="F31" s="97"/>
      <c r="G31" s="109">
        <f t="shared" si="6"/>
        <v>1336.28</v>
      </c>
      <c r="H31" s="98">
        <f t="shared" si="7"/>
        <v>120.26519999999999</v>
      </c>
      <c r="I31" s="99">
        <f t="shared" si="11"/>
        <v>1336.28</v>
      </c>
      <c r="J31" s="99">
        <f t="shared" si="8"/>
        <v>120.26519999999999</v>
      </c>
      <c r="K31" s="152">
        <f t="shared" si="9"/>
        <v>1456.5452</v>
      </c>
      <c r="L31" s="152">
        <f t="shared" si="10"/>
        <v>121.37876666666666</v>
      </c>
    </row>
    <row r="32" spans="2:12" ht="20.100000000000001" customHeight="1" thickBot="1">
      <c r="B32" s="93">
        <v>10</v>
      </c>
      <c r="C32" s="94" t="s">
        <v>22</v>
      </c>
      <c r="D32" s="106" t="s">
        <v>49</v>
      </c>
      <c r="E32" s="96">
        <v>1814.88</v>
      </c>
      <c r="F32" s="97"/>
      <c r="G32" s="109">
        <f t="shared" si="6"/>
        <v>1814.88</v>
      </c>
      <c r="H32" s="109">
        <f t="shared" si="7"/>
        <v>163.33920000000001</v>
      </c>
      <c r="I32" s="99">
        <f t="shared" si="11"/>
        <v>1814.88</v>
      </c>
      <c r="J32" s="99">
        <f t="shared" si="8"/>
        <v>163.33920000000001</v>
      </c>
      <c r="K32" s="152">
        <f t="shared" si="9"/>
        <v>1978.2192</v>
      </c>
      <c r="L32" s="155">
        <f t="shared" si="10"/>
        <v>164.85159999999999</v>
      </c>
    </row>
    <row r="33" spans="2:12" s="63" customFormat="1" ht="20.100000000000001" customHeight="1" thickBot="1">
      <c r="B33" s="125"/>
      <c r="C33" s="140"/>
      <c r="D33" s="141" t="s">
        <v>35</v>
      </c>
      <c r="E33" s="142">
        <f t="shared" ref="E33:L33" si="12">SUM(E23:E32)</f>
        <v>18665.160000000003</v>
      </c>
      <c r="F33" s="143">
        <f t="shared" si="12"/>
        <v>102.5</v>
      </c>
      <c r="G33" s="143">
        <f t="shared" si="12"/>
        <v>18767.660000000003</v>
      </c>
      <c r="H33" s="143">
        <f t="shared" si="12"/>
        <v>1689.0894000000003</v>
      </c>
      <c r="I33" s="143">
        <f t="shared" si="12"/>
        <v>22976.260000000006</v>
      </c>
      <c r="J33" s="154">
        <f t="shared" si="12"/>
        <v>2067.8634000000002</v>
      </c>
      <c r="K33" s="154">
        <f t="shared" si="12"/>
        <v>25044.123400000004</v>
      </c>
      <c r="L33" s="143">
        <f t="shared" si="12"/>
        <v>2087.0102833333335</v>
      </c>
    </row>
    <row r="34" spans="2:12" ht="20.100000000000001" customHeight="1" thickBot="1">
      <c r="D34" s="65"/>
      <c r="E34" s="131"/>
      <c r="F34" s="87"/>
      <c r="G34" s="131"/>
      <c r="H34" s="131"/>
      <c r="I34" s="132"/>
      <c r="J34" s="132"/>
      <c r="K34" s="87"/>
      <c r="L34" s="87"/>
    </row>
    <row r="35" spans="2:12" ht="20.100000000000001" customHeight="1" thickBot="1">
      <c r="C35" s="140"/>
      <c r="D35" s="141" t="s">
        <v>35</v>
      </c>
      <c r="E35" s="142">
        <f>+E17+E33</f>
        <v>30613.43</v>
      </c>
    </row>
    <row r="36" spans="2:12" ht="20.100000000000001" customHeight="1">
      <c r="E36" s="132"/>
    </row>
  </sheetData>
  <mergeCells count="18">
    <mergeCell ref="B6:B8"/>
    <mergeCell ref="C6:C8"/>
    <mergeCell ref="D6:D8"/>
    <mergeCell ref="E6:E8"/>
    <mergeCell ref="F6:F8"/>
    <mergeCell ref="B20:B22"/>
    <mergeCell ref="C20:C22"/>
    <mergeCell ref="D20:D22"/>
    <mergeCell ref="E20:E22"/>
    <mergeCell ref="F20:F22"/>
    <mergeCell ref="J6:J8"/>
    <mergeCell ref="J20:J22"/>
    <mergeCell ref="H6:H8"/>
    <mergeCell ref="H20:H22"/>
    <mergeCell ref="G20:G22"/>
    <mergeCell ref="I20:I22"/>
    <mergeCell ref="I6:I8"/>
    <mergeCell ref="G6:G8"/>
  </mergeCells>
  <pageMargins left="0.23622047244094491" right="0.23622047244094491" top="0.74803149606299213" bottom="0.74803149606299213" header="0.31496062992125984" footer="0.31496062992125984"/>
  <pageSetup paperSize="8" scale="68" orientation="landscape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 tint="0.499984740745262"/>
  </sheetPr>
  <dimension ref="A2:J35"/>
  <sheetViews>
    <sheetView workbookViewId="0">
      <selection activeCell="G13" sqref="G13"/>
    </sheetView>
  </sheetViews>
  <sheetFormatPr baseColWidth="10" defaultColWidth="11.42578125" defaultRowHeight="15"/>
  <cols>
    <col min="2" max="2" width="21.85546875" customWidth="1"/>
    <col min="3" max="3" width="29.85546875" customWidth="1"/>
    <col min="7" max="7" width="15.7109375" customWidth="1"/>
    <col min="8" max="8" width="15.140625" customWidth="1"/>
    <col min="9" max="9" width="16.85546875" customWidth="1"/>
  </cols>
  <sheetData>
    <row r="2" spans="1:10">
      <c r="C2" s="1560" t="s">
        <v>725</v>
      </c>
      <c r="D2" s="1560"/>
      <c r="E2" s="1560"/>
      <c r="F2" s="1560"/>
      <c r="G2" s="1560"/>
      <c r="H2" s="1560"/>
    </row>
    <row r="4" spans="1:10" ht="15.75">
      <c r="A4" s="138" t="s">
        <v>0</v>
      </c>
      <c r="B4" s="139"/>
      <c r="C4" s="139"/>
      <c r="D4" s="137"/>
      <c r="E4" s="139"/>
      <c r="F4" s="139"/>
      <c r="G4" s="136"/>
      <c r="H4" s="88"/>
      <c r="I4" s="88"/>
    </row>
    <row r="5" spans="1:10" ht="15.75">
      <c r="A5" s="84"/>
      <c r="B5" s="65"/>
      <c r="C5" s="65"/>
      <c r="D5" s="85"/>
      <c r="E5" s="139"/>
      <c r="F5" s="139"/>
      <c r="G5" s="147"/>
      <c r="H5" s="88"/>
      <c r="I5" s="88"/>
    </row>
    <row r="6" spans="1:10">
      <c r="A6" s="1559" t="s">
        <v>2</v>
      </c>
      <c r="B6" s="1557" t="s">
        <v>3</v>
      </c>
      <c r="C6" s="1557" t="s">
        <v>4</v>
      </c>
      <c r="D6" s="1557" t="s">
        <v>5</v>
      </c>
      <c r="E6" s="1557" t="s">
        <v>6</v>
      </c>
      <c r="F6" s="1557" t="s">
        <v>7</v>
      </c>
      <c r="G6" s="145" t="s">
        <v>726</v>
      </c>
      <c r="H6" s="160" t="s">
        <v>727</v>
      </c>
      <c r="I6" s="144" t="s">
        <v>125</v>
      </c>
      <c r="J6" s="144" t="s">
        <v>125</v>
      </c>
    </row>
    <row r="7" spans="1:10">
      <c r="A7" s="1559"/>
      <c r="B7" s="1557"/>
      <c r="C7" s="1557"/>
      <c r="D7" s="1557"/>
      <c r="E7" s="1557"/>
      <c r="F7" s="1557"/>
      <c r="G7" s="145" t="s">
        <v>9</v>
      </c>
      <c r="H7" s="144" t="s">
        <v>728</v>
      </c>
      <c r="I7" s="144" t="s">
        <v>729</v>
      </c>
      <c r="J7" s="144" t="s">
        <v>9</v>
      </c>
    </row>
    <row r="8" spans="1:10">
      <c r="A8" s="1559"/>
      <c r="B8" s="1557"/>
      <c r="C8" s="1557"/>
      <c r="D8" s="1557"/>
      <c r="E8" s="1557"/>
      <c r="F8" s="1557"/>
      <c r="G8" s="145" t="s">
        <v>722</v>
      </c>
      <c r="H8" s="144" t="s">
        <v>730</v>
      </c>
      <c r="I8" s="144" t="s">
        <v>722</v>
      </c>
      <c r="J8" s="151" t="s">
        <v>447</v>
      </c>
    </row>
    <row r="9" spans="1:10">
      <c r="A9" s="93">
        <v>1</v>
      </c>
      <c r="B9" s="94" t="s">
        <v>20</v>
      </c>
      <c r="C9" s="95" t="s">
        <v>21</v>
      </c>
      <c r="D9" s="96">
        <v>793.24</v>
      </c>
      <c r="E9" s="97">
        <v>0</v>
      </c>
      <c r="F9" s="109">
        <f t="shared" ref="F9:F16" si="0">D9+E9</f>
        <v>793.24</v>
      </c>
      <c r="G9" s="99"/>
      <c r="H9" s="135"/>
      <c r="I9" s="157"/>
      <c r="J9" s="158"/>
    </row>
    <row r="10" spans="1:10" ht="20.25" customHeight="1">
      <c r="A10" s="93">
        <f>A9+1</f>
        <v>2</v>
      </c>
      <c r="B10" s="106" t="s">
        <v>22</v>
      </c>
      <c r="C10" s="107" t="s">
        <v>23</v>
      </c>
      <c r="D10" s="108">
        <v>1966.47</v>
      </c>
      <c r="E10" s="146">
        <v>102.5</v>
      </c>
      <c r="F10" s="109">
        <f>D10+E10</f>
        <v>2068.9700000000003</v>
      </c>
      <c r="G10" s="99">
        <f>+F10/2</f>
        <v>1034.4850000000001</v>
      </c>
      <c r="H10" s="153">
        <f>+'COSTO GRATIFICACIONES'!L10*2</f>
        <v>375.8628833333334</v>
      </c>
      <c r="I10" s="153">
        <f>SUM(G10:H10)</f>
        <v>1410.3478833333336</v>
      </c>
      <c r="J10" s="159">
        <f>+I10/12</f>
        <v>117.52899027777779</v>
      </c>
    </row>
    <row r="11" spans="1:10">
      <c r="A11" s="93">
        <f>A10+1</f>
        <v>3</v>
      </c>
      <c r="B11" s="111" t="s">
        <v>22</v>
      </c>
      <c r="C11" s="112" t="s">
        <v>25</v>
      </c>
      <c r="D11" s="108">
        <v>1588.02</v>
      </c>
      <c r="E11" s="97"/>
      <c r="F11" s="109">
        <f t="shared" si="0"/>
        <v>1588.02</v>
      </c>
      <c r="G11" s="99">
        <f t="shared" ref="G11:G16" si="1">+F11/2</f>
        <v>794.01</v>
      </c>
      <c r="H11" s="153">
        <f>+'COSTO GRATIFICACIONES'!L11*2</f>
        <v>288.49029999999999</v>
      </c>
      <c r="I11" s="153">
        <f t="shared" ref="I11:I16" si="2">SUM(G11:H11)</f>
        <v>1082.5002999999999</v>
      </c>
      <c r="J11" s="159">
        <f t="shared" ref="J11:J16" si="3">+I11/12</f>
        <v>90.208358333333322</v>
      </c>
    </row>
    <row r="12" spans="1:10" ht="18" customHeight="1">
      <c r="A12" s="93">
        <v>4</v>
      </c>
      <c r="B12" s="106" t="s">
        <v>30</v>
      </c>
      <c r="C12" s="107" t="s">
        <v>31</v>
      </c>
      <c r="D12" s="108">
        <v>830.15</v>
      </c>
      <c r="E12" s="97"/>
      <c r="F12" s="109">
        <f t="shared" si="0"/>
        <v>830.15</v>
      </c>
      <c r="G12" s="99">
        <f>+F12/2</f>
        <v>415.07499999999999</v>
      </c>
      <c r="H12" s="153">
        <f>+'COSTO GRATIFICACIONES'!L12*2</f>
        <v>150.81058333333331</v>
      </c>
      <c r="I12" s="153">
        <f t="shared" si="2"/>
        <v>565.88558333333333</v>
      </c>
      <c r="J12" s="159">
        <f t="shared" si="3"/>
        <v>47.157131944444444</v>
      </c>
    </row>
    <row r="13" spans="1:10">
      <c r="A13" s="93">
        <v>5</v>
      </c>
      <c r="B13" s="106" t="s">
        <v>723</v>
      </c>
      <c r="C13" s="112" t="s">
        <v>27</v>
      </c>
      <c r="D13" s="96">
        <v>1474.5900000000001</v>
      </c>
      <c r="E13" s="96">
        <v>0</v>
      </c>
      <c r="F13" s="109">
        <f t="shared" si="0"/>
        <v>1474.5900000000001</v>
      </c>
      <c r="G13" s="99">
        <f t="shared" si="1"/>
        <v>737.29500000000007</v>
      </c>
      <c r="H13" s="153">
        <f>+'COSTO GRATIFICACIONES'!L13*2</f>
        <v>267.88385</v>
      </c>
      <c r="I13" s="153">
        <f t="shared" si="2"/>
        <v>1005.17885</v>
      </c>
      <c r="J13" s="159">
        <f t="shared" si="3"/>
        <v>83.764904166666668</v>
      </c>
    </row>
    <row r="14" spans="1:10">
      <c r="A14" s="93">
        <v>6</v>
      </c>
      <c r="B14" s="106" t="s">
        <v>28</v>
      </c>
      <c r="C14" s="106" t="s">
        <v>29</v>
      </c>
      <c r="D14" s="96">
        <v>1025</v>
      </c>
      <c r="E14" s="96"/>
      <c r="F14" s="109">
        <f t="shared" si="0"/>
        <v>1025</v>
      </c>
      <c r="G14" s="99">
        <f t="shared" si="1"/>
        <v>512.5</v>
      </c>
      <c r="H14" s="153">
        <f>+'COSTO GRATIFICACIONES'!L14*2</f>
        <v>186.20833333333334</v>
      </c>
      <c r="I14" s="153">
        <f t="shared" si="2"/>
        <v>698.70833333333337</v>
      </c>
      <c r="J14" s="159">
        <f t="shared" si="3"/>
        <v>58.22569444444445</v>
      </c>
    </row>
    <row r="15" spans="1:10" ht="17.25" customHeight="1">
      <c r="A15" s="93">
        <v>7</v>
      </c>
      <c r="B15" s="106" t="s">
        <v>32</v>
      </c>
      <c r="C15" s="134" t="s">
        <v>33</v>
      </c>
      <c r="D15" s="108">
        <v>3000</v>
      </c>
      <c r="E15" s="146">
        <v>102.5</v>
      </c>
      <c r="F15" s="109">
        <f t="shared" si="0"/>
        <v>3102.5</v>
      </c>
      <c r="G15" s="99">
        <f t="shared" si="1"/>
        <v>1551.25</v>
      </c>
      <c r="H15" s="153">
        <f>+'COSTO GRATIFICACIONES'!L15*2</f>
        <v>563.62083333333328</v>
      </c>
      <c r="I15" s="153">
        <f t="shared" si="2"/>
        <v>2114.8708333333334</v>
      </c>
      <c r="J15" s="159">
        <f t="shared" si="3"/>
        <v>176.23923611111113</v>
      </c>
    </row>
    <row r="16" spans="1:10" ht="18" customHeight="1" thickBot="1">
      <c r="A16" s="93">
        <v>8</v>
      </c>
      <c r="B16" s="106" t="s">
        <v>20</v>
      </c>
      <c r="C16" s="134" t="s">
        <v>34</v>
      </c>
      <c r="D16" s="96">
        <v>1270.8</v>
      </c>
      <c r="E16" s="97"/>
      <c r="F16" s="109">
        <f t="shared" si="0"/>
        <v>1270.8</v>
      </c>
      <c r="G16" s="99">
        <f t="shared" si="1"/>
        <v>635.4</v>
      </c>
      <c r="H16" s="153">
        <f>+'COSTO GRATIFICACIONES'!L16*2</f>
        <v>230.86199999999999</v>
      </c>
      <c r="I16" s="153">
        <f t="shared" si="2"/>
        <v>866.26199999999994</v>
      </c>
      <c r="J16" s="159">
        <f t="shared" si="3"/>
        <v>72.188499999999991</v>
      </c>
    </row>
    <row r="17" spans="1:10" ht="15.75" thickBot="1">
      <c r="A17" s="125"/>
      <c r="B17" s="140"/>
      <c r="C17" s="141" t="s">
        <v>35</v>
      </c>
      <c r="D17" s="142">
        <f>SUM(D9:D16)</f>
        <v>11948.269999999999</v>
      </c>
      <c r="E17" s="143">
        <f>SUM(E9:E16)</f>
        <v>205</v>
      </c>
      <c r="F17" s="143">
        <f>SUM(F9:F16)</f>
        <v>12153.269999999999</v>
      </c>
      <c r="G17" s="143">
        <f>SUM(G9:G16)</f>
        <v>5680.0149999999994</v>
      </c>
      <c r="H17" s="154">
        <f>SUM(H10:H16)</f>
        <v>2063.7387833333332</v>
      </c>
      <c r="I17" s="154">
        <f>SUM(I10:I16)</f>
        <v>7743.7537833333326</v>
      </c>
      <c r="J17" s="143">
        <f>SUM(J10:J16)</f>
        <v>645.31281527777776</v>
      </c>
    </row>
    <row r="18" spans="1:10" ht="15.75">
      <c r="A18" s="84"/>
      <c r="B18" s="65"/>
      <c r="C18" s="65"/>
      <c r="D18" s="85"/>
      <c r="E18" s="65"/>
      <c r="F18" s="65"/>
      <c r="G18" s="82"/>
      <c r="H18" s="88"/>
      <c r="I18" s="88"/>
    </row>
    <row r="19" spans="1:10" ht="15.75">
      <c r="A19" s="84"/>
      <c r="B19" s="65"/>
      <c r="C19" s="65"/>
      <c r="D19" s="85"/>
      <c r="E19" s="65"/>
      <c r="F19" s="65"/>
      <c r="G19" s="82"/>
      <c r="H19" s="88"/>
      <c r="I19" s="88"/>
    </row>
    <row r="20" spans="1:10" ht="15" customHeight="1">
      <c r="A20" s="1559" t="s">
        <v>2</v>
      </c>
      <c r="B20" s="1557" t="s">
        <v>3</v>
      </c>
      <c r="C20" s="1557" t="s">
        <v>4</v>
      </c>
      <c r="D20" s="1557" t="s">
        <v>5</v>
      </c>
      <c r="E20" s="1557" t="s">
        <v>6</v>
      </c>
      <c r="F20" s="1557" t="s">
        <v>7</v>
      </c>
      <c r="G20" s="145" t="s">
        <v>726</v>
      </c>
      <c r="H20" s="160" t="s">
        <v>727</v>
      </c>
      <c r="I20" s="144" t="s">
        <v>125</v>
      </c>
      <c r="J20" s="144" t="s">
        <v>125</v>
      </c>
    </row>
    <row r="21" spans="1:10">
      <c r="A21" s="1559"/>
      <c r="B21" s="1557"/>
      <c r="C21" s="1557"/>
      <c r="D21" s="1557"/>
      <c r="E21" s="1557"/>
      <c r="F21" s="1557"/>
      <c r="G21" s="145" t="s">
        <v>9</v>
      </c>
      <c r="H21" s="144" t="s">
        <v>728</v>
      </c>
      <c r="I21" s="144" t="s">
        <v>729</v>
      </c>
      <c r="J21" s="144" t="s">
        <v>9</v>
      </c>
    </row>
    <row r="22" spans="1:10">
      <c r="A22" s="1559"/>
      <c r="B22" s="1557"/>
      <c r="C22" s="1557"/>
      <c r="D22" s="1557"/>
      <c r="E22" s="1557"/>
      <c r="F22" s="1557"/>
      <c r="G22" s="145" t="s">
        <v>722</v>
      </c>
      <c r="H22" s="144" t="s">
        <v>730</v>
      </c>
      <c r="I22" s="151" t="s">
        <v>722</v>
      </c>
      <c r="J22" s="144" t="s">
        <v>447</v>
      </c>
    </row>
    <row r="23" spans="1:10">
      <c r="A23" s="93">
        <v>1</v>
      </c>
      <c r="B23" s="94" t="s">
        <v>36</v>
      </c>
      <c r="C23" s="95" t="s">
        <v>724</v>
      </c>
      <c r="D23" s="96">
        <v>4208.6000000000004</v>
      </c>
      <c r="E23" s="97">
        <v>0</v>
      </c>
      <c r="F23" s="98">
        <f>D23+E23</f>
        <v>4208.6000000000004</v>
      </c>
      <c r="G23" s="99">
        <f>+F23/2</f>
        <v>2104.3000000000002</v>
      </c>
      <c r="H23" s="152">
        <f>+'COSTO GRATIFICACIONES'!L23*2</f>
        <v>1529.1246666666668</v>
      </c>
      <c r="I23" s="152">
        <f>SUM(G23:H23)</f>
        <v>3633.4246666666668</v>
      </c>
      <c r="J23" s="159">
        <f>+I23/12</f>
        <v>302.78538888888892</v>
      </c>
    </row>
    <row r="24" spans="1:10" ht="16.5" customHeight="1">
      <c r="A24" s="93">
        <f>A23+1</f>
        <v>2</v>
      </c>
      <c r="B24" s="94" t="s">
        <v>38</v>
      </c>
      <c r="C24" s="107" t="s">
        <v>39</v>
      </c>
      <c r="D24" s="108">
        <v>2081.4100000000003</v>
      </c>
      <c r="E24" s="146">
        <v>102.5</v>
      </c>
      <c r="F24" s="109">
        <f t="shared" ref="F24:F32" si="4">D24+E24</f>
        <v>2183.9100000000003</v>
      </c>
      <c r="G24" s="99">
        <f>+F24/2</f>
        <v>1091.9550000000002</v>
      </c>
      <c r="H24" s="152">
        <f>+'COSTO GRATIFICACIONES'!L24*2</f>
        <v>396.74365000000006</v>
      </c>
      <c r="I24" s="152">
        <f t="shared" ref="I24:I32" si="5">SUM(G24:H24)</f>
        <v>1488.6986500000003</v>
      </c>
      <c r="J24" s="159">
        <f t="shared" ref="J24:J32" si="6">+I24/12</f>
        <v>124.05822083333335</v>
      </c>
    </row>
    <row r="25" spans="1:10">
      <c r="A25" s="93">
        <f>A24+1</f>
        <v>3</v>
      </c>
      <c r="B25" s="94" t="s">
        <v>40</v>
      </c>
      <c r="C25" s="112" t="s">
        <v>41</v>
      </c>
      <c r="D25" s="108">
        <v>1588.02</v>
      </c>
      <c r="E25" s="97"/>
      <c r="F25" s="109">
        <f t="shared" si="4"/>
        <v>1588.02</v>
      </c>
      <c r="G25" s="99">
        <f t="shared" ref="G25:G32" si="7">+F25/2</f>
        <v>794.01</v>
      </c>
      <c r="H25" s="152">
        <f>+'COSTO GRATIFICACIONES'!L25*2</f>
        <v>288.49029999999999</v>
      </c>
      <c r="I25" s="152">
        <f t="shared" si="5"/>
        <v>1082.5002999999999</v>
      </c>
      <c r="J25" s="159">
        <f t="shared" si="6"/>
        <v>90.208358333333322</v>
      </c>
    </row>
    <row r="26" spans="1:10">
      <c r="A26" s="93">
        <v>4</v>
      </c>
      <c r="B26" s="94" t="s">
        <v>42</v>
      </c>
      <c r="C26" s="112" t="s">
        <v>43</v>
      </c>
      <c r="D26" s="96">
        <v>1474.6000000000001</v>
      </c>
      <c r="E26" s="96"/>
      <c r="F26" s="109">
        <f>D26+E26</f>
        <v>1474.6000000000001</v>
      </c>
      <c r="G26" s="99">
        <f t="shared" si="7"/>
        <v>737.30000000000007</v>
      </c>
      <c r="H26" s="152">
        <f>+'COSTO GRATIFICACIONES'!L26*2</f>
        <v>267.88566666666668</v>
      </c>
      <c r="I26" s="152">
        <f t="shared" si="5"/>
        <v>1005.1856666666667</v>
      </c>
      <c r="J26" s="159">
        <f t="shared" si="6"/>
        <v>83.765472222222229</v>
      </c>
    </row>
    <row r="27" spans="1:10">
      <c r="A27" s="93">
        <v>5</v>
      </c>
      <c r="B27" s="94" t="s">
        <v>44</v>
      </c>
      <c r="C27" s="112" t="s">
        <v>45</v>
      </c>
      <c r="D27" s="96">
        <v>1474.6000000000001</v>
      </c>
      <c r="E27" s="96">
        <v>0</v>
      </c>
      <c r="F27" s="109">
        <f t="shared" si="4"/>
        <v>1474.6000000000001</v>
      </c>
      <c r="G27" s="99">
        <f t="shared" si="7"/>
        <v>737.30000000000007</v>
      </c>
      <c r="H27" s="152">
        <f>+'COSTO GRATIFICACIONES'!L27*2</f>
        <v>267.88566666666668</v>
      </c>
      <c r="I27" s="152">
        <f t="shared" si="5"/>
        <v>1005.1856666666667</v>
      </c>
      <c r="J27" s="159">
        <f t="shared" si="6"/>
        <v>83.765472222222229</v>
      </c>
    </row>
    <row r="28" spans="1:10" ht="15.75" customHeight="1">
      <c r="A28" s="93">
        <v>6</v>
      </c>
      <c r="B28" s="94" t="s">
        <v>24</v>
      </c>
      <c r="C28" s="107" t="s">
        <v>46</v>
      </c>
      <c r="D28" s="108">
        <v>1701.45</v>
      </c>
      <c r="E28" s="97"/>
      <c r="F28" s="109">
        <f t="shared" si="4"/>
        <v>1701.45</v>
      </c>
      <c r="G28" s="99">
        <f t="shared" si="7"/>
        <v>850.72500000000002</v>
      </c>
      <c r="H28" s="152">
        <f>+'COSTO GRATIFICACIONES'!L28*2</f>
        <v>309.09674999999999</v>
      </c>
      <c r="I28" s="152">
        <f t="shared" si="5"/>
        <v>1159.8217500000001</v>
      </c>
      <c r="J28" s="159">
        <f t="shared" si="6"/>
        <v>96.651812500000005</v>
      </c>
    </row>
    <row r="29" spans="1:10" ht="20.25" customHeight="1">
      <c r="A29" s="93">
        <v>7</v>
      </c>
      <c r="B29" s="94" t="s">
        <v>30</v>
      </c>
      <c r="C29" s="107" t="s">
        <v>31</v>
      </c>
      <c r="D29" s="108">
        <v>830.15</v>
      </c>
      <c r="E29" s="97"/>
      <c r="F29" s="109">
        <f t="shared" si="4"/>
        <v>830.15</v>
      </c>
      <c r="G29" s="99">
        <f t="shared" si="7"/>
        <v>415.07499999999999</v>
      </c>
      <c r="H29" s="152">
        <f>+'COSTO GRATIFICACIONES'!L29*2</f>
        <v>150.81058333333331</v>
      </c>
      <c r="I29" s="152">
        <f t="shared" si="5"/>
        <v>565.88558333333333</v>
      </c>
      <c r="J29" s="159">
        <f t="shared" si="6"/>
        <v>47.157131944444444</v>
      </c>
    </row>
    <row r="30" spans="1:10">
      <c r="A30" s="93">
        <v>8</v>
      </c>
      <c r="B30" s="94" t="s">
        <v>24</v>
      </c>
      <c r="C30" s="112" t="s">
        <v>47</v>
      </c>
      <c r="D30" s="108">
        <v>2155.17</v>
      </c>
      <c r="E30" s="97"/>
      <c r="F30" s="109">
        <f t="shared" si="4"/>
        <v>2155.17</v>
      </c>
      <c r="G30" s="99">
        <f t="shared" si="7"/>
        <v>1077.585</v>
      </c>
      <c r="H30" s="152">
        <f>+'COSTO GRATIFICACIONES'!L30*2</f>
        <v>391.52254999999997</v>
      </c>
      <c r="I30" s="152">
        <f t="shared" si="5"/>
        <v>1469.1075499999999</v>
      </c>
      <c r="J30" s="159">
        <f t="shared" si="6"/>
        <v>122.42562916666667</v>
      </c>
    </row>
    <row r="31" spans="1:10">
      <c r="A31" s="93">
        <v>9</v>
      </c>
      <c r="B31" s="94" t="s">
        <v>28</v>
      </c>
      <c r="C31" s="106" t="s">
        <v>48</v>
      </c>
      <c r="D31" s="96">
        <v>1336.28</v>
      </c>
      <c r="E31" s="97"/>
      <c r="F31" s="109">
        <f t="shared" si="4"/>
        <v>1336.28</v>
      </c>
      <c r="G31" s="99">
        <f t="shared" si="7"/>
        <v>668.14</v>
      </c>
      <c r="H31" s="152">
        <f>+'COSTO GRATIFICACIONES'!L31*2</f>
        <v>242.75753333333333</v>
      </c>
      <c r="I31" s="152">
        <f t="shared" si="5"/>
        <v>910.89753333333329</v>
      </c>
      <c r="J31" s="159">
        <f t="shared" si="6"/>
        <v>75.908127777777779</v>
      </c>
    </row>
    <row r="32" spans="1:10" ht="15.75" thickBot="1">
      <c r="A32" s="93">
        <v>10</v>
      </c>
      <c r="B32" s="94" t="s">
        <v>22</v>
      </c>
      <c r="C32" s="106" t="s">
        <v>49</v>
      </c>
      <c r="D32" s="96">
        <v>1814.88</v>
      </c>
      <c r="E32" s="97"/>
      <c r="F32" s="109">
        <f t="shared" si="4"/>
        <v>1814.88</v>
      </c>
      <c r="G32" s="99">
        <f t="shared" si="7"/>
        <v>907.44</v>
      </c>
      <c r="H32" s="152">
        <f>+'COSTO GRATIFICACIONES'!L32*2</f>
        <v>329.70319999999998</v>
      </c>
      <c r="I32" s="152">
        <f t="shared" si="5"/>
        <v>1237.1432</v>
      </c>
      <c r="J32" s="159">
        <f t="shared" si="6"/>
        <v>103.09526666666666</v>
      </c>
    </row>
    <row r="33" spans="1:10" ht="15.75" thickBot="1">
      <c r="A33" s="125"/>
      <c r="B33" s="140"/>
      <c r="C33" s="141" t="s">
        <v>35</v>
      </c>
      <c r="D33" s="142">
        <f t="shared" ref="D33:J33" si="8">SUM(D23:D32)</f>
        <v>18665.160000000003</v>
      </c>
      <c r="E33" s="143">
        <f t="shared" si="8"/>
        <v>102.5</v>
      </c>
      <c r="F33" s="143">
        <f t="shared" si="8"/>
        <v>18767.660000000003</v>
      </c>
      <c r="G33" s="143">
        <f t="shared" si="8"/>
        <v>9383.8300000000017</v>
      </c>
      <c r="H33" s="154">
        <f t="shared" si="8"/>
        <v>4174.020566666667</v>
      </c>
      <c r="I33" s="143">
        <f t="shared" si="8"/>
        <v>13557.850566666666</v>
      </c>
      <c r="J33" s="143">
        <f t="shared" si="8"/>
        <v>1129.8208805555557</v>
      </c>
    </row>
    <row r="34" spans="1:10" ht="15.75" thickBot="1"/>
    <row r="35" spans="1:10" ht="15.75" thickBot="1">
      <c r="B35" s="140"/>
      <c r="C35" s="141" t="s">
        <v>35</v>
      </c>
      <c r="D35" s="142">
        <f>+D17+D33</f>
        <v>30613.43</v>
      </c>
    </row>
  </sheetData>
  <mergeCells count="13">
    <mergeCell ref="C2:H2"/>
    <mergeCell ref="A20:A22"/>
    <mergeCell ref="B20:B22"/>
    <mergeCell ref="C20:C22"/>
    <mergeCell ref="D20:D22"/>
    <mergeCell ref="E20:E22"/>
    <mergeCell ref="F20:F22"/>
    <mergeCell ref="A6:A8"/>
    <mergeCell ref="B6:B8"/>
    <mergeCell ref="C6:C8"/>
    <mergeCell ref="D6:D8"/>
    <mergeCell ref="E6:E8"/>
    <mergeCell ref="F6:F8"/>
  </mergeCells>
  <pageMargins left="0.7" right="0.7" top="0.75" bottom="0.75" header="0.3" footer="0.3"/>
  <pageSetup orientation="portrait" horizontalDpi="4294967292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0.499984740745262"/>
  </sheetPr>
  <dimension ref="A2:I35"/>
  <sheetViews>
    <sheetView workbookViewId="0">
      <selection activeCell="M4" sqref="M4"/>
    </sheetView>
  </sheetViews>
  <sheetFormatPr baseColWidth="10" defaultColWidth="11.42578125" defaultRowHeight="15"/>
  <cols>
    <col min="2" max="2" width="21.85546875" customWidth="1"/>
    <col min="3" max="3" width="29.85546875" customWidth="1"/>
    <col min="7" max="8" width="15.7109375" customWidth="1"/>
    <col min="9" max="9" width="16.42578125" customWidth="1"/>
  </cols>
  <sheetData>
    <row r="2" spans="1:9">
      <c r="C2" s="1561"/>
      <c r="D2" s="1561"/>
      <c r="E2" s="1561"/>
      <c r="F2" s="1561"/>
      <c r="G2" s="1561"/>
      <c r="H2" s="156"/>
    </row>
    <row r="4" spans="1:9" ht="15.75">
      <c r="A4" s="138" t="s">
        <v>0</v>
      </c>
      <c r="B4" s="139"/>
      <c r="C4" s="139"/>
      <c r="D4" s="137"/>
      <c r="E4" s="139"/>
      <c r="F4" s="139"/>
      <c r="G4" s="136"/>
      <c r="H4" s="136"/>
    </row>
    <row r="5" spans="1:9" ht="15.75">
      <c r="A5" s="84"/>
      <c r="B5" s="65"/>
      <c r="C5" s="65"/>
      <c r="D5" s="85"/>
      <c r="E5" s="139"/>
      <c r="F5" s="139"/>
      <c r="G5" s="147"/>
      <c r="H5" s="147"/>
    </row>
    <row r="6" spans="1:9">
      <c r="A6" s="1559" t="s">
        <v>2</v>
      </c>
      <c r="B6" s="1557" t="s">
        <v>3</v>
      </c>
      <c r="C6" s="1557" t="s">
        <v>4</v>
      </c>
      <c r="D6" s="1557" t="s">
        <v>5</v>
      </c>
      <c r="E6" s="1557" t="s">
        <v>6</v>
      </c>
      <c r="F6" s="1557" t="s">
        <v>7</v>
      </c>
      <c r="G6" s="145" t="s">
        <v>726</v>
      </c>
      <c r="H6" s="1557" t="s">
        <v>11</v>
      </c>
      <c r="I6" s="144" t="s">
        <v>125</v>
      </c>
    </row>
    <row r="7" spans="1:9">
      <c r="A7" s="1559"/>
      <c r="B7" s="1557"/>
      <c r="C7" s="1557"/>
      <c r="D7" s="1557"/>
      <c r="E7" s="1557"/>
      <c r="F7" s="1557"/>
      <c r="G7" s="145" t="s">
        <v>10</v>
      </c>
      <c r="H7" s="1557"/>
      <c r="I7" s="144" t="s">
        <v>10</v>
      </c>
    </row>
    <row r="8" spans="1:9">
      <c r="A8" s="1559"/>
      <c r="B8" s="1557"/>
      <c r="C8" s="1557"/>
      <c r="D8" s="1557"/>
      <c r="E8" s="1557"/>
      <c r="F8" s="1557"/>
      <c r="G8" s="145" t="s">
        <v>722</v>
      </c>
      <c r="H8" s="1557"/>
      <c r="I8" s="151" t="s">
        <v>447</v>
      </c>
    </row>
    <row r="9" spans="1:9">
      <c r="A9" s="93">
        <v>1</v>
      </c>
      <c r="B9" s="94" t="s">
        <v>20</v>
      </c>
      <c r="C9" s="95" t="s">
        <v>21</v>
      </c>
      <c r="D9" s="96">
        <v>794.01</v>
      </c>
      <c r="E9" s="97">
        <v>0</v>
      </c>
      <c r="F9" s="98">
        <f t="shared" ref="F9:F16" si="0">D9+E9</f>
        <v>794.01</v>
      </c>
      <c r="G9" s="99">
        <f>+F9/12/30*6</f>
        <v>13.233500000000003</v>
      </c>
      <c r="H9" s="99">
        <f>1025*9%</f>
        <v>92.25</v>
      </c>
      <c r="I9" s="159">
        <f>(+G9+H9)/12</f>
        <v>8.7902916666666666</v>
      </c>
    </row>
    <row r="10" spans="1:9" ht="20.25" customHeight="1">
      <c r="A10" s="93">
        <f>A9+1</f>
        <v>2</v>
      </c>
      <c r="B10" s="106" t="s">
        <v>22</v>
      </c>
      <c r="C10" s="107" t="s">
        <v>23</v>
      </c>
      <c r="D10" s="108">
        <v>1966.47</v>
      </c>
      <c r="E10" s="146">
        <v>102.5</v>
      </c>
      <c r="F10" s="109">
        <f>D10+E10</f>
        <v>2068.9700000000003</v>
      </c>
      <c r="G10" s="99">
        <f>+F10/2</f>
        <v>1034.4850000000001</v>
      </c>
      <c r="H10" s="99">
        <f>+G10*9%</f>
        <v>93.103650000000002</v>
      </c>
      <c r="I10" s="159">
        <f t="shared" ref="I10:I16" si="1">(+G10+H10)/12</f>
        <v>93.96572083333335</v>
      </c>
    </row>
    <row r="11" spans="1:9">
      <c r="A11" s="93">
        <f>A10+1</f>
        <v>3</v>
      </c>
      <c r="B11" s="111" t="s">
        <v>22</v>
      </c>
      <c r="C11" s="112" t="s">
        <v>25</v>
      </c>
      <c r="D11" s="108">
        <v>1588.02</v>
      </c>
      <c r="E11" s="97"/>
      <c r="F11" s="109">
        <f t="shared" si="0"/>
        <v>1588.02</v>
      </c>
      <c r="G11" s="99">
        <f t="shared" ref="G11:G16" si="2">+F11/2</f>
        <v>794.01</v>
      </c>
      <c r="H11" s="99">
        <f t="shared" ref="H11:H16" si="3">+G11*9%</f>
        <v>71.460899999999995</v>
      </c>
      <c r="I11" s="159">
        <f t="shared" si="1"/>
        <v>72.122574999999998</v>
      </c>
    </row>
    <row r="12" spans="1:9" ht="18" customHeight="1">
      <c r="A12" s="93">
        <v>4</v>
      </c>
      <c r="B12" s="106" t="s">
        <v>30</v>
      </c>
      <c r="C12" s="107" t="s">
        <v>31</v>
      </c>
      <c r="D12" s="108">
        <v>830.15</v>
      </c>
      <c r="E12" s="97"/>
      <c r="F12" s="109">
        <f t="shared" si="0"/>
        <v>830.15</v>
      </c>
      <c r="G12" s="99">
        <f t="shared" si="2"/>
        <v>415.07499999999999</v>
      </c>
      <c r="H12" s="99">
        <f t="shared" si="3"/>
        <v>37.356749999999998</v>
      </c>
      <c r="I12" s="159">
        <f t="shared" si="1"/>
        <v>37.702645833333328</v>
      </c>
    </row>
    <row r="13" spans="1:9">
      <c r="A13" s="93">
        <v>5</v>
      </c>
      <c r="B13" s="106" t="s">
        <v>723</v>
      </c>
      <c r="C13" s="112" t="s">
        <v>27</v>
      </c>
      <c r="D13" s="96">
        <v>1474.5900000000001</v>
      </c>
      <c r="E13" s="96">
        <v>0</v>
      </c>
      <c r="F13" s="109">
        <f t="shared" si="0"/>
        <v>1474.5900000000001</v>
      </c>
      <c r="G13" s="99">
        <f t="shared" si="2"/>
        <v>737.29500000000007</v>
      </c>
      <c r="H13" s="99">
        <f t="shared" si="3"/>
        <v>66.356549999999999</v>
      </c>
      <c r="I13" s="159">
        <f t="shared" si="1"/>
        <v>66.970962499999999</v>
      </c>
    </row>
    <row r="14" spans="1:9">
      <c r="A14" s="93">
        <v>6</v>
      </c>
      <c r="B14" s="106" t="s">
        <v>28</v>
      </c>
      <c r="C14" s="106" t="s">
        <v>29</v>
      </c>
      <c r="D14" s="96">
        <v>1025</v>
      </c>
      <c r="E14" s="96"/>
      <c r="F14" s="109">
        <f t="shared" si="0"/>
        <v>1025</v>
      </c>
      <c r="G14" s="99">
        <f t="shared" si="2"/>
        <v>512.5</v>
      </c>
      <c r="H14" s="99">
        <f t="shared" si="3"/>
        <v>46.125</v>
      </c>
      <c r="I14" s="159">
        <f t="shared" si="1"/>
        <v>46.552083333333336</v>
      </c>
    </row>
    <row r="15" spans="1:9" ht="17.25" customHeight="1">
      <c r="A15" s="93">
        <v>7</v>
      </c>
      <c r="B15" s="106" t="s">
        <v>32</v>
      </c>
      <c r="C15" s="134" t="s">
        <v>33</v>
      </c>
      <c r="D15" s="108">
        <v>3000</v>
      </c>
      <c r="E15" s="146">
        <v>102.5</v>
      </c>
      <c r="F15" s="109">
        <f t="shared" si="0"/>
        <v>3102.5</v>
      </c>
      <c r="G15" s="99">
        <f t="shared" si="2"/>
        <v>1551.25</v>
      </c>
      <c r="H15" s="99">
        <f t="shared" si="3"/>
        <v>139.61249999999998</v>
      </c>
      <c r="I15" s="159">
        <f t="shared" si="1"/>
        <v>140.90520833333332</v>
      </c>
    </row>
    <row r="16" spans="1:9" ht="18" customHeight="1" thickBot="1">
      <c r="A16" s="93">
        <v>8</v>
      </c>
      <c r="B16" s="106" t="s">
        <v>20</v>
      </c>
      <c r="C16" s="134" t="s">
        <v>34</v>
      </c>
      <c r="D16" s="96">
        <v>1270.8</v>
      </c>
      <c r="E16" s="97"/>
      <c r="F16" s="109">
        <f t="shared" si="0"/>
        <v>1270.8</v>
      </c>
      <c r="G16" s="99">
        <f t="shared" si="2"/>
        <v>635.4</v>
      </c>
      <c r="H16" s="99">
        <f t="shared" si="3"/>
        <v>57.185999999999993</v>
      </c>
      <c r="I16" s="159">
        <f t="shared" si="1"/>
        <v>57.715499999999999</v>
      </c>
    </row>
    <row r="17" spans="1:9" ht="15.75" thickBot="1">
      <c r="A17" s="125"/>
      <c r="B17" s="140"/>
      <c r="C17" s="141" t="s">
        <v>35</v>
      </c>
      <c r="D17" s="142">
        <f>SUM(D9:D16)</f>
        <v>11949.039999999999</v>
      </c>
      <c r="E17" s="143">
        <f>SUM(E9:E16)</f>
        <v>205</v>
      </c>
      <c r="F17" s="143">
        <f>SUM(F9:F16)</f>
        <v>12154.039999999999</v>
      </c>
      <c r="G17" s="143">
        <f>SUM(G9:G16)</f>
        <v>5693.2484999999997</v>
      </c>
      <c r="H17" s="143">
        <f>SUM(H10:H16)</f>
        <v>511.20134999999999</v>
      </c>
      <c r="I17" s="143">
        <f>SUM(I9:I16)</f>
        <v>524.7249875</v>
      </c>
    </row>
    <row r="18" spans="1:9" ht="15.75">
      <c r="A18" s="84"/>
      <c r="B18" s="65"/>
      <c r="C18" s="65"/>
      <c r="D18" s="85"/>
      <c r="E18" s="65"/>
      <c r="F18" s="65"/>
      <c r="G18" s="82"/>
      <c r="H18" s="82"/>
    </row>
    <row r="19" spans="1:9" ht="15.75">
      <c r="A19" s="84"/>
      <c r="B19" s="65"/>
      <c r="C19" s="65"/>
      <c r="D19" s="85"/>
      <c r="E19" s="65"/>
      <c r="F19" s="65"/>
      <c r="G19" s="82"/>
      <c r="H19" s="82"/>
    </row>
    <row r="20" spans="1:9" ht="15" customHeight="1">
      <c r="A20" s="1559" t="s">
        <v>2</v>
      </c>
      <c r="B20" s="1557" t="s">
        <v>3</v>
      </c>
      <c r="C20" s="1557" t="s">
        <v>4</v>
      </c>
      <c r="D20" s="1557" t="s">
        <v>5</v>
      </c>
      <c r="E20" s="1557" t="s">
        <v>6</v>
      </c>
      <c r="F20" s="1557" t="s">
        <v>7</v>
      </c>
      <c r="G20" s="145" t="s">
        <v>726</v>
      </c>
      <c r="H20" s="1557" t="s">
        <v>11</v>
      </c>
      <c r="I20" s="144" t="s">
        <v>125</v>
      </c>
    </row>
    <row r="21" spans="1:9">
      <c r="A21" s="1559"/>
      <c r="B21" s="1557"/>
      <c r="C21" s="1557"/>
      <c r="D21" s="1557"/>
      <c r="E21" s="1557"/>
      <c r="F21" s="1557"/>
      <c r="G21" s="145" t="s">
        <v>731</v>
      </c>
      <c r="H21" s="1557"/>
      <c r="I21" s="144" t="s">
        <v>10</v>
      </c>
    </row>
    <row r="22" spans="1:9">
      <c r="A22" s="1559"/>
      <c r="B22" s="1557"/>
      <c r="C22" s="1557"/>
      <c r="D22" s="1557"/>
      <c r="E22" s="1557"/>
      <c r="F22" s="1557"/>
      <c r="G22" s="145" t="s">
        <v>722</v>
      </c>
      <c r="H22" s="1557"/>
      <c r="I22" s="151" t="s">
        <v>447</v>
      </c>
    </row>
    <row r="23" spans="1:9">
      <c r="A23" s="93">
        <v>1</v>
      </c>
      <c r="B23" s="94" t="s">
        <v>36</v>
      </c>
      <c r="C23" s="95" t="s">
        <v>724</v>
      </c>
      <c r="D23" s="96">
        <v>4208.6000000000004</v>
      </c>
      <c r="E23" s="97">
        <v>0</v>
      </c>
      <c r="F23" s="98">
        <f>D23+E23</f>
        <v>4208.6000000000004</v>
      </c>
      <c r="G23" s="99">
        <f>+F23*1</f>
        <v>4208.6000000000004</v>
      </c>
      <c r="H23" s="99">
        <f>+G23*9%</f>
        <v>378.774</v>
      </c>
      <c r="I23" s="159">
        <f>(+G23+H23)/12</f>
        <v>382.28116666666671</v>
      </c>
    </row>
    <row r="24" spans="1:9" ht="16.5" customHeight="1">
      <c r="A24" s="93">
        <f>A23+1</f>
        <v>2</v>
      </c>
      <c r="B24" s="94" t="s">
        <v>38</v>
      </c>
      <c r="C24" s="107" t="s">
        <v>39</v>
      </c>
      <c r="D24" s="108">
        <v>2081.4100000000003</v>
      </c>
      <c r="E24" s="146">
        <v>102.5</v>
      </c>
      <c r="F24" s="109">
        <f t="shared" ref="F24:F32" si="4">D24+E24</f>
        <v>2183.9100000000003</v>
      </c>
      <c r="G24" s="99">
        <f>+F24/2</f>
        <v>1091.9550000000002</v>
      </c>
      <c r="H24" s="99">
        <f t="shared" ref="H24:H32" si="5">+G24*9%</f>
        <v>98.275950000000009</v>
      </c>
      <c r="I24" s="159">
        <f t="shared" ref="I24:I32" si="6">(+G24+H24)/12</f>
        <v>99.185912500000015</v>
      </c>
    </row>
    <row r="25" spans="1:9">
      <c r="A25" s="93">
        <f>A24+1</f>
        <v>3</v>
      </c>
      <c r="B25" s="94" t="s">
        <v>40</v>
      </c>
      <c r="C25" s="112" t="s">
        <v>41</v>
      </c>
      <c r="D25" s="108">
        <v>1588.02</v>
      </c>
      <c r="E25" s="97"/>
      <c r="F25" s="109">
        <f t="shared" si="4"/>
        <v>1588.02</v>
      </c>
      <c r="G25" s="99">
        <f t="shared" ref="G25:G32" si="7">+F25/2</f>
        <v>794.01</v>
      </c>
      <c r="H25" s="99">
        <f t="shared" si="5"/>
        <v>71.460899999999995</v>
      </c>
      <c r="I25" s="159">
        <f t="shared" si="6"/>
        <v>72.122574999999998</v>
      </c>
    </row>
    <row r="26" spans="1:9">
      <c r="A26" s="93">
        <v>4</v>
      </c>
      <c r="B26" s="94" t="s">
        <v>42</v>
      </c>
      <c r="C26" s="112" t="s">
        <v>43</v>
      </c>
      <c r="D26" s="96">
        <v>1474.6000000000001</v>
      </c>
      <c r="E26" s="96"/>
      <c r="F26" s="109">
        <f>D26+E26</f>
        <v>1474.6000000000001</v>
      </c>
      <c r="G26" s="99">
        <f t="shared" si="7"/>
        <v>737.30000000000007</v>
      </c>
      <c r="H26" s="99">
        <f t="shared" si="5"/>
        <v>66.356999999999999</v>
      </c>
      <c r="I26" s="159">
        <f t="shared" si="6"/>
        <v>66.97141666666667</v>
      </c>
    </row>
    <row r="27" spans="1:9">
      <c r="A27" s="93">
        <v>5</v>
      </c>
      <c r="B27" s="94" t="s">
        <v>44</v>
      </c>
      <c r="C27" s="112" t="s">
        <v>45</v>
      </c>
      <c r="D27" s="96">
        <v>1474.6000000000001</v>
      </c>
      <c r="E27" s="96">
        <v>0</v>
      </c>
      <c r="F27" s="109">
        <f t="shared" si="4"/>
        <v>1474.6000000000001</v>
      </c>
      <c r="G27" s="99">
        <f t="shared" si="7"/>
        <v>737.30000000000007</v>
      </c>
      <c r="H27" s="99">
        <f t="shared" si="5"/>
        <v>66.356999999999999</v>
      </c>
      <c r="I27" s="159">
        <f t="shared" si="6"/>
        <v>66.97141666666667</v>
      </c>
    </row>
    <row r="28" spans="1:9" ht="15.75" customHeight="1">
      <c r="A28" s="93">
        <v>6</v>
      </c>
      <c r="B28" s="94" t="s">
        <v>24</v>
      </c>
      <c r="C28" s="107" t="s">
        <v>46</v>
      </c>
      <c r="D28" s="108">
        <v>1701.45</v>
      </c>
      <c r="E28" s="97"/>
      <c r="F28" s="109">
        <f t="shared" si="4"/>
        <v>1701.45</v>
      </c>
      <c r="G28" s="99">
        <f t="shared" si="7"/>
        <v>850.72500000000002</v>
      </c>
      <c r="H28" s="99">
        <f t="shared" si="5"/>
        <v>76.565250000000006</v>
      </c>
      <c r="I28" s="159">
        <f t="shared" si="6"/>
        <v>77.274187499999996</v>
      </c>
    </row>
    <row r="29" spans="1:9" ht="20.25" customHeight="1">
      <c r="A29" s="93">
        <v>7</v>
      </c>
      <c r="B29" s="94" t="s">
        <v>30</v>
      </c>
      <c r="C29" s="107" t="s">
        <v>31</v>
      </c>
      <c r="D29" s="108">
        <v>830.15</v>
      </c>
      <c r="E29" s="97"/>
      <c r="F29" s="109">
        <f t="shared" si="4"/>
        <v>830.15</v>
      </c>
      <c r="G29" s="99">
        <f t="shared" si="7"/>
        <v>415.07499999999999</v>
      </c>
      <c r="H29" s="99">
        <f t="shared" si="5"/>
        <v>37.356749999999998</v>
      </c>
      <c r="I29" s="159">
        <f t="shared" si="6"/>
        <v>37.702645833333328</v>
      </c>
    </row>
    <row r="30" spans="1:9">
      <c r="A30" s="93">
        <v>8</v>
      </c>
      <c r="B30" s="94" t="s">
        <v>24</v>
      </c>
      <c r="C30" s="112" t="s">
        <v>47</v>
      </c>
      <c r="D30" s="108">
        <v>2155.17</v>
      </c>
      <c r="E30" s="97"/>
      <c r="F30" s="109">
        <f t="shared" si="4"/>
        <v>2155.17</v>
      </c>
      <c r="G30" s="99">
        <f t="shared" si="7"/>
        <v>1077.585</v>
      </c>
      <c r="H30" s="99">
        <f t="shared" si="5"/>
        <v>96.982650000000007</v>
      </c>
      <c r="I30" s="159">
        <f t="shared" si="6"/>
        <v>97.880637499999992</v>
      </c>
    </row>
    <row r="31" spans="1:9">
      <c r="A31" s="93">
        <v>9</v>
      </c>
      <c r="B31" s="94" t="s">
        <v>28</v>
      </c>
      <c r="C31" s="106" t="s">
        <v>48</v>
      </c>
      <c r="D31" s="96">
        <v>1336.28</v>
      </c>
      <c r="E31" s="97"/>
      <c r="F31" s="109">
        <f t="shared" si="4"/>
        <v>1336.28</v>
      </c>
      <c r="G31" s="99">
        <f t="shared" si="7"/>
        <v>668.14</v>
      </c>
      <c r="H31" s="99">
        <f t="shared" si="5"/>
        <v>60.132599999999996</v>
      </c>
      <c r="I31" s="159">
        <f t="shared" si="6"/>
        <v>60.689383333333332</v>
      </c>
    </row>
    <row r="32" spans="1:9" ht="15.75" thickBot="1">
      <c r="A32" s="93">
        <v>10</v>
      </c>
      <c r="B32" s="94" t="s">
        <v>22</v>
      </c>
      <c r="C32" s="106" t="s">
        <v>49</v>
      </c>
      <c r="D32" s="96">
        <v>1814.88</v>
      </c>
      <c r="E32" s="97"/>
      <c r="F32" s="109">
        <f t="shared" si="4"/>
        <v>1814.88</v>
      </c>
      <c r="G32" s="99">
        <f t="shared" si="7"/>
        <v>907.44</v>
      </c>
      <c r="H32" s="99">
        <f t="shared" si="5"/>
        <v>81.669600000000003</v>
      </c>
      <c r="I32" s="159">
        <f t="shared" si="6"/>
        <v>82.425799999999995</v>
      </c>
    </row>
    <row r="33" spans="1:9" ht="15.75" thickBot="1">
      <c r="A33" s="125"/>
      <c r="B33" s="140"/>
      <c r="C33" s="141" t="s">
        <v>35</v>
      </c>
      <c r="D33" s="142">
        <f t="shared" ref="D33:I33" si="8">SUM(D23:D32)</f>
        <v>18665.160000000003</v>
      </c>
      <c r="E33" s="143">
        <f t="shared" si="8"/>
        <v>102.5</v>
      </c>
      <c r="F33" s="143">
        <f t="shared" si="8"/>
        <v>18767.660000000003</v>
      </c>
      <c r="G33" s="143">
        <f t="shared" si="8"/>
        <v>11488.130000000003</v>
      </c>
      <c r="H33" s="143">
        <f t="shared" si="8"/>
        <v>1033.9317000000001</v>
      </c>
      <c r="I33" s="143">
        <f t="shared" si="8"/>
        <v>1043.5051416666668</v>
      </c>
    </row>
    <row r="34" spans="1:9" ht="15.75" thickBot="1"/>
    <row r="35" spans="1:9" ht="15.75" thickBot="1">
      <c r="B35" s="140"/>
      <c r="C35" s="141" t="s">
        <v>35</v>
      </c>
      <c r="D35" s="142">
        <f>+D17+D33</f>
        <v>30614.200000000004</v>
      </c>
    </row>
  </sheetData>
  <mergeCells count="15">
    <mergeCell ref="C2:G2"/>
    <mergeCell ref="A6:A8"/>
    <mergeCell ref="B6:B8"/>
    <mergeCell ref="C6:C8"/>
    <mergeCell ref="D6:D8"/>
    <mergeCell ref="E6:E8"/>
    <mergeCell ref="F6:F8"/>
    <mergeCell ref="H6:H8"/>
    <mergeCell ref="H20:H22"/>
    <mergeCell ref="A20:A22"/>
    <mergeCell ref="B20:B22"/>
    <mergeCell ref="C20:C22"/>
    <mergeCell ref="D20:D22"/>
    <mergeCell ref="E20:E22"/>
    <mergeCell ref="F20:F2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 tint="0.499984740745262"/>
    <pageSetUpPr fitToPage="1"/>
  </sheetPr>
  <dimension ref="B4:V39"/>
  <sheetViews>
    <sheetView workbookViewId="0">
      <selection activeCell="B5" sqref="B5:D17"/>
    </sheetView>
  </sheetViews>
  <sheetFormatPr baseColWidth="10" defaultColWidth="11.42578125" defaultRowHeight="15"/>
  <cols>
    <col min="1" max="1" width="4" customWidth="1"/>
    <col min="2" max="2" width="7.140625" customWidth="1"/>
    <col min="3" max="3" width="22.28515625" customWidth="1"/>
    <col min="4" max="4" width="36.85546875" customWidth="1"/>
    <col min="7" max="7" width="12.28515625" customWidth="1"/>
    <col min="8" max="8" width="16.5703125" customWidth="1"/>
    <col min="9" max="9" width="18.5703125" customWidth="1"/>
    <col min="11" max="11" width="18.140625" customWidth="1"/>
    <col min="12" max="12" width="13.85546875" customWidth="1"/>
    <col min="15" max="15" width="6.5703125" customWidth="1"/>
    <col min="19" max="19" width="4.7109375" customWidth="1"/>
  </cols>
  <sheetData>
    <row r="4" spans="2:22" ht="15.75">
      <c r="B4" s="138" t="s">
        <v>0</v>
      </c>
      <c r="C4" s="139"/>
      <c r="D4" s="139"/>
      <c r="E4" s="137"/>
      <c r="F4" s="139"/>
      <c r="G4" s="139"/>
      <c r="H4" s="139"/>
      <c r="I4" s="136"/>
    </row>
    <row r="5" spans="2:22" ht="15.75">
      <c r="B5" s="138" t="s">
        <v>732</v>
      </c>
      <c r="C5" s="139"/>
      <c r="D5" s="139"/>
      <c r="E5" s="137"/>
      <c r="F5" s="139"/>
      <c r="G5" s="139"/>
      <c r="H5" s="139"/>
      <c r="I5" s="136"/>
    </row>
    <row r="6" spans="2:22" ht="15.75">
      <c r="B6" s="84"/>
      <c r="C6" s="65"/>
      <c r="D6" s="65"/>
      <c r="E6" s="85"/>
      <c r="F6" s="139"/>
      <c r="G6" s="139"/>
      <c r="H6" s="139"/>
      <c r="I6" s="147"/>
    </row>
    <row r="7" spans="2:22" ht="15" customHeight="1">
      <c r="B7" s="1559" t="s">
        <v>2</v>
      </c>
      <c r="C7" s="1557" t="s">
        <v>3</v>
      </c>
      <c r="D7" s="1557" t="s">
        <v>4</v>
      </c>
      <c r="E7" s="1557" t="s">
        <v>5</v>
      </c>
      <c r="F7" s="1557" t="s">
        <v>6</v>
      </c>
      <c r="G7" s="1557" t="s">
        <v>7</v>
      </c>
      <c r="H7" s="144" t="s">
        <v>733</v>
      </c>
      <c r="I7" s="145" t="s">
        <v>734</v>
      </c>
      <c r="J7" s="144" t="s">
        <v>734</v>
      </c>
      <c r="K7" s="144" t="s">
        <v>734</v>
      </c>
      <c r="L7" s="1551" t="s">
        <v>12</v>
      </c>
      <c r="M7" s="1551" t="s">
        <v>13</v>
      </c>
      <c r="N7" s="1551" t="s">
        <v>14</v>
      </c>
      <c r="P7" s="1558" t="s">
        <v>16</v>
      </c>
      <c r="Q7" s="1558" t="s">
        <v>17</v>
      </c>
      <c r="R7" s="1558" t="s">
        <v>18</v>
      </c>
      <c r="T7" s="1562" t="s">
        <v>735</v>
      </c>
      <c r="U7" s="1562" t="s">
        <v>736</v>
      </c>
      <c r="V7" s="1562" t="s">
        <v>737</v>
      </c>
    </row>
    <row r="8" spans="2:22">
      <c r="B8" s="1559"/>
      <c r="C8" s="1557"/>
      <c r="D8" s="1557"/>
      <c r="E8" s="1557"/>
      <c r="F8" s="1557"/>
      <c r="G8" s="1557"/>
      <c r="H8" s="144" t="s">
        <v>11</v>
      </c>
      <c r="I8" s="145" t="s">
        <v>738</v>
      </c>
      <c r="J8" s="144" t="s">
        <v>9</v>
      </c>
      <c r="K8" s="144" t="s">
        <v>135</v>
      </c>
      <c r="L8" s="1552"/>
      <c r="M8" s="1552"/>
      <c r="N8" s="1552"/>
      <c r="P8" s="1558"/>
      <c r="Q8" s="1558"/>
      <c r="R8" s="1558"/>
      <c r="T8" s="1563"/>
      <c r="U8" s="1563"/>
      <c r="V8" s="1563"/>
    </row>
    <row r="9" spans="2:22">
      <c r="B9" s="1559"/>
      <c r="C9" s="1557"/>
      <c r="D9" s="1557"/>
      <c r="E9" s="1557"/>
      <c r="F9" s="1557"/>
      <c r="G9" s="1557"/>
      <c r="H9" s="162">
        <v>0.09</v>
      </c>
      <c r="I9" s="145" t="s">
        <v>447</v>
      </c>
      <c r="J9" s="151" t="s">
        <v>447</v>
      </c>
      <c r="K9" s="151" t="s">
        <v>447</v>
      </c>
      <c r="L9" s="1553"/>
      <c r="M9" s="1553"/>
      <c r="N9" s="1553"/>
      <c r="P9" s="1558"/>
      <c r="Q9" s="1558"/>
      <c r="R9" s="1558"/>
      <c r="T9" s="1564"/>
      <c r="U9" s="1564"/>
      <c r="V9" s="1564"/>
    </row>
    <row r="10" spans="2:22">
      <c r="B10" s="93">
        <v>1</v>
      </c>
      <c r="C10" s="94" t="s">
        <v>739</v>
      </c>
      <c r="D10" s="95" t="s">
        <v>21</v>
      </c>
      <c r="E10" s="96">
        <v>793.24</v>
      </c>
      <c r="F10" s="97">
        <v>0</v>
      </c>
      <c r="G10" s="109">
        <f>E10+F10</f>
        <v>793.24</v>
      </c>
      <c r="H10" s="161">
        <f>1025*9%</f>
        <v>92.25</v>
      </c>
      <c r="I10" s="99">
        <f>+'COSTO GRATIFICACIONES'!L9</f>
        <v>72.052633333333333</v>
      </c>
      <c r="J10" s="163">
        <f>+'COSTO CTS '!J9</f>
        <v>0</v>
      </c>
      <c r="K10" s="159">
        <f>+'COSTO VACACIONES'!I9</f>
        <v>8.7902916666666666</v>
      </c>
      <c r="L10" s="168">
        <f t="shared" ref="L10:L17" si="0">+G10+I10+J10+K10+H10</f>
        <v>966.33292500000005</v>
      </c>
      <c r="M10" s="161">
        <f>+L10/30</f>
        <v>32.211097500000001</v>
      </c>
      <c r="N10" s="159">
        <f>+M10/4</f>
        <v>8.0527743750000003</v>
      </c>
      <c r="P10" s="173">
        <f>+G10*11.84%</f>
        <v>93.919616000000005</v>
      </c>
      <c r="Q10" s="173">
        <v>0</v>
      </c>
      <c r="R10" s="174">
        <f t="shared" ref="R10:R15" si="1">+G10-P10</f>
        <v>699.32038399999999</v>
      </c>
      <c r="T10" s="192">
        <v>349.66</v>
      </c>
      <c r="U10" s="192">
        <v>699.32</v>
      </c>
      <c r="V10" s="197">
        <v>3.839999999399879E-4</v>
      </c>
    </row>
    <row r="11" spans="2:22" ht="20.25" customHeight="1">
      <c r="B11" s="93">
        <f>B10+1</f>
        <v>2</v>
      </c>
      <c r="C11" s="106" t="s">
        <v>22</v>
      </c>
      <c r="D11" s="107" t="s">
        <v>23</v>
      </c>
      <c r="E11" s="108">
        <v>1966.47</v>
      </c>
      <c r="F11" s="146">
        <v>102.5</v>
      </c>
      <c r="G11" s="109">
        <f>E11+F11</f>
        <v>2068.9700000000003</v>
      </c>
      <c r="H11" s="161">
        <f t="shared" ref="H11:H17" si="2">+G11*9%</f>
        <v>186.2073</v>
      </c>
      <c r="I11" s="99">
        <f>+'COSTO GRATIFICACIONES'!L10</f>
        <v>187.9314416666667</v>
      </c>
      <c r="J11" s="159">
        <f>+'COSTO CTS '!J10</f>
        <v>117.52899027777779</v>
      </c>
      <c r="K11" s="159">
        <f>+'COSTO VACACIONES'!I10</f>
        <v>93.96572083333335</v>
      </c>
      <c r="L11" s="168">
        <f t="shared" si="0"/>
        <v>2654.6034527777779</v>
      </c>
      <c r="M11" s="161">
        <f>+L11/30</f>
        <v>88.486781759259259</v>
      </c>
      <c r="N11" s="159">
        <f>+M11/8</f>
        <v>11.060847719907407</v>
      </c>
      <c r="P11" s="173">
        <f>+G11*13%</f>
        <v>268.96610000000004</v>
      </c>
      <c r="Q11" s="158"/>
      <c r="R11" s="174">
        <f t="shared" si="1"/>
        <v>1800.0039000000002</v>
      </c>
      <c r="T11" s="192">
        <v>900</v>
      </c>
      <c r="U11" s="192">
        <v>1800</v>
      </c>
      <c r="V11" s="197">
        <v>3.90000000015789E-3</v>
      </c>
    </row>
    <row r="12" spans="2:22">
      <c r="B12" s="93">
        <f>B11+1</f>
        <v>3</v>
      </c>
      <c r="C12" s="111" t="s">
        <v>22</v>
      </c>
      <c r="D12" s="112" t="s">
        <v>25</v>
      </c>
      <c r="E12" s="108">
        <v>1588.02</v>
      </c>
      <c r="F12" s="97"/>
      <c r="G12" s="109">
        <f t="shared" ref="G12:G17" si="3">E12+F12</f>
        <v>1588.02</v>
      </c>
      <c r="H12" s="161">
        <f t="shared" si="2"/>
        <v>142.92179999999999</v>
      </c>
      <c r="I12" s="99">
        <f>+'COSTO GRATIFICACIONES'!L11</f>
        <v>144.24515</v>
      </c>
      <c r="J12" s="159">
        <f>+'COSTO CTS '!J11</f>
        <v>90.208358333333322</v>
      </c>
      <c r="K12" s="159">
        <f>+'COSTO VACACIONES'!I11</f>
        <v>72.122574999999998</v>
      </c>
      <c r="L12" s="168">
        <f t="shared" si="0"/>
        <v>2037.5178833333334</v>
      </c>
      <c r="M12" s="161">
        <f t="shared" ref="M12:M17" si="4">+L12/30</f>
        <v>67.917262777777779</v>
      </c>
      <c r="N12" s="159">
        <f t="shared" ref="N12:N17" si="5">+M12/8</f>
        <v>8.4896578472222224</v>
      </c>
      <c r="P12" s="173">
        <f>+G12*11.84%</f>
        <v>188.021568</v>
      </c>
      <c r="Q12" s="158"/>
      <c r="R12" s="174">
        <f t="shared" si="1"/>
        <v>1399.9984319999999</v>
      </c>
      <c r="T12" s="192">
        <v>700.75</v>
      </c>
      <c r="U12" s="192">
        <v>1401.5</v>
      </c>
      <c r="V12" s="197">
        <v>-1.5015680000001339</v>
      </c>
    </row>
    <row r="13" spans="2:22" s="185" customFormat="1" ht="21" customHeight="1">
      <c r="B13" s="176">
        <v>4</v>
      </c>
      <c r="C13" s="177" t="s">
        <v>30</v>
      </c>
      <c r="D13" s="178" t="s">
        <v>31</v>
      </c>
      <c r="E13" s="175">
        <v>830.15</v>
      </c>
      <c r="F13" s="179"/>
      <c r="G13" s="180">
        <f>E13+F13</f>
        <v>830.15</v>
      </c>
      <c r="H13" s="181">
        <f t="shared" si="2"/>
        <v>74.713499999999996</v>
      </c>
      <c r="I13" s="182">
        <f>+'COSTO GRATIFICACIONES'!L12</f>
        <v>75.405291666666656</v>
      </c>
      <c r="J13" s="183">
        <f>+'COSTO CTS '!J12</f>
        <v>47.157131944444444</v>
      </c>
      <c r="K13" s="183">
        <f>+'COSTO VACACIONES'!I12</f>
        <v>37.702645833333328</v>
      </c>
      <c r="L13" s="184">
        <f>+G13+I13+J13+K13+H13</f>
        <v>1065.1285694444446</v>
      </c>
      <c r="M13" s="181">
        <f t="shared" si="4"/>
        <v>35.504285648148155</v>
      </c>
      <c r="N13" s="183">
        <f t="shared" si="5"/>
        <v>4.4380357060185194</v>
      </c>
      <c r="P13" s="186">
        <f>+G13*13.39%</f>
        <v>111.15708500000001</v>
      </c>
      <c r="Q13" s="187"/>
      <c r="R13" s="188">
        <f t="shared" si="1"/>
        <v>718.99291499999993</v>
      </c>
      <c r="T13" s="193">
        <v>359.49</v>
      </c>
      <c r="U13" s="192">
        <v>718.98</v>
      </c>
      <c r="V13" s="197">
        <v>1.2915000000020882E-2</v>
      </c>
    </row>
    <row r="14" spans="2:22">
      <c r="B14" s="93">
        <v>5</v>
      </c>
      <c r="C14" s="106" t="s">
        <v>723</v>
      </c>
      <c r="D14" s="112" t="s">
        <v>27</v>
      </c>
      <c r="E14" s="96">
        <v>1474.5900000000001</v>
      </c>
      <c r="F14" s="96">
        <v>0</v>
      </c>
      <c r="G14" s="109">
        <f t="shared" si="3"/>
        <v>1474.5900000000001</v>
      </c>
      <c r="H14" s="161">
        <f t="shared" si="2"/>
        <v>132.7131</v>
      </c>
      <c r="I14" s="99">
        <f>+'COSTO GRATIFICACIONES'!L13</f>
        <v>133.941925</v>
      </c>
      <c r="J14" s="159">
        <f>+'COSTO CTS '!J13</f>
        <v>83.764904166666668</v>
      </c>
      <c r="K14" s="159">
        <f>+'COSTO VACACIONES'!I13</f>
        <v>66.970962499999999</v>
      </c>
      <c r="L14" s="168">
        <f t="shared" si="0"/>
        <v>1891.9808916666668</v>
      </c>
      <c r="M14" s="161">
        <f t="shared" si="4"/>
        <v>63.066029722222225</v>
      </c>
      <c r="N14" s="159">
        <f t="shared" si="5"/>
        <v>7.8832537152777782</v>
      </c>
      <c r="P14" s="191">
        <f>+G14*11.84%</f>
        <v>174.59145600000002</v>
      </c>
      <c r="Q14" s="158"/>
      <c r="R14" s="174">
        <f t="shared" si="1"/>
        <v>1299.998544</v>
      </c>
      <c r="T14" s="192">
        <v>650</v>
      </c>
      <c r="U14" s="192">
        <v>1300</v>
      </c>
      <c r="V14" s="197">
        <v>-1.4559999999619322E-3</v>
      </c>
    </row>
    <row r="15" spans="2:22">
      <c r="B15" s="93">
        <v>6</v>
      </c>
      <c r="C15" s="106" t="s">
        <v>28</v>
      </c>
      <c r="D15" s="106" t="s">
        <v>29</v>
      </c>
      <c r="E15" s="96">
        <v>1025</v>
      </c>
      <c r="F15" s="96"/>
      <c r="G15" s="109">
        <f t="shared" si="3"/>
        <v>1025</v>
      </c>
      <c r="H15" s="161">
        <f t="shared" si="2"/>
        <v>92.25</v>
      </c>
      <c r="I15" s="99">
        <f>+'COSTO GRATIFICACIONES'!L14</f>
        <v>93.104166666666671</v>
      </c>
      <c r="J15" s="159">
        <f>+'COSTO CTS '!J14</f>
        <v>58.22569444444445</v>
      </c>
      <c r="K15" s="159">
        <f>+'COSTO VACACIONES'!I14</f>
        <v>46.552083333333336</v>
      </c>
      <c r="L15" s="168">
        <f t="shared" si="0"/>
        <v>1315.1319444444443</v>
      </c>
      <c r="M15" s="161">
        <f t="shared" si="4"/>
        <v>43.837731481481477</v>
      </c>
      <c r="N15" s="159">
        <f t="shared" si="5"/>
        <v>5.4797164351851846</v>
      </c>
      <c r="P15" s="191">
        <f>+G15*11.84%</f>
        <v>121.36</v>
      </c>
      <c r="Q15" s="158"/>
      <c r="R15" s="174">
        <f t="shared" si="1"/>
        <v>903.64</v>
      </c>
      <c r="T15" s="192">
        <v>451.82</v>
      </c>
      <c r="U15" s="192">
        <v>903.64</v>
      </c>
      <c r="V15" s="197">
        <v>0</v>
      </c>
    </row>
    <row r="16" spans="2:22" ht="18.75" customHeight="1">
      <c r="B16" s="93">
        <v>7</v>
      </c>
      <c r="C16" s="106" t="s">
        <v>32</v>
      </c>
      <c r="D16" s="134" t="s">
        <v>33</v>
      </c>
      <c r="E16" s="108">
        <v>3000</v>
      </c>
      <c r="F16" s="146">
        <v>102.5</v>
      </c>
      <c r="G16" s="109">
        <f t="shared" si="3"/>
        <v>3102.5</v>
      </c>
      <c r="H16" s="161">
        <f t="shared" si="2"/>
        <v>279.22499999999997</v>
      </c>
      <c r="I16" s="99">
        <f>+'COSTO GRATIFICACIONES'!L15</f>
        <v>281.81041666666664</v>
      </c>
      <c r="J16" s="159">
        <f>+'COSTO CTS '!J15</f>
        <v>176.23923611111113</v>
      </c>
      <c r="K16" s="159">
        <f>+'COSTO VACACIONES'!I15</f>
        <v>140.90520833333332</v>
      </c>
      <c r="L16" s="168">
        <f t="shared" si="0"/>
        <v>3980.6798611111108</v>
      </c>
      <c r="M16" s="161">
        <f t="shared" si="4"/>
        <v>132.68932870370369</v>
      </c>
      <c r="N16" s="159">
        <f t="shared" si="5"/>
        <v>16.586166087962962</v>
      </c>
      <c r="P16" s="191">
        <f>+G16*13.44%</f>
        <v>416.976</v>
      </c>
      <c r="Q16" s="173">
        <v>40</v>
      </c>
      <c r="R16" s="174">
        <f>+G16-P16-Q16</f>
        <v>2645.5239999999999</v>
      </c>
      <c r="T16" s="194"/>
      <c r="U16" s="194"/>
      <c r="V16" s="195"/>
    </row>
    <row r="17" spans="2:22" ht="18.75" customHeight="1" thickBot="1">
      <c r="B17" s="93">
        <v>8</v>
      </c>
      <c r="C17" s="106" t="s">
        <v>20</v>
      </c>
      <c r="D17" s="134" t="s">
        <v>34</v>
      </c>
      <c r="E17" s="96">
        <v>1270.8</v>
      </c>
      <c r="F17" s="97"/>
      <c r="G17" s="109">
        <f t="shared" si="3"/>
        <v>1270.8</v>
      </c>
      <c r="H17" s="161">
        <f t="shared" si="2"/>
        <v>114.37199999999999</v>
      </c>
      <c r="I17" s="99">
        <f>+'COSTO GRATIFICACIONES'!L16</f>
        <v>115.431</v>
      </c>
      <c r="J17" s="159">
        <f>+'COSTO CTS '!J16</f>
        <v>72.188499999999991</v>
      </c>
      <c r="K17" s="159">
        <f>+'COSTO VACACIONES'!I16</f>
        <v>57.715499999999999</v>
      </c>
      <c r="L17" s="168">
        <f t="shared" si="0"/>
        <v>1630.5070000000001</v>
      </c>
      <c r="M17" s="161">
        <f t="shared" si="4"/>
        <v>54.350233333333335</v>
      </c>
      <c r="N17" s="159">
        <f t="shared" si="5"/>
        <v>6.7937791666666669</v>
      </c>
      <c r="P17" s="191">
        <f>+G17*13.44%</f>
        <v>170.79551999999998</v>
      </c>
      <c r="Q17" s="171"/>
      <c r="R17" s="174">
        <f>+G17-P17</f>
        <v>1100.0044800000001</v>
      </c>
      <c r="T17" s="194"/>
      <c r="U17" s="194"/>
      <c r="V17" s="196"/>
    </row>
    <row r="18" spans="2:22" ht="15.75" thickBot="1">
      <c r="B18" s="125"/>
      <c r="C18" s="140"/>
      <c r="D18" s="141" t="s">
        <v>35</v>
      </c>
      <c r="E18" s="142">
        <f t="shared" ref="E18:N18" si="6">SUM(E10:E17)</f>
        <v>11948.269999999999</v>
      </c>
      <c r="F18" s="143">
        <f t="shared" si="6"/>
        <v>205</v>
      </c>
      <c r="G18" s="143">
        <f t="shared" si="6"/>
        <v>12153.269999999999</v>
      </c>
      <c r="H18" s="154">
        <f t="shared" si="6"/>
        <v>1114.6527000000001</v>
      </c>
      <c r="I18" s="143">
        <f t="shared" si="6"/>
        <v>1103.9220250000001</v>
      </c>
      <c r="J18" s="143">
        <f t="shared" si="6"/>
        <v>645.31281527777776</v>
      </c>
      <c r="K18" s="143">
        <f t="shared" si="6"/>
        <v>524.7249875</v>
      </c>
      <c r="L18" s="154">
        <f t="shared" si="6"/>
        <v>15541.882527777778</v>
      </c>
      <c r="M18" s="154">
        <f t="shared" si="6"/>
        <v>518.06275092592591</v>
      </c>
      <c r="N18" s="143">
        <f t="shared" si="6"/>
        <v>68.784231053240745</v>
      </c>
      <c r="P18" s="143">
        <f>SUM(P10:P17)</f>
        <v>1545.787345</v>
      </c>
      <c r="Q18" s="172"/>
      <c r="R18" s="143">
        <f>SUM(R10:R17)</f>
        <v>10567.482655</v>
      </c>
      <c r="T18" s="194"/>
      <c r="U18" s="194"/>
      <c r="V18" s="196"/>
    </row>
    <row r="19" spans="2:22">
      <c r="B19" s="125"/>
      <c r="C19" s="198"/>
      <c r="D19" s="199"/>
      <c r="E19" s="200"/>
      <c r="F19" s="201"/>
      <c r="G19" s="201"/>
      <c r="H19" s="201"/>
      <c r="I19" s="201"/>
      <c r="J19" s="201"/>
      <c r="K19" s="201"/>
      <c r="L19" s="201"/>
      <c r="M19" s="201"/>
      <c r="N19" s="201"/>
      <c r="P19" s="201"/>
      <c r="R19" s="201"/>
      <c r="T19" s="164"/>
      <c r="U19" s="164"/>
      <c r="V19" s="165"/>
    </row>
    <row r="20" spans="2:22">
      <c r="B20" s="125"/>
      <c r="C20" s="198"/>
      <c r="D20" s="199"/>
      <c r="E20" s="200"/>
      <c r="F20" s="201"/>
      <c r="G20" s="201"/>
      <c r="H20" s="201"/>
      <c r="I20" s="201"/>
      <c r="J20" s="201"/>
      <c r="K20" s="201"/>
      <c r="L20" s="201"/>
      <c r="M20" s="201"/>
      <c r="N20" s="201"/>
      <c r="P20" s="201"/>
      <c r="R20" s="201"/>
      <c r="T20" s="164"/>
      <c r="U20" s="164"/>
      <c r="V20" s="165"/>
    </row>
    <row r="21" spans="2:22" ht="15.75">
      <c r="B21" s="84"/>
      <c r="C21" s="65"/>
      <c r="D21" s="65"/>
      <c r="E21" s="85"/>
      <c r="F21" s="65"/>
      <c r="G21" s="65"/>
      <c r="H21" s="65"/>
      <c r="I21" s="82"/>
      <c r="L21" t="s">
        <v>740</v>
      </c>
    </row>
    <row r="22" spans="2:22" ht="15.75">
      <c r="B22" s="138" t="s">
        <v>741</v>
      </c>
      <c r="C22" s="65"/>
      <c r="D22" s="65"/>
      <c r="E22" s="85"/>
      <c r="F22" s="65"/>
      <c r="G22" s="65"/>
      <c r="H22" s="65"/>
      <c r="I22" s="82"/>
      <c r="T22" s="166"/>
      <c r="U22" s="166"/>
      <c r="V22" s="166"/>
    </row>
    <row r="23" spans="2:22" ht="15" customHeight="1">
      <c r="B23" s="1559" t="s">
        <v>2</v>
      </c>
      <c r="C23" s="1557" t="s">
        <v>3</v>
      </c>
      <c r="D23" s="1557" t="s">
        <v>4</v>
      </c>
      <c r="E23" s="1557" t="s">
        <v>5</v>
      </c>
      <c r="F23" s="1557" t="s">
        <v>6</v>
      </c>
      <c r="G23" s="1557" t="s">
        <v>7</v>
      </c>
      <c r="H23" s="144" t="s">
        <v>733</v>
      </c>
      <c r="I23" s="145" t="s">
        <v>734</v>
      </c>
      <c r="J23" s="144" t="s">
        <v>734</v>
      </c>
      <c r="K23" s="144" t="s">
        <v>734</v>
      </c>
      <c r="L23" s="1551" t="s">
        <v>12</v>
      </c>
      <c r="M23" s="1551" t="s">
        <v>13</v>
      </c>
      <c r="N23" s="1551" t="s">
        <v>14</v>
      </c>
      <c r="P23" s="1558" t="s">
        <v>16</v>
      </c>
      <c r="Q23" s="1558" t="s">
        <v>17</v>
      </c>
      <c r="R23" s="1558" t="s">
        <v>18</v>
      </c>
      <c r="T23" s="1562" t="s">
        <v>735</v>
      </c>
      <c r="U23" s="1562" t="s">
        <v>736</v>
      </c>
      <c r="V23" s="1562" t="s">
        <v>737</v>
      </c>
    </row>
    <row r="24" spans="2:22">
      <c r="B24" s="1559"/>
      <c r="C24" s="1557"/>
      <c r="D24" s="1557"/>
      <c r="E24" s="1557"/>
      <c r="F24" s="1557"/>
      <c r="G24" s="1557"/>
      <c r="H24" s="144" t="s">
        <v>11</v>
      </c>
      <c r="I24" s="145" t="s">
        <v>738</v>
      </c>
      <c r="J24" s="144" t="s">
        <v>9</v>
      </c>
      <c r="K24" s="144" t="s">
        <v>135</v>
      </c>
      <c r="L24" s="1552"/>
      <c r="M24" s="1552"/>
      <c r="N24" s="1552"/>
      <c r="P24" s="1558"/>
      <c r="Q24" s="1558"/>
      <c r="R24" s="1558"/>
      <c r="T24" s="1563"/>
      <c r="U24" s="1563"/>
      <c r="V24" s="1563"/>
    </row>
    <row r="25" spans="2:22">
      <c r="B25" s="1559"/>
      <c r="C25" s="1557"/>
      <c r="D25" s="1557"/>
      <c r="E25" s="1557"/>
      <c r="F25" s="1557"/>
      <c r="G25" s="1557"/>
      <c r="H25" s="162">
        <v>0.09</v>
      </c>
      <c r="I25" s="145" t="s">
        <v>447</v>
      </c>
      <c r="J25" s="151" t="s">
        <v>447</v>
      </c>
      <c r="K25" s="151" t="s">
        <v>447</v>
      </c>
      <c r="L25" s="1553"/>
      <c r="M25" s="1553"/>
      <c r="N25" s="1553"/>
      <c r="P25" s="1558"/>
      <c r="Q25" s="1558"/>
      <c r="R25" s="1558"/>
      <c r="T25" s="1564"/>
      <c r="U25" s="1564"/>
      <c r="V25" s="1564"/>
    </row>
    <row r="26" spans="2:22">
      <c r="B26" s="93">
        <v>1</v>
      </c>
      <c r="C26" s="94" t="s">
        <v>742</v>
      </c>
      <c r="D26" s="95" t="s">
        <v>743</v>
      </c>
      <c r="E26" s="96">
        <v>4208.6000000000004</v>
      </c>
      <c r="F26" s="97">
        <v>0</v>
      </c>
      <c r="G26" s="98">
        <f>E26+F26</f>
        <v>4208.6000000000004</v>
      </c>
      <c r="H26" s="161">
        <f t="shared" ref="H26:H35" si="7">+G26*9%</f>
        <v>378.774</v>
      </c>
      <c r="I26" s="99">
        <f>+'COSTO GRATIFICACIONES'!L23</f>
        <v>764.56233333333341</v>
      </c>
      <c r="J26" s="159">
        <f>+'COSTO CTS '!J23</f>
        <v>302.78538888888892</v>
      </c>
      <c r="K26" s="159">
        <f>+'COSTO VACACIONES'!I23</f>
        <v>382.28116666666671</v>
      </c>
      <c r="L26" s="169">
        <f t="shared" ref="L26:L35" si="8">+G26+I26+J26+K26+H26</f>
        <v>6037.0028888888892</v>
      </c>
      <c r="M26" s="161">
        <f>+L26/30</f>
        <v>201.23342962962963</v>
      </c>
      <c r="N26" s="159">
        <f>+M26/8</f>
        <v>25.154178703703703</v>
      </c>
      <c r="P26" s="173">
        <f>+G26*11.84%</f>
        <v>498.29824000000008</v>
      </c>
      <c r="Q26" s="173">
        <v>177</v>
      </c>
      <c r="R26" s="174">
        <f t="shared" ref="R26:R31" si="9">+G26-P26-Q26</f>
        <v>3533.3017600000003</v>
      </c>
      <c r="T26" s="158">
        <v>1766.65</v>
      </c>
      <c r="U26" s="158">
        <v>3533.3</v>
      </c>
      <c r="V26" s="173">
        <v>1.7600000001039007E-3</v>
      </c>
    </row>
    <row r="27" spans="2:22" ht="19.5" customHeight="1">
      <c r="B27" s="93">
        <f>B26+1</f>
        <v>2</v>
      </c>
      <c r="C27" s="94" t="s">
        <v>38</v>
      </c>
      <c r="D27" s="107" t="s">
        <v>39</v>
      </c>
      <c r="E27" s="108">
        <v>2081.4100000000003</v>
      </c>
      <c r="F27" s="146">
        <v>102.5</v>
      </c>
      <c r="G27" s="109">
        <f t="shared" ref="G27:G35" si="10">E27+F27</f>
        <v>2183.9100000000003</v>
      </c>
      <c r="H27" s="161">
        <f t="shared" si="7"/>
        <v>196.55190000000002</v>
      </c>
      <c r="I27" s="99">
        <f>+'COSTO GRATIFICACIONES'!L24</f>
        <v>198.37182500000003</v>
      </c>
      <c r="J27" s="159">
        <f>+'COSTO CTS '!J24</f>
        <v>124.05822083333335</v>
      </c>
      <c r="K27" s="159">
        <f>+'COSTO VACACIONES'!I24</f>
        <v>99.185912500000015</v>
      </c>
      <c r="L27" s="169">
        <f t="shared" si="8"/>
        <v>2802.077858333334</v>
      </c>
      <c r="M27" s="161">
        <f t="shared" ref="M27:M35" si="11">+L27/30</f>
        <v>93.402595277777806</v>
      </c>
      <c r="N27" s="159">
        <f t="shared" ref="N27:N35" si="12">+M27/8</f>
        <v>11.675324409722226</v>
      </c>
      <c r="P27" s="173">
        <f>+G27*13%</f>
        <v>283.90830000000005</v>
      </c>
      <c r="Q27" s="158"/>
      <c r="R27" s="174">
        <f t="shared" si="9"/>
        <v>1900.0017000000003</v>
      </c>
      <c r="T27" s="158">
        <v>800</v>
      </c>
      <c r="U27" s="158">
        <v>1600</v>
      </c>
      <c r="V27" s="173">
        <v>300.00170000000026</v>
      </c>
    </row>
    <row r="28" spans="2:22">
      <c r="B28" s="93">
        <f>B27+1</f>
        <v>3</v>
      </c>
      <c r="C28" s="94" t="s">
        <v>40</v>
      </c>
      <c r="D28" s="112" t="s">
        <v>41</v>
      </c>
      <c r="E28" s="108">
        <v>1588.02</v>
      </c>
      <c r="F28" s="97"/>
      <c r="G28" s="109">
        <f t="shared" si="10"/>
        <v>1588.02</v>
      </c>
      <c r="H28" s="161">
        <f t="shared" si="7"/>
        <v>142.92179999999999</v>
      </c>
      <c r="I28" s="99">
        <f>+'COSTO GRATIFICACIONES'!L25</f>
        <v>144.24515</v>
      </c>
      <c r="J28" s="159">
        <f>+'COSTO CTS '!J25</f>
        <v>90.208358333333322</v>
      </c>
      <c r="K28" s="159">
        <f>+'COSTO VACACIONES'!I25</f>
        <v>72.122574999999998</v>
      </c>
      <c r="L28" s="169">
        <f t="shared" si="8"/>
        <v>2037.5178833333334</v>
      </c>
      <c r="M28" s="161">
        <f t="shared" si="11"/>
        <v>67.917262777777779</v>
      </c>
      <c r="N28" s="159">
        <f t="shared" si="12"/>
        <v>8.4896578472222224</v>
      </c>
      <c r="P28" s="173">
        <f t="shared" ref="P28:P36" si="13">+G28*11.84%</f>
        <v>188.021568</v>
      </c>
      <c r="Q28" s="158"/>
      <c r="R28" s="174">
        <f t="shared" si="9"/>
        <v>1399.9984319999999</v>
      </c>
      <c r="T28" s="158">
        <v>700.55</v>
      </c>
      <c r="U28" s="158">
        <v>1401.1</v>
      </c>
      <c r="V28" s="173">
        <v>-1.101568000000043</v>
      </c>
    </row>
    <row r="29" spans="2:22">
      <c r="B29" s="93">
        <v>4</v>
      </c>
      <c r="C29" s="94" t="s">
        <v>744</v>
      </c>
      <c r="D29" s="112" t="s">
        <v>43</v>
      </c>
      <c r="E29" s="96">
        <v>1474.6000000000001</v>
      </c>
      <c r="F29" s="96"/>
      <c r="G29" s="109">
        <f>E29+F29</f>
        <v>1474.6000000000001</v>
      </c>
      <c r="H29" s="161">
        <f t="shared" si="7"/>
        <v>132.714</v>
      </c>
      <c r="I29" s="99">
        <f>+'COSTO GRATIFICACIONES'!L26</f>
        <v>133.94283333333334</v>
      </c>
      <c r="J29" s="159">
        <f>+'COSTO CTS '!J26</f>
        <v>83.765472222222229</v>
      </c>
      <c r="K29" s="159">
        <f>+'COSTO VACACIONES'!I26</f>
        <v>66.97141666666667</v>
      </c>
      <c r="L29" s="169">
        <f t="shared" si="8"/>
        <v>1891.9937222222225</v>
      </c>
      <c r="M29" s="161">
        <f t="shared" si="11"/>
        <v>63.066457407407412</v>
      </c>
      <c r="N29" s="159">
        <f t="shared" si="12"/>
        <v>7.8833071759259266</v>
      </c>
      <c r="P29" s="173">
        <f t="shared" si="13"/>
        <v>174.59264000000002</v>
      </c>
      <c r="Q29" s="158"/>
      <c r="R29" s="174">
        <f t="shared" si="9"/>
        <v>1300.0073600000001</v>
      </c>
      <c r="T29" s="158">
        <v>650.89</v>
      </c>
      <c r="U29" s="158">
        <v>1301.78</v>
      </c>
      <c r="V29" s="173">
        <v>-1.7726399999999103</v>
      </c>
    </row>
    <row r="30" spans="2:22">
      <c r="B30" s="93">
        <v>5</v>
      </c>
      <c r="C30" s="94" t="s">
        <v>44</v>
      </c>
      <c r="D30" s="112" t="s">
        <v>45</v>
      </c>
      <c r="E30" s="96">
        <v>1474.6000000000001</v>
      </c>
      <c r="F30" s="96">
        <v>0</v>
      </c>
      <c r="G30" s="109">
        <f t="shared" si="10"/>
        <v>1474.6000000000001</v>
      </c>
      <c r="H30" s="161">
        <f t="shared" si="7"/>
        <v>132.714</v>
      </c>
      <c r="I30" s="99">
        <f>+'COSTO GRATIFICACIONES'!L27</f>
        <v>133.94283333333334</v>
      </c>
      <c r="J30" s="159">
        <f>+'COSTO CTS '!J27</f>
        <v>83.765472222222229</v>
      </c>
      <c r="K30" s="159">
        <f>+'COSTO VACACIONES'!I27</f>
        <v>66.97141666666667</v>
      </c>
      <c r="L30" s="169">
        <f t="shared" si="8"/>
        <v>1891.9937222222225</v>
      </c>
      <c r="M30" s="161">
        <f t="shared" si="11"/>
        <v>63.066457407407412</v>
      </c>
      <c r="N30" s="159">
        <f t="shared" si="12"/>
        <v>7.8833071759259266</v>
      </c>
      <c r="P30" s="173">
        <f t="shared" si="13"/>
        <v>174.59264000000002</v>
      </c>
      <c r="Q30" s="158"/>
      <c r="R30" s="174">
        <f t="shared" si="9"/>
        <v>1300.0073600000001</v>
      </c>
      <c r="T30" s="158">
        <v>649.36</v>
      </c>
      <c r="U30" s="158">
        <v>1298.72</v>
      </c>
      <c r="V30" s="173">
        <v>1.2873600000000351</v>
      </c>
    </row>
    <row r="31" spans="2:22" ht="18.75" customHeight="1">
      <c r="B31" s="93">
        <v>6</v>
      </c>
      <c r="C31" s="94" t="s">
        <v>24</v>
      </c>
      <c r="D31" s="107" t="s">
        <v>46</v>
      </c>
      <c r="E31" s="108">
        <v>1701.45</v>
      </c>
      <c r="F31" s="97"/>
      <c r="G31" s="109">
        <f t="shared" si="10"/>
        <v>1701.45</v>
      </c>
      <c r="H31" s="161">
        <f t="shared" si="7"/>
        <v>153.13050000000001</v>
      </c>
      <c r="I31" s="99">
        <f>+'COSTO GRATIFICACIONES'!L28</f>
        <v>154.54837499999999</v>
      </c>
      <c r="J31" s="159">
        <f>+'COSTO CTS '!J28</f>
        <v>96.651812500000005</v>
      </c>
      <c r="K31" s="159">
        <f>+'COSTO VACACIONES'!I28</f>
        <v>77.274187499999996</v>
      </c>
      <c r="L31" s="169">
        <f t="shared" si="8"/>
        <v>2183.0548750000003</v>
      </c>
      <c r="M31" s="161">
        <f t="shared" si="11"/>
        <v>72.768495833333347</v>
      </c>
      <c r="N31" s="159">
        <f t="shared" si="12"/>
        <v>9.0960619791666684</v>
      </c>
      <c r="P31" s="173">
        <f t="shared" si="13"/>
        <v>201.45168000000001</v>
      </c>
      <c r="Q31" s="158"/>
      <c r="R31" s="174">
        <f t="shared" si="9"/>
        <v>1499.9983200000001</v>
      </c>
      <c r="T31" s="158">
        <v>749.2</v>
      </c>
      <c r="U31" s="158">
        <v>1498.4</v>
      </c>
      <c r="V31" s="173">
        <v>1.5983200000000579</v>
      </c>
    </row>
    <row r="32" spans="2:22" s="185" customFormat="1" ht="18" customHeight="1">
      <c r="B32" s="176">
        <v>7</v>
      </c>
      <c r="C32" s="189" t="s">
        <v>30</v>
      </c>
      <c r="D32" s="178" t="s">
        <v>31</v>
      </c>
      <c r="E32" s="175">
        <v>830.15</v>
      </c>
      <c r="F32" s="179"/>
      <c r="G32" s="180">
        <f t="shared" si="10"/>
        <v>830.15</v>
      </c>
      <c r="H32" s="181">
        <f>+G32*9%</f>
        <v>74.713499999999996</v>
      </c>
      <c r="I32" s="182">
        <f>+'COSTO GRATIFICACIONES'!L29</f>
        <v>75.405291666666656</v>
      </c>
      <c r="J32" s="183">
        <f>+'COSTO CTS '!J29</f>
        <v>47.157131944444444</v>
      </c>
      <c r="K32" s="183">
        <f>+'COSTO VACACIONES'!I29</f>
        <v>37.702645833333328</v>
      </c>
      <c r="L32" s="190">
        <f t="shared" si="8"/>
        <v>1065.1285694444446</v>
      </c>
      <c r="M32" s="181">
        <f t="shared" si="11"/>
        <v>35.504285648148155</v>
      </c>
      <c r="N32" s="183">
        <f t="shared" si="12"/>
        <v>4.4380357060185194</v>
      </c>
      <c r="P32" s="173">
        <f>+G32*13.39%</f>
        <v>111.15708500000001</v>
      </c>
      <c r="Q32" s="187"/>
      <c r="R32" s="188">
        <f>+G32-P32</f>
        <v>718.99291499999993</v>
      </c>
      <c r="T32" s="187">
        <v>359.49</v>
      </c>
      <c r="U32" s="187">
        <v>718.98</v>
      </c>
      <c r="V32" s="186">
        <v>1.2915000000020882E-2</v>
      </c>
    </row>
    <row r="33" spans="2:22">
      <c r="B33" s="93">
        <v>8</v>
      </c>
      <c r="C33" s="94" t="s">
        <v>24</v>
      </c>
      <c r="D33" s="112" t="s">
        <v>47</v>
      </c>
      <c r="E33" s="108">
        <v>2155.17</v>
      </c>
      <c r="F33" s="97"/>
      <c r="G33" s="109">
        <f t="shared" si="10"/>
        <v>2155.17</v>
      </c>
      <c r="H33" s="161">
        <f t="shared" si="7"/>
        <v>193.96530000000001</v>
      </c>
      <c r="I33" s="99">
        <f>+'COSTO GRATIFICACIONES'!L30</f>
        <v>195.76127499999998</v>
      </c>
      <c r="J33" s="159">
        <f>+'COSTO CTS '!J30</f>
        <v>122.42562916666667</v>
      </c>
      <c r="K33" s="159">
        <f>+'COSTO VACACIONES'!I30</f>
        <v>97.880637499999992</v>
      </c>
      <c r="L33" s="169">
        <f t="shared" si="8"/>
        <v>2765.2028416666662</v>
      </c>
      <c r="M33" s="161">
        <f t="shared" si="11"/>
        <v>92.173428055555547</v>
      </c>
      <c r="N33" s="159">
        <f t="shared" si="12"/>
        <v>11.521678506944443</v>
      </c>
      <c r="P33" s="173">
        <f t="shared" si="13"/>
        <v>255.17212800000001</v>
      </c>
      <c r="Q33" s="158"/>
      <c r="R33" s="174">
        <f>+G33-P33</f>
        <v>1899.9978720000001</v>
      </c>
      <c r="T33" s="158">
        <v>950.69</v>
      </c>
      <c r="U33" s="158">
        <v>1901.38</v>
      </c>
      <c r="V33" s="173">
        <v>-1.3821280000001934</v>
      </c>
    </row>
    <row r="34" spans="2:22">
      <c r="B34" s="93">
        <v>9</v>
      </c>
      <c r="C34" s="94" t="s">
        <v>28</v>
      </c>
      <c r="D34" s="106" t="s">
        <v>48</v>
      </c>
      <c r="E34" s="96">
        <v>1336.28</v>
      </c>
      <c r="F34" s="97"/>
      <c r="G34" s="109">
        <f t="shared" si="10"/>
        <v>1336.28</v>
      </c>
      <c r="H34" s="161">
        <f t="shared" si="7"/>
        <v>120.26519999999999</v>
      </c>
      <c r="I34" s="99">
        <f>+'COSTO GRATIFICACIONES'!L31</f>
        <v>121.37876666666666</v>
      </c>
      <c r="J34" s="159">
        <f>+'COSTO CTS '!J31</f>
        <v>75.908127777777779</v>
      </c>
      <c r="K34" s="159">
        <f>+'COSTO VACACIONES'!I31</f>
        <v>60.689383333333332</v>
      </c>
      <c r="L34" s="169">
        <f t="shared" si="8"/>
        <v>1714.5214777777778</v>
      </c>
      <c r="M34" s="161">
        <f t="shared" si="11"/>
        <v>57.15071592592593</v>
      </c>
      <c r="N34" s="159">
        <f t="shared" si="12"/>
        <v>7.1438394907407412</v>
      </c>
      <c r="P34" s="173">
        <f t="shared" si="13"/>
        <v>158.215552</v>
      </c>
      <c r="Q34" s="158"/>
      <c r="R34" s="174">
        <f>+G34-P34</f>
        <v>1178.0644480000001</v>
      </c>
      <c r="T34" s="158">
        <v>589.03</v>
      </c>
      <c r="U34" s="158">
        <v>1178.06</v>
      </c>
      <c r="V34" s="173">
        <v>4.4480000001385633E-3</v>
      </c>
    </row>
    <row r="35" spans="2:22" ht="15.75" thickBot="1">
      <c r="B35" s="93">
        <v>10</v>
      </c>
      <c r="C35" s="94" t="s">
        <v>22</v>
      </c>
      <c r="D35" s="106" t="s">
        <v>49</v>
      </c>
      <c r="E35" s="96">
        <v>1814.88</v>
      </c>
      <c r="F35" s="97"/>
      <c r="G35" s="109">
        <f t="shared" si="10"/>
        <v>1814.88</v>
      </c>
      <c r="H35" s="161">
        <f t="shared" si="7"/>
        <v>163.33920000000001</v>
      </c>
      <c r="I35" s="99">
        <f>+'COSTO GRATIFICACIONES'!L32</f>
        <v>164.85159999999999</v>
      </c>
      <c r="J35" s="159">
        <f>+'COSTO CTS '!J32</f>
        <v>103.09526666666666</v>
      </c>
      <c r="K35" s="159">
        <f>+'COSTO VACACIONES'!I32</f>
        <v>82.425799999999995</v>
      </c>
      <c r="L35" s="169">
        <f t="shared" si="8"/>
        <v>2328.5918666666666</v>
      </c>
      <c r="M35" s="161">
        <f t="shared" si="11"/>
        <v>77.619728888888886</v>
      </c>
      <c r="N35" s="159">
        <f t="shared" si="12"/>
        <v>9.7024661111111108</v>
      </c>
      <c r="P35" s="173">
        <f t="shared" si="13"/>
        <v>214.88179200000002</v>
      </c>
      <c r="Q35" s="171"/>
      <c r="R35" s="174">
        <f>+G35-P35</f>
        <v>1599.998208</v>
      </c>
      <c r="T35" s="158">
        <v>800</v>
      </c>
      <c r="U35" s="158">
        <v>1600</v>
      </c>
      <c r="V35" s="173">
        <v>-1.7920000000231084E-3</v>
      </c>
    </row>
    <row r="36" spans="2:22" ht="15.75" thickBot="1">
      <c r="B36" s="125"/>
      <c r="C36" s="140"/>
      <c r="D36" s="141" t="s">
        <v>35</v>
      </c>
      <c r="E36" s="142">
        <f t="shared" ref="E36:N36" si="14">SUM(E26:E35)</f>
        <v>18665.160000000003</v>
      </c>
      <c r="F36" s="143">
        <f t="shared" si="14"/>
        <v>102.5</v>
      </c>
      <c r="G36" s="143">
        <f t="shared" si="14"/>
        <v>18767.660000000003</v>
      </c>
      <c r="H36" s="143">
        <f t="shared" si="14"/>
        <v>1689.0894000000003</v>
      </c>
      <c r="I36" s="143">
        <f t="shared" si="14"/>
        <v>2087.0102833333335</v>
      </c>
      <c r="J36" s="143">
        <f t="shared" si="14"/>
        <v>1129.8208805555557</v>
      </c>
      <c r="K36" s="143">
        <f t="shared" si="14"/>
        <v>1043.5051416666668</v>
      </c>
      <c r="L36" s="154">
        <f t="shared" si="14"/>
        <v>24717.085705555553</v>
      </c>
      <c r="M36" s="154">
        <f t="shared" si="14"/>
        <v>823.90285685185188</v>
      </c>
      <c r="N36" s="143">
        <f t="shared" si="14"/>
        <v>102.98785710648148</v>
      </c>
      <c r="P36" s="143">
        <f t="shared" si="13"/>
        <v>2222.0909440000005</v>
      </c>
      <c r="Q36" s="172"/>
      <c r="R36" s="143">
        <f>SUM(R26:R35)</f>
        <v>16330.368375000002</v>
      </c>
      <c r="T36" s="158"/>
      <c r="U36" s="158"/>
      <c r="V36" s="158"/>
    </row>
    <row r="38" spans="2:22" ht="15.75" thickBot="1"/>
    <row r="39" spans="2:22" ht="15.75" thickBot="1">
      <c r="C39" s="140"/>
      <c r="D39" s="141" t="s">
        <v>35</v>
      </c>
      <c r="E39" s="142">
        <f>+E18+E36</f>
        <v>30613.43</v>
      </c>
      <c r="K39" s="167" t="s">
        <v>745</v>
      </c>
      <c r="L39" s="170">
        <f>+L18+L36</f>
        <v>40258.968233333333</v>
      </c>
    </row>
  </sheetData>
  <mergeCells count="30">
    <mergeCell ref="T23:T25"/>
    <mergeCell ref="U23:U25"/>
    <mergeCell ref="V23:V25"/>
    <mergeCell ref="T7:T9"/>
    <mergeCell ref="U7:U9"/>
    <mergeCell ref="V7:V9"/>
    <mergeCell ref="P7:P9"/>
    <mergeCell ref="Q7:Q9"/>
    <mergeCell ref="R7:R9"/>
    <mergeCell ref="P23:P25"/>
    <mergeCell ref="Q23:Q25"/>
    <mergeCell ref="R23:R25"/>
    <mergeCell ref="G23:G25"/>
    <mergeCell ref="B7:B9"/>
    <mergeCell ref="C7:C9"/>
    <mergeCell ref="D7:D9"/>
    <mergeCell ref="E7:E9"/>
    <mergeCell ref="F7:F9"/>
    <mergeCell ref="G7:G9"/>
    <mergeCell ref="B23:B25"/>
    <mergeCell ref="C23:C25"/>
    <mergeCell ref="D23:D25"/>
    <mergeCell ref="E23:E25"/>
    <mergeCell ref="F23:F25"/>
    <mergeCell ref="L23:L25"/>
    <mergeCell ref="L7:L9"/>
    <mergeCell ref="M23:M25"/>
    <mergeCell ref="N23:N25"/>
    <mergeCell ref="M7:M9"/>
    <mergeCell ref="N7:N9"/>
  </mergeCells>
  <pageMargins left="0.23622047244094491" right="0.23622047244094491" top="0.74803149606299213" bottom="0.74803149606299213" header="0.31496062992125984" footer="0.31496062992125984"/>
  <pageSetup paperSize="9" scale="49" fitToHeight="0" orientation="landscape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d4a8f8-26a4-47c3-a855-b61467b04ccb">
      <Terms xmlns="http://schemas.microsoft.com/office/infopath/2007/PartnerControls"/>
    </lcf76f155ced4ddcb4097134ff3c332f>
    <TaxCatchAll xmlns="ef32dd05-c6f6-46c7-91f5-4c927bbeefe8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D13F67751FC34F95683A6B959B3C85" ma:contentTypeVersion="13" ma:contentTypeDescription="Crear nuevo documento." ma:contentTypeScope="" ma:versionID="0a1d4b69b5517b2b933fa9114af0fe2a">
  <xsd:schema xmlns:xsd="http://www.w3.org/2001/XMLSchema" xmlns:xs="http://www.w3.org/2001/XMLSchema" xmlns:p="http://schemas.microsoft.com/office/2006/metadata/properties" xmlns:ns2="e8d4a8f8-26a4-47c3-a855-b61467b04ccb" xmlns:ns3="ef32dd05-c6f6-46c7-91f5-4c927bbeefe8" targetNamespace="http://schemas.microsoft.com/office/2006/metadata/properties" ma:root="true" ma:fieldsID="b41ac8471590d4fb6b7061adcb934eda" ns2:_="" ns3:_="">
    <xsd:import namespace="e8d4a8f8-26a4-47c3-a855-b61467b04ccb"/>
    <xsd:import namespace="ef32dd05-c6f6-46c7-91f5-4c927bbeef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4a8f8-26a4-47c3-a855-b61467b04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06617589-9cee-46ee-95e5-39278254e8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32dd05-c6f6-46c7-91f5-4c927bbeefe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c22698d-d0d3-457a-83f8-d9bd1fa524e7}" ma:internalName="TaxCatchAll" ma:showField="CatchAllData" ma:web="ef32dd05-c6f6-46c7-91f5-4c927bbeef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C504C8-5854-49CF-8734-8A70B261281B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a31f4473-a85b-4f5d-8b69-05ba7a7b7038"/>
    <ds:schemaRef ds:uri="cf448d8b-3525-405a-b43a-512d3a936453"/>
    <ds:schemaRef ds:uri="e8d4a8f8-26a4-47c3-a855-b61467b04ccb"/>
    <ds:schemaRef ds:uri="ef32dd05-c6f6-46c7-91f5-4c927bbeefe8"/>
  </ds:schemaRefs>
</ds:datastoreItem>
</file>

<file path=customXml/itemProps2.xml><?xml version="1.0" encoding="utf-8"?>
<ds:datastoreItem xmlns:ds="http://schemas.openxmlformats.org/officeDocument/2006/customXml" ds:itemID="{22ADD333-A00F-4BE3-B404-24D82F6F075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E40A47A-3352-4BFD-9307-C582DA92584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F934D07-3F2B-4934-97C4-912AAC103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d4a8f8-26a4-47c3-a855-b61467b04ccb"/>
    <ds:schemaRef ds:uri="ef32dd05-c6f6-46c7-91f5-4c927bbeef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4</vt:i4>
      </vt:variant>
    </vt:vector>
  </HeadingPairs>
  <TitlesOfParts>
    <vt:vector size="25" baseType="lpstr">
      <vt:lpstr>LA MAR P1</vt:lpstr>
      <vt:lpstr>Hoja1</vt:lpstr>
      <vt:lpstr>AFP SBS</vt:lpstr>
      <vt:lpstr>PLANILLA MENSUAL</vt:lpstr>
      <vt:lpstr>H.E</vt:lpstr>
      <vt:lpstr>COMISIONES</vt:lpstr>
      <vt:lpstr>RTA 5TA VTAS</vt:lpstr>
      <vt:lpstr>RTA 5TA</vt:lpstr>
      <vt:lpstr>SEGURO PACIFICO</vt:lpstr>
      <vt:lpstr>VACACIONES</vt:lpstr>
      <vt:lpstr>HT. EPS</vt:lpstr>
      <vt:lpstr>TARDANZA</vt:lpstr>
      <vt:lpstr>Hoja3</vt:lpstr>
      <vt:lpstr>TRANSF</vt:lpstr>
      <vt:lpstr>DIARIO</vt:lpstr>
      <vt:lpstr>HH.EE</vt:lpstr>
      <vt:lpstr>PLANILLA BRUTA</vt:lpstr>
      <vt:lpstr>COSTO GRATIFICACIONES</vt:lpstr>
      <vt:lpstr>COSTO CTS </vt:lpstr>
      <vt:lpstr>COSTO VACACIONES</vt:lpstr>
      <vt:lpstr>COSTO TOTAL</vt:lpstr>
      <vt:lpstr>COMISIONES!Área_de_impresión</vt:lpstr>
      <vt:lpstr>'COSTO GRATIFICACIONES'!Área_de_impresión</vt:lpstr>
      <vt:lpstr>'LA MAR P1'!Área_de_impresión</vt:lpstr>
      <vt:lpstr>'PLANILLA MENSUAL'!Área_de_impresión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Rodriguez Ch.</dc:creator>
  <cp:keywords/>
  <dc:description/>
  <cp:lastModifiedBy>GIOVANNA MARTINEZ</cp:lastModifiedBy>
  <cp:revision/>
  <cp:lastPrinted>2026-07-14T23:28:31Z</cp:lastPrinted>
  <dcterms:created xsi:type="dcterms:W3CDTF">2023-04-05T20:04:27Z</dcterms:created>
  <dcterms:modified xsi:type="dcterms:W3CDTF">2026-08-26T15:18:07Z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0x0101001CD13F67751FC34F95683A6B959B3C85</vt:lpwstr>
  </property>
  <property fmtid="{D5CDD505-2E9C-101B-9397-08002B2CF9AE}" pid="3" name="MediaServiceImageTags">
    <vt:lpwstr/>
  </property>
</Properties>
</file>