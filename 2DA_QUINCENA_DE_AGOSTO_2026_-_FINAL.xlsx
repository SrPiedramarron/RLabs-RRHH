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processperu.sharepoint.com/sites/RecursosHumanos/Documentos compartidos/RR HH/1. INPROCESS/11. PLANILLA/2026/08 AGOSTO/"/>
    </mc:Choice>
  </mc:AlternateContent>
  <xr:revisionPtr revIDLastSave="152" documentId="8_{871ABF3F-A648-42EE-AE9C-748E4074A255}" xr6:coauthVersionLast="47" xr6:coauthVersionMax="47" xr10:uidLastSave="{8BB8944F-46B8-4B54-8511-185E18F18594}"/>
  <bookViews>
    <workbookView xWindow="-120" yWindow="-120" windowWidth="29040" windowHeight="15840" tabRatio="782" firstSheet="2" activeTab="3" xr2:uid="{00000000-000D-0000-FFFF-FFFF00000000}"/>
  </bookViews>
  <sheets>
    <sheet name="LA MAR P1" sheetId="4" state="hidden" r:id="rId1"/>
    <sheet name="Hoja1" sheetId="22" state="hidden" r:id="rId2"/>
    <sheet name="AFP SBS" sheetId="26" r:id="rId3"/>
    <sheet name="PLANILLA MENSUAL" sheetId="21" r:id="rId4"/>
    <sheet name="PRESTAMOS" sheetId="44" r:id="rId5"/>
    <sheet name="H.E" sheetId="40" r:id="rId6"/>
    <sheet name="COMISIONES" sheetId="31" r:id="rId7"/>
    <sheet name="RTA 5TA VTAS" sheetId="27" r:id="rId8"/>
    <sheet name="RTA 5TA" sheetId="28" r:id="rId9"/>
    <sheet name="SEGURO PACIFICO" sheetId="29" r:id="rId10"/>
    <sheet name="VACACIONES" sheetId="30" r:id="rId11"/>
    <sheet name="HT. EPS" sheetId="37" r:id="rId12"/>
    <sheet name="TARDANZA" sheetId="35" r:id="rId13"/>
    <sheet name="SUBSIDIO" sheetId="42" r:id="rId14"/>
    <sheet name="SEGURO VIDA LEY" sheetId="33" r:id="rId15"/>
    <sheet name="TRANSF" sheetId="36" r:id="rId16"/>
    <sheet name="DIARIO" sheetId="41" r:id="rId17"/>
    <sheet name="HH.EE" sheetId="39" state="hidden" r:id="rId18"/>
    <sheet name="PLANILLA BRUTA" sheetId="25" state="hidden" r:id="rId19"/>
    <sheet name="COSTO GRATIFICACIONES" sheetId="9" state="hidden" r:id="rId20"/>
    <sheet name="COSTO CTS " sheetId="10" state="hidden" r:id="rId21"/>
    <sheet name="COSTO VACACIONES" sheetId="11" state="hidden" r:id="rId22"/>
    <sheet name="COSTO TOTAL" sheetId="12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19" hidden="1">'COSTO GRATIFICACIONES'!$A$22:$L$33</definedName>
    <definedName name="_xlnm._FilterDatabase" localSheetId="5" hidden="1">H.E!$G$4:$N$47</definedName>
    <definedName name="_xlnm._FilterDatabase" localSheetId="0" hidden="1">'LA MAR P1'!$A$23:$AF$35</definedName>
    <definedName name="_xlnm._FilterDatabase" localSheetId="3" hidden="1">'PLANILLA MENSUAL'!$A$11:$EZ$61</definedName>
    <definedName name="_xlnm._FilterDatabase" localSheetId="12" hidden="1">TARDANZA!$B$3:$E$48</definedName>
    <definedName name="_xlnm.Print_Area" localSheetId="6">COMISIONES!$A$1:$Q$17</definedName>
    <definedName name="_xlnm.Print_Area" localSheetId="19">'COSTO GRATIFICACIONES'!$B$2:$J$34</definedName>
    <definedName name="_xlnm.Print_Area" localSheetId="0">'LA MAR P1'!$B$2:$T$36</definedName>
    <definedName name="_xlnm.Print_Area" localSheetId="3">'PLANILLA MENSUAL'!$B$2:$BO$66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1" i="28" l="1"/>
  <c r="BN53" i="21"/>
  <c r="BN54" i="21"/>
  <c r="BV57" i="21" l="1"/>
  <c r="BQ64" i="21"/>
  <c r="BQ66" i="21" s="1"/>
  <c r="BP64" i="21"/>
  <c r="BP66" i="21" s="1"/>
  <c r="BO64" i="21"/>
  <c r="BM64" i="21"/>
  <c r="BM66" i="21" s="1"/>
  <c r="BJ64" i="21"/>
  <c r="BI64" i="21"/>
  <c r="BH64" i="21"/>
  <c r="BG64" i="21"/>
  <c r="BF64" i="21"/>
  <c r="BE64" i="21"/>
  <c r="BD64" i="21"/>
  <c r="BC64" i="21"/>
  <c r="BB64" i="21"/>
  <c r="BA64" i="21"/>
  <c r="AW64" i="21"/>
  <c r="AW66" i="21" s="1"/>
  <c r="AU64" i="21"/>
  <c r="AU66" i="21" s="1"/>
  <c r="AS64" i="21"/>
  <c r="AS66" i="21" s="1"/>
  <c r="AR64" i="21"/>
  <c r="AQ64" i="21"/>
  <c r="AQ66" i="21" s="1"/>
  <c r="AN64" i="21"/>
  <c r="AM64" i="21"/>
  <c r="AL64" i="21"/>
  <c r="AJ64" i="21"/>
  <c r="AI64" i="21"/>
  <c r="AH64" i="21"/>
  <c r="AG64" i="21"/>
  <c r="AF64" i="21"/>
  <c r="AE64" i="21"/>
  <c r="S64" i="21"/>
  <c r="T64" i="21"/>
  <c r="U64" i="21"/>
  <c r="V64" i="21"/>
  <c r="W64" i="21"/>
  <c r="X64" i="21"/>
  <c r="Y64" i="21"/>
  <c r="Z64" i="21"/>
  <c r="AA64" i="21"/>
  <c r="BM87" i="21"/>
  <c r="BM85" i="21" s="1"/>
  <c r="BI27" i="21" l="1"/>
  <c r="BI57" i="21" s="1"/>
  <c r="BI66" i="21" s="1"/>
  <c r="BR26" i="21" l="1"/>
  <c r="G99" i="27" l="1"/>
  <c r="E140" i="27"/>
  <c r="D140" i="27"/>
  <c r="K91" i="27"/>
  <c r="K140" i="27" s="1"/>
  <c r="J91" i="27"/>
  <c r="J140" i="27" s="1"/>
  <c r="I91" i="27"/>
  <c r="I140" i="27" s="1"/>
  <c r="H91" i="27"/>
  <c r="H140" i="27" s="1"/>
  <c r="G91" i="27"/>
  <c r="G140" i="27" s="1"/>
  <c r="F91" i="27"/>
  <c r="F140" i="27" s="1"/>
  <c r="V51" i="21"/>
  <c r="V41" i="21"/>
  <c r="V39" i="21"/>
  <c r="V34" i="21"/>
  <c r="V35" i="21"/>
  <c r="V26" i="21"/>
  <c r="V22" i="21"/>
  <c r="K12" i="31"/>
  <c r="BC26" i="21"/>
  <c r="H25" i="40" l="1"/>
  <c r="O91" i="28" l="1"/>
  <c r="AD21" i="21" l="1"/>
  <c r="AY61" i="21" l="1"/>
  <c r="AY64" i="21" s="1"/>
  <c r="AY66" i="21" s="1"/>
  <c r="AD61" i="21" l="1"/>
  <c r="AD64" i="21" s="1"/>
  <c r="AC61" i="21" l="1"/>
  <c r="AC64" i="21" s="1"/>
  <c r="AC66" i="21" s="1"/>
  <c r="AB61" i="21" l="1"/>
  <c r="AP61" i="21" l="1"/>
  <c r="AB64" i="21"/>
  <c r="BN61" i="21" l="1"/>
  <c r="BN64" i="21" s="1"/>
  <c r="AV61" i="21"/>
  <c r="AV64" i="21" s="1"/>
  <c r="AT61" i="21"/>
  <c r="AT64" i="21" s="1"/>
  <c r="AX61" i="21"/>
  <c r="AX64" i="21" s="1"/>
  <c r="AP64" i="21"/>
  <c r="AK61" i="21"/>
  <c r="AZ61" i="21" l="1"/>
  <c r="BK61" i="21" s="1"/>
  <c r="BK64" i="21" s="1"/>
  <c r="AO61" i="21"/>
  <c r="AO64" i="21" s="1"/>
  <c r="AK64" i="21"/>
  <c r="BU60" i="21"/>
  <c r="BT61" i="21"/>
  <c r="BU61" i="21" s="1"/>
  <c r="W18" i="21"/>
  <c r="AA13" i="21"/>
  <c r="AA14" i="21"/>
  <c r="AA15" i="21"/>
  <c r="AA16" i="21"/>
  <c r="AA24" i="21"/>
  <c r="AA21" i="21"/>
  <c r="P91" i="28"/>
  <c r="U91" i="28"/>
  <c r="T91" i="28"/>
  <c r="R91" i="28"/>
  <c r="S91" i="28"/>
  <c r="AZ64" i="21" l="1"/>
  <c r="BL61" i="21"/>
  <c r="BJ78" i="21" s="1"/>
  <c r="AC78" i="28"/>
  <c r="K99" i="27"/>
  <c r="L19" i="27"/>
  <c r="BL64" i="21" l="1"/>
  <c r="K98" i="27"/>
  <c r="I91" i="28" l="1"/>
  <c r="L91" i="28"/>
  <c r="I25" i="40" l="1"/>
  <c r="I40" i="40"/>
  <c r="I24" i="40"/>
  <c r="H24" i="40"/>
  <c r="I37" i="40"/>
  <c r="H37" i="40"/>
  <c r="I31" i="40"/>
  <c r="H31" i="40"/>
  <c r="AX12" i="21"/>
  <c r="W34" i="21"/>
  <c r="I92" i="27" s="1"/>
  <c r="L55" i="21" l="1"/>
  <c r="S55" i="21" s="1"/>
  <c r="L52" i="21"/>
  <c r="S52" i="21" s="1"/>
  <c r="V8" i="28" l="1"/>
  <c r="V9" i="28"/>
  <c r="V11" i="28"/>
  <c r="V12" i="28"/>
  <c r="V14" i="28"/>
  <c r="V15" i="28"/>
  <c r="V16" i="28"/>
  <c r="V17" i="28"/>
  <c r="V19" i="28"/>
  <c r="V20" i="28"/>
  <c r="V21" i="28"/>
  <c r="V22" i="28"/>
  <c r="V23" i="28"/>
  <c r="V24" i="28"/>
  <c r="V26" i="28"/>
  <c r="V27" i="28"/>
  <c r="V28" i="28"/>
  <c r="V29" i="28"/>
  <c r="V30" i="28"/>
  <c r="V31" i="28"/>
  <c r="V32" i="28"/>
  <c r="V33" i="28"/>
  <c r="V34" i="28"/>
  <c r="V35" i="28"/>
  <c r="V36" i="28"/>
  <c r="V37" i="28"/>
  <c r="V38" i="28"/>
  <c r="V40" i="28"/>
  <c r="V41" i="28"/>
  <c r="V42" i="28"/>
  <c r="V43" i="28"/>
  <c r="V44" i="28"/>
  <c r="V45" i="28"/>
  <c r="V46" i="28"/>
  <c r="V47" i="28"/>
  <c r="V48" i="28"/>
  <c r="V49" i="28"/>
  <c r="V50" i="28"/>
  <c r="V51" i="28"/>
  <c r="V52" i="28"/>
  <c r="V53" i="28"/>
  <c r="V54" i="28"/>
  <c r="V55" i="28"/>
  <c r="V56" i="28"/>
  <c r="V57" i="28"/>
  <c r="V58" i="28"/>
  <c r="V59" i="28"/>
  <c r="V60" i="28"/>
  <c r="V61" i="28"/>
  <c r="V62" i="28"/>
  <c r="V63" i="28"/>
  <c r="V64" i="28"/>
  <c r="V65" i="28"/>
  <c r="V66" i="28"/>
  <c r="V67" i="28"/>
  <c r="V68" i="28"/>
  <c r="V69" i="28"/>
  <c r="V70" i="28"/>
  <c r="V71" i="28"/>
  <c r="V72" i="28"/>
  <c r="V73" i="28"/>
  <c r="V74" i="28"/>
  <c r="V75" i="28"/>
  <c r="V76" i="28"/>
  <c r="V77" i="28"/>
  <c r="V78" i="28"/>
  <c r="V79" i="28"/>
  <c r="V82" i="28"/>
  <c r="V83" i="28"/>
  <c r="V84" i="28"/>
  <c r="V85" i="28"/>
  <c r="V86" i="28"/>
  <c r="V88" i="28"/>
  <c r="V89" i="28"/>
  <c r="V90" i="28"/>
  <c r="V6" i="28"/>
  <c r="D91" i="28"/>
  <c r="E91" i="28"/>
  <c r="M91" i="28"/>
  <c r="Q115" i="28" l="1"/>
  <c r="R115" i="28"/>
  <c r="S115" i="28"/>
  <c r="T115" i="28"/>
  <c r="U115" i="28"/>
  <c r="T92" i="28"/>
  <c r="U92" i="28"/>
  <c r="T93" i="28" l="1"/>
  <c r="T97" i="28" s="1"/>
  <c r="T100" i="28" s="1"/>
  <c r="T117" i="28" s="1"/>
  <c r="T118" i="28" s="1"/>
  <c r="BJ40" i="21" s="1"/>
  <c r="U93" i="28"/>
  <c r="U97" i="28" s="1"/>
  <c r="U100" i="28" s="1"/>
  <c r="U117" i="28" s="1"/>
  <c r="U118" i="28" s="1"/>
  <c r="BJ21" i="21" s="1"/>
  <c r="Q91" i="28" l="1"/>
  <c r="Q92" i="28" l="1"/>
  <c r="R92" i="28"/>
  <c r="R93" i="28" s="1"/>
  <c r="R97" i="28" s="1"/>
  <c r="R100" i="28" s="1"/>
  <c r="R117" i="28" s="1"/>
  <c r="R118" i="28" s="1"/>
  <c r="BJ31" i="21" s="1"/>
  <c r="S92" i="28"/>
  <c r="S93" i="28" l="1"/>
  <c r="S97" i="28" s="1"/>
  <c r="S100" i="28" s="1"/>
  <c r="S117" i="28" s="1"/>
  <c r="S118" i="28" s="1"/>
  <c r="BJ30" i="21" s="1"/>
  <c r="Q93" i="28"/>
  <c r="Q97" i="28" s="1"/>
  <c r="Q100" i="28" s="1"/>
  <c r="Q117" i="28" s="1"/>
  <c r="Q118" i="28" s="1"/>
  <c r="BJ32" i="21" s="1"/>
  <c r="D115" i="28" l="1"/>
  <c r="O115" i="28"/>
  <c r="P115" i="28"/>
  <c r="P92" i="28"/>
  <c r="P93" i="28" s="1"/>
  <c r="N87" i="28"/>
  <c r="V87" i="28" s="1"/>
  <c r="P97" i="28" l="1"/>
  <c r="P100" i="28" s="1"/>
  <c r="P117" i="28" s="1"/>
  <c r="P118" i="28" s="1"/>
  <c r="BJ33" i="21" s="1"/>
  <c r="BB55" i="21"/>
  <c r="BA55" i="21"/>
  <c r="B7" i="35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W35" i="21"/>
  <c r="H92" i="27" s="1"/>
  <c r="P4" i="30"/>
  <c r="Q4" i="30" s="1"/>
  <c r="E92" i="27"/>
  <c r="AD30" i="21"/>
  <c r="B61" i="21"/>
  <c r="AD42" i="21" l="1"/>
  <c r="AD43" i="21"/>
  <c r="AD44" i="21"/>
  <c r="AD45" i="21"/>
  <c r="AD46" i="21"/>
  <c r="AD47" i="21"/>
  <c r="AD48" i="21"/>
  <c r="AD49" i="21"/>
  <c r="AD50" i="21"/>
  <c r="AD51" i="21"/>
  <c r="AD52" i="21"/>
  <c r="AD53" i="21"/>
  <c r="AD54" i="21"/>
  <c r="AD55" i="21"/>
  <c r="AD13" i="21"/>
  <c r="AD14" i="21"/>
  <c r="AD15" i="21"/>
  <c r="AD16" i="21"/>
  <c r="AD17" i="21"/>
  <c r="AD18" i="21"/>
  <c r="AD19" i="21"/>
  <c r="AD20" i="21"/>
  <c r="AD22" i="21"/>
  <c r="AD23" i="21"/>
  <c r="AD24" i="21"/>
  <c r="AD25" i="21"/>
  <c r="AD26" i="21"/>
  <c r="AD27" i="21"/>
  <c r="AD28" i="21"/>
  <c r="AD29" i="21"/>
  <c r="AD31" i="21"/>
  <c r="AD32" i="21"/>
  <c r="AD33" i="21"/>
  <c r="AD34" i="21"/>
  <c r="AD35" i="21"/>
  <c r="AD36" i="21"/>
  <c r="AD37" i="21"/>
  <c r="AD38" i="21"/>
  <c r="AD39" i="21"/>
  <c r="AD40" i="21"/>
  <c r="AD41" i="21"/>
  <c r="AD12" i="21"/>
  <c r="K48" i="40" l="1"/>
  <c r="K49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K27" i="40"/>
  <c r="K28" i="40"/>
  <c r="K29" i="40"/>
  <c r="K30" i="40"/>
  <c r="K31" i="40"/>
  <c r="K32" i="40"/>
  <c r="K33" i="40"/>
  <c r="K34" i="40"/>
  <c r="K35" i="40"/>
  <c r="K36" i="40"/>
  <c r="K37" i="40"/>
  <c r="K38" i="40"/>
  <c r="K39" i="40"/>
  <c r="K40" i="40"/>
  <c r="K41" i="40"/>
  <c r="K42" i="40"/>
  <c r="K43" i="40"/>
  <c r="K44" i="40"/>
  <c r="K45" i="40"/>
  <c r="K46" i="40"/>
  <c r="K47" i="40"/>
  <c r="G48" i="40"/>
  <c r="L48" i="40" s="1"/>
  <c r="X54" i="21" s="1"/>
  <c r="G49" i="40"/>
  <c r="M49" i="40" s="1"/>
  <c r="Y55" i="21" s="1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N25" i="40" s="1"/>
  <c r="G26" i="40"/>
  <c r="G27" i="40"/>
  <c r="G28" i="40"/>
  <c r="G29" i="40"/>
  <c r="G30" i="40"/>
  <c r="G31" i="40"/>
  <c r="G32" i="40"/>
  <c r="G33" i="40"/>
  <c r="G34" i="40"/>
  <c r="G35" i="40"/>
  <c r="G36" i="40"/>
  <c r="G37" i="40"/>
  <c r="G38" i="40"/>
  <c r="G39" i="40"/>
  <c r="G40" i="40"/>
  <c r="G41" i="40"/>
  <c r="G42" i="40"/>
  <c r="G43" i="40"/>
  <c r="G44" i="40"/>
  <c r="G45" i="40"/>
  <c r="G46" i="40"/>
  <c r="G47" i="40"/>
  <c r="L53" i="21"/>
  <c r="S53" i="21" s="1"/>
  <c r="AY55" i="21"/>
  <c r="AY54" i="21"/>
  <c r="U52" i="21"/>
  <c r="U53" i="21"/>
  <c r="U54" i="21"/>
  <c r="U55" i="21"/>
  <c r="L54" i="21"/>
  <c r="W6" i="30"/>
  <c r="P6" i="30"/>
  <c r="Q6" i="30" s="1"/>
  <c r="R6" i="30" s="1"/>
  <c r="P10" i="30"/>
  <c r="P11" i="30"/>
  <c r="R4" i="30"/>
  <c r="T4" i="30" s="1"/>
  <c r="R12" i="30"/>
  <c r="J13" i="30"/>
  <c r="BX87" i="21"/>
  <c r="L49" i="40" l="1"/>
  <c r="X55" i="21" s="1"/>
  <c r="P54" i="21"/>
  <c r="R54" i="21" s="1"/>
  <c r="S54" i="21"/>
  <c r="N48" i="40"/>
  <c r="Z54" i="21" s="1"/>
  <c r="N49" i="40"/>
  <c r="Z55" i="21" s="1"/>
  <c r="M48" i="40"/>
  <c r="Y54" i="21" s="1"/>
  <c r="P55" i="21"/>
  <c r="R55" i="21" s="1"/>
  <c r="AO55" i="21" l="1"/>
  <c r="AP55" i="21" s="1"/>
  <c r="AO54" i="21"/>
  <c r="S26" i="21"/>
  <c r="AY26" i="21"/>
  <c r="T26" i="21"/>
  <c r="P26" i="21"/>
  <c r="R26" i="21" s="1"/>
  <c r="AV55" i="21" l="1"/>
  <c r="AX55" i="21" l="1"/>
  <c r="AT55" i="21"/>
  <c r="BN55" i="21"/>
  <c r="B13" i="2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V72" i="21"/>
  <c r="BV71" i="21"/>
  <c r="AZ55" i="21" l="1"/>
  <c r="BK55" i="21" s="1"/>
  <c r="BL55" i="21" s="1"/>
  <c r="BV63" i="21"/>
  <c r="BV85" i="21" l="1"/>
  <c r="AY52" i="21"/>
  <c r="AY53" i="21"/>
  <c r="P53" i="21"/>
  <c r="R53" i="21" s="1"/>
  <c r="U56" i="21"/>
  <c r="BK56" i="21"/>
  <c r="P52" i="21" l="1"/>
  <c r="R52" i="21" s="1"/>
  <c r="AI57" i="21" l="1"/>
  <c r="AI66" i="21" s="1"/>
  <c r="AH57" i="21"/>
  <c r="AH66" i="21" s="1"/>
  <c r="B40" i="42" l="1"/>
  <c r="E29" i="42"/>
  <c r="E30" i="42"/>
  <c r="E31" i="42"/>
  <c r="E32" i="42"/>
  <c r="E33" i="42"/>
  <c r="E34" i="42"/>
  <c r="E35" i="42"/>
  <c r="E36" i="42"/>
  <c r="E37" i="42"/>
  <c r="E38" i="42"/>
  <c r="E39" i="42"/>
  <c r="E28" i="42"/>
  <c r="I23" i="42"/>
  <c r="D46" i="42" s="1"/>
  <c r="E40" i="42" l="1"/>
  <c r="D43" i="42" s="1"/>
  <c r="D45" i="42" s="1"/>
  <c r="D47" i="42" s="1"/>
  <c r="E47" i="42" s="1"/>
  <c r="M4" i="42"/>
  <c r="M9" i="42" l="1"/>
  <c r="C14" i="42" s="1"/>
  <c r="B14" i="42"/>
  <c r="D14" i="42" l="1"/>
  <c r="E14" i="42" s="1"/>
  <c r="G14" i="42" s="1"/>
  <c r="U27" i="21" l="1"/>
  <c r="U28" i="21"/>
  <c r="U29" i="21"/>
  <c r="U30" i="21"/>
  <c r="S30" i="21" s="1"/>
  <c r="U31" i="21"/>
  <c r="U32" i="21"/>
  <c r="U33" i="21"/>
  <c r="U34" i="21"/>
  <c r="U35" i="21"/>
  <c r="U36" i="21"/>
  <c r="U37" i="21"/>
  <c r="U38" i="21"/>
  <c r="U39" i="21"/>
  <c r="U40" i="21"/>
  <c r="U41" i="21"/>
  <c r="U42" i="21"/>
  <c r="U43" i="21"/>
  <c r="U44" i="21"/>
  <c r="U45" i="21"/>
  <c r="U46" i="21"/>
  <c r="U47" i="21"/>
  <c r="U48" i="21"/>
  <c r="U49" i="21"/>
  <c r="U50" i="21"/>
  <c r="U51" i="21"/>
  <c r="S51" i="21" s="1"/>
  <c r="U13" i="21"/>
  <c r="U14" i="21"/>
  <c r="U15" i="21"/>
  <c r="S15" i="21" s="1"/>
  <c r="U16" i="21"/>
  <c r="U17" i="21"/>
  <c r="U18" i="21"/>
  <c r="U19" i="21"/>
  <c r="U20" i="21"/>
  <c r="U21" i="21"/>
  <c r="U22" i="21"/>
  <c r="U23" i="21"/>
  <c r="U24" i="21"/>
  <c r="U25" i="21"/>
  <c r="U12" i="21"/>
  <c r="S12" i="21" s="1"/>
  <c r="I28" i="37" l="1"/>
  <c r="O40" i="37" s="1"/>
  <c r="J28" i="37" l="1"/>
  <c r="O44" i="37" l="1"/>
  <c r="G125" i="41" l="1"/>
  <c r="G111" i="41"/>
  <c r="G90" i="41"/>
  <c r="G89" i="41"/>
  <c r="G88" i="41"/>
  <c r="S88" i="41" s="1"/>
  <c r="G87" i="41"/>
  <c r="S87" i="41" s="1"/>
  <c r="R86" i="41"/>
  <c r="G86" i="41"/>
  <c r="G85" i="41"/>
  <c r="S85" i="41" s="1"/>
  <c r="G77" i="41"/>
  <c r="G76" i="41"/>
  <c r="G75" i="41"/>
  <c r="G74" i="41"/>
  <c r="G73" i="41"/>
  <c r="G72" i="41"/>
  <c r="G71" i="41"/>
  <c r="G70" i="41"/>
  <c r="G69" i="41"/>
  <c r="G68" i="41"/>
  <c r="G67" i="41"/>
  <c r="G66" i="41"/>
  <c r="G65" i="41"/>
  <c r="G64" i="41"/>
  <c r="G63" i="41"/>
  <c r="G62" i="41"/>
  <c r="G61" i="41"/>
  <c r="G60" i="41"/>
  <c r="G59" i="41"/>
  <c r="G58" i="41"/>
  <c r="G57" i="41"/>
  <c r="G56" i="41"/>
  <c r="G55" i="41"/>
  <c r="G54" i="41"/>
  <c r="G53" i="41"/>
  <c r="G52" i="41"/>
  <c r="G51" i="41"/>
  <c r="G50" i="41"/>
  <c r="G49" i="41"/>
  <c r="G48" i="41"/>
  <c r="G47" i="41"/>
  <c r="G46" i="41"/>
  <c r="G143" i="41" l="1"/>
  <c r="S86" i="41"/>
  <c r="F41" i="41" l="1"/>
  <c r="F37" i="41"/>
  <c r="F28" i="41"/>
  <c r="F24" i="41"/>
  <c r="F23" i="41"/>
  <c r="F10" i="41"/>
  <c r="F42" i="41" l="1"/>
  <c r="F29" i="41"/>
  <c r="F36" i="41" l="1"/>
  <c r="F140" i="41"/>
  <c r="F139" i="41"/>
  <c r="F27" i="41"/>
  <c r="F14" i="41"/>
  <c r="F33" i="41" l="1"/>
  <c r="F22" i="41"/>
  <c r="F9" i="41" l="1"/>
  <c r="G137" i="41" l="1"/>
  <c r="F18" i="41"/>
  <c r="F40" i="41" l="1"/>
  <c r="F11" i="41" l="1"/>
  <c r="F30" i="41"/>
  <c r="F43" i="41"/>
  <c r="F15" i="41"/>
  <c r="F19" i="41" l="1"/>
  <c r="G127" i="41" l="1"/>
  <c r="G116" i="41" l="1"/>
  <c r="F44" i="41"/>
  <c r="F12" i="41"/>
  <c r="G115" i="41" l="1"/>
  <c r="F38" i="41" l="1"/>
  <c r="F31" i="41"/>
  <c r="F34" i="41"/>
  <c r="F20" i="41"/>
  <c r="F16" i="41"/>
  <c r="G121" i="41"/>
  <c r="G117" i="41"/>
  <c r="G102" i="41"/>
  <c r="G103" i="41"/>
  <c r="G120" i="41"/>
  <c r="G119" i="41" l="1"/>
  <c r="G100" i="41"/>
  <c r="F25" i="41" l="1"/>
  <c r="F143" i="41" s="1"/>
  <c r="G144" i="41" s="1"/>
  <c r="G93" i="41" l="1"/>
  <c r="G91" i="41" l="1"/>
  <c r="G107" i="41"/>
  <c r="G123" i="41" l="1"/>
  <c r="G126" i="41" l="1"/>
  <c r="G124" i="41"/>
  <c r="G114" i="41"/>
  <c r="G122" i="41" l="1"/>
  <c r="G108" i="41"/>
  <c r="G104" i="41"/>
  <c r="G112" i="41" l="1"/>
  <c r="G118" i="41"/>
  <c r="G105" i="41"/>
  <c r="G106" i="41"/>
  <c r="G113" i="41" l="1"/>
  <c r="G101" i="41" l="1"/>
  <c r="G94" i="41"/>
  <c r="G98" i="41" l="1"/>
  <c r="G95" i="41"/>
  <c r="G109" i="41" l="1"/>
  <c r="G96" i="41"/>
  <c r="G97" i="41"/>
  <c r="G99" i="41"/>
  <c r="G110" i="41"/>
  <c r="G92" i="41" l="1"/>
  <c r="K78" i="27" l="1"/>
  <c r="K97" i="27" s="1"/>
  <c r="J78" i="27"/>
  <c r="I78" i="27"/>
  <c r="H78" i="27"/>
  <c r="G78" i="27"/>
  <c r="F78" i="27"/>
  <c r="E78" i="27"/>
  <c r="D78" i="27"/>
  <c r="J77" i="27"/>
  <c r="F77" i="27"/>
  <c r="J12" i="31" l="1"/>
  <c r="V58" i="21" s="1"/>
  <c r="H139" i="27"/>
  <c r="K139" i="27"/>
  <c r="J139" i="27"/>
  <c r="I139" i="27"/>
  <c r="G139" i="27"/>
  <c r="F139" i="27"/>
  <c r="E139" i="27"/>
  <c r="D139" i="27"/>
  <c r="P10" i="31"/>
  <c r="Q10" i="31" s="1"/>
  <c r="P11" i="31"/>
  <c r="Q11" i="31" s="1"/>
  <c r="F80" i="28" l="1"/>
  <c r="F91" i="28" s="1"/>
  <c r="V80" i="28" l="1"/>
  <c r="D30" i="37"/>
  <c r="C8" i="37" l="1"/>
  <c r="S16" i="21" l="1"/>
  <c r="S17" i="21"/>
  <c r="S18" i="21"/>
  <c r="S13" i="21" l="1"/>
  <c r="S14" i="21"/>
  <c r="S19" i="21"/>
  <c r="S20" i="21"/>
  <c r="S21" i="21"/>
  <c r="S22" i="21"/>
  <c r="S23" i="21"/>
  <c r="S24" i="21"/>
  <c r="S25" i="21"/>
  <c r="S27" i="21"/>
  <c r="S28" i="21"/>
  <c r="S29" i="21"/>
  <c r="S31" i="21"/>
  <c r="S32" i="21"/>
  <c r="S33" i="21"/>
  <c r="S34" i="21"/>
  <c r="S35" i="21"/>
  <c r="S36" i="21"/>
  <c r="S37" i="21"/>
  <c r="S38" i="21"/>
  <c r="S39" i="21"/>
  <c r="S40" i="21"/>
  <c r="S41" i="21"/>
  <c r="S42" i="21"/>
  <c r="S43" i="21"/>
  <c r="S44" i="21"/>
  <c r="S45" i="21"/>
  <c r="S46" i="21"/>
  <c r="S47" i="21"/>
  <c r="S48" i="21"/>
  <c r="S49" i="21"/>
  <c r="S50" i="21"/>
  <c r="BA15" i="21" l="1"/>
  <c r="BA14" i="21"/>
  <c r="BA13" i="21"/>
  <c r="BA12" i="21"/>
  <c r="G28" i="37"/>
  <c r="H28" i="37"/>
  <c r="O13" i="30"/>
  <c r="N13" i="30"/>
  <c r="M13" i="30"/>
  <c r="L13" i="30"/>
  <c r="K13" i="30"/>
  <c r="I13" i="30"/>
  <c r="H13" i="30"/>
  <c r="G13" i="30"/>
  <c r="F13" i="30"/>
  <c r="E13" i="30"/>
  <c r="D13" i="30"/>
  <c r="Q11" i="30"/>
  <c r="R11" i="30" s="1"/>
  <c r="T11" i="30" s="1"/>
  <c r="Q10" i="30"/>
  <c r="R10" i="30" s="1"/>
  <c r="T10" i="30" s="1"/>
  <c r="P9" i="30"/>
  <c r="Q9" i="30" s="1"/>
  <c r="R9" i="30" s="1"/>
  <c r="T9" i="30" s="1"/>
  <c r="P8" i="30"/>
  <c r="Q8" i="30" s="1"/>
  <c r="P7" i="30"/>
  <c r="Q7" i="30" s="1"/>
  <c r="R7" i="30" s="1"/>
  <c r="T7" i="30" s="1"/>
  <c r="T6" i="30"/>
  <c r="AE26" i="21" s="1"/>
  <c r="P5" i="30"/>
  <c r="Q5" i="30" s="1"/>
  <c r="R5" i="30" s="1"/>
  <c r="T5" i="30" s="1"/>
  <c r="B5" i="30"/>
  <c r="B6" i="30" s="1"/>
  <c r="B7" i="30" s="1"/>
  <c r="B8" i="30" s="1"/>
  <c r="B9" i="30" s="1"/>
  <c r="B10" i="30" s="1"/>
  <c r="AE57" i="21" l="1"/>
  <c r="AE66" i="21" s="1"/>
  <c r="G95" i="27"/>
  <c r="G127" i="27" s="1"/>
  <c r="R8" i="30"/>
  <c r="T8" i="30" s="1"/>
  <c r="T13" i="30" s="1"/>
  <c r="W58" i="21" s="1"/>
  <c r="W57" i="21"/>
  <c r="P13" i="30"/>
  <c r="Q13" i="30"/>
  <c r="N81" i="28"/>
  <c r="H81" i="28"/>
  <c r="V81" i="28" l="1"/>
  <c r="I92" i="28"/>
  <c r="P59" i="37" l="1"/>
  <c r="P60" i="37" l="1"/>
  <c r="P61" i="37" s="1"/>
  <c r="Q34" i="37"/>
  <c r="P34" i="37"/>
  <c r="O34" i="37"/>
  <c r="N34" i="37"/>
  <c r="K32" i="37"/>
  <c r="J32" i="37"/>
  <c r="I32" i="37"/>
  <c r="H32" i="37"/>
  <c r="G32" i="37"/>
  <c r="F31" i="37"/>
  <c r="K31" i="37" s="1"/>
  <c r="E31" i="37"/>
  <c r="J31" i="37" s="1"/>
  <c r="D31" i="37"/>
  <c r="I31" i="37" s="1"/>
  <c r="C31" i="37"/>
  <c r="H31" i="37" s="1"/>
  <c r="B31" i="37"/>
  <c r="G31" i="37" s="1"/>
  <c r="F30" i="37"/>
  <c r="K30" i="37" s="1"/>
  <c r="E30" i="37"/>
  <c r="J30" i="37" s="1"/>
  <c r="I30" i="37"/>
  <c r="C30" i="37"/>
  <c r="H30" i="37" s="1"/>
  <c r="B30" i="37"/>
  <c r="G30" i="37" s="1"/>
  <c r="F29" i="37"/>
  <c r="K29" i="37" s="1"/>
  <c r="E29" i="37"/>
  <c r="J29" i="37" s="1"/>
  <c r="D29" i="37"/>
  <c r="I29" i="37" s="1"/>
  <c r="C29" i="37"/>
  <c r="H29" i="37" s="1"/>
  <c r="B29" i="37"/>
  <c r="G29" i="37" s="1"/>
  <c r="K28" i="37"/>
  <c r="I16" i="37"/>
  <c r="BV70" i="21" l="1"/>
  <c r="BV73" i="21" l="1"/>
  <c r="BV86" i="21"/>
  <c r="AY51" i="21"/>
  <c r="P51" i="21"/>
  <c r="R51" i="21" s="1"/>
  <c r="BB24" i="21" l="1"/>
  <c r="BA24" i="21"/>
  <c r="P27" i="21" l="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9" i="21"/>
  <c r="P50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U71" i="21" l="1"/>
  <c r="U69" i="21"/>
  <c r="U75" i="21"/>
  <c r="U70" i="21"/>
  <c r="U76" i="21"/>
  <c r="U77" i="21"/>
  <c r="U74" i="21"/>
  <c r="U57" i="21"/>
  <c r="U66" i="21" s="1"/>
  <c r="U73" i="21"/>
  <c r="EN41" i="21" l="1"/>
  <c r="EL41" i="21"/>
  <c r="EL42" i="21" s="1"/>
  <c r="X91" i="28" l="1"/>
  <c r="K6" i="40" l="1"/>
  <c r="J71" i="27" l="1"/>
  <c r="H25" i="28"/>
  <c r="G25" i="28"/>
  <c r="E25" i="28"/>
  <c r="D25" i="28"/>
  <c r="V25" i="28" l="1"/>
  <c r="K138" i="27"/>
  <c r="J138" i="27"/>
  <c r="J147" i="27" s="1"/>
  <c r="J148" i="27" s="1"/>
  <c r="J151" i="27" s="1"/>
  <c r="I138" i="27"/>
  <c r="I147" i="27" s="1"/>
  <c r="I148" i="27" s="1"/>
  <c r="I151" i="27" s="1"/>
  <c r="H138" i="27"/>
  <c r="H147" i="27" s="1"/>
  <c r="H148" i="27" s="1"/>
  <c r="H151" i="27" s="1"/>
  <c r="G138" i="27"/>
  <c r="G147" i="27" s="1"/>
  <c r="F138" i="27"/>
  <c r="F147" i="27" s="1"/>
  <c r="F148" i="27" s="1"/>
  <c r="F151" i="27" s="1"/>
  <c r="E138" i="27"/>
  <c r="E147" i="27" s="1"/>
  <c r="E148" i="27" s="1"/>
  <c r="E151" i="27" s="1"/>
  <c r="D138" i="27"/>
  <c r="D147" i="27" s="1"/>
  <c r="D148" i="27" s="1"/>
  <c r="L7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59" i="27"/>
  <c r="L60" i="27"/>
  <c r="L61" i="27"/>
  <c r="L62" i="27"/>
  <c r="L63" i="27"/>
  <c r="L64" i="27"/>
  <c r="L65" i="27"/>
  <c r="L66" i="27"/>
  <c r="L67" i="27"/>
  <c r="L68" i="27"/>
  <c r="L69" i="27"/>
  <c r="L70" i="27"/>
  <c r="L72" i="27"/>
  <c r="L73" i="27"/>
  <c r="L74" i="27"/>
  <c r="L94" i="27"/>
  <c r="L96" i="27"/>
  <c r="F71" i="27"/>
  <c r="L71" i="27" s="1"/>
  <c r="N40" i="40"/>
  <c r="Z46" i="21" s="1"/>
  <c r="N32" i="40"/>
  <c r="Z38" i="21" s="1"/>
  <c r="N26" i="40"/>
  <c r="Z32" i="21" s="1"/>
  <c r="N8" i="40"/>
  <c r="Z14" i="21" s="1"/>
  <c r="N7" i="40"/>
  <c r="Z13" i="21" s="1"/>
  <c r="B7" i="40"/>
  <c r="B8" i="40" s="1"/>
  <c r="B9" i="40" s="1"/>
  <c r="B10" i="40" s="1"/>
  <c r="B11" i="40" s="1"/>
  <c r="B12" i="40" s="1"/>
  <c r="B13" i="40" s="1"/>
  <c r="B14" i="40" s="1"/>
  <c r="B15" i="40" s="1"/>
  <c r="B16" i="40" s="1"/>
  <c r="B17" i="40" s="1"/>
  <c r="B18" i="40" s="1"/>
  <c r="B19" i="40" s="1"/>
  <c r="B20" i="40" s="1"/>
  <c r="B21" i="40" s="1"/>
  <c r="B22" i="40" s="1"/>
  <c r="B23" i="40" s="1"/>
  <c r="B24" i="40" s="1"/>
  <c r="B25" i="40" s="1"/>
  <c r="B26" i="40" s="1"/>
  <c r="B27" i="40" s="1"/>
  <c r="B28" i="40" s="1"/>
  <c r="B29" i="40" s="1"/>
  <c r="B30" i="40" s="1"/>
  <c r="B31" i="40" s="1"/>
  <c r="B32" i="40" s="1"/>
  <c r="B33" i="40" s="1"/>
  <c r="B34" i="40" s="1"/>
  <c r="B35" i="40" s="1"/>
  <c r="B36" i="40" s="1"/>
  <c r="B37" i="40" s="1"/>
  <c r="B38" i="40" s="1"/>
  <c r="B39" i="40" s="1"/>
  <c r="B40" i="40" s="1"/>
  <c r="B41" i="40" s="1"/>
  <c r="B42" i="40" s="1"/>
  <c r="B43" i="40" s="1"/>
  <c r="B44" i="40" s="1"/>
  <c r="B45" i="40" s="1"/>
  <c r="B46" i="40" s="1"/>
  <c r="B47" i="40" s="1"/>
  <c r="B48" i="40" s="1"/>
  <c r="B49" i="40" s="1"/>
  <c r="G6" i="40"/>
  <c r="BA16" i="21"/>
  <c r="V110" i="28"/>
  <c r="Q134" i="27"/>
  <c r="D32" i="39"/>
  <c r="C32" i="39"/>
  <c r="E32" i="39"/>
  <c r="B32" i="39"/>
  <c r="V101" i="28"/>
  <c r="V102" i="28"/>
  <c r="V103" i="28"/>
  <c r="V104" i="28"/>
  <c r="V105" i="28"/>
  <c r="V106" i="28"/>
  <c r="V107" i="28"/>
  <c r="V108" i="28"/>
  <c r="V109" i="28"/>
  <c r="V111" i="28"/>
  <c r="V112" i="28"/>
  <c r="V113" i="28"/>
  <c r="V114" i="28"/>
  <c r="V122" i="28"/>
  <c r="C24" i="39"/>
  <c r="C25" i="39"/>
  <c r="C26" i="39"/>
  <c r="C27" i="39"/>
  <c r="C28" i="39"/>
  <c r="C23" i="39"/>
  <c r="D27" i="39"/>
  <c r="D28" i="39"/>
  <c r="D24" i="39"/>
  <c r="D3" i="39"/>
  <c r="E3" i="39" s="1"/>
  <c r="H3" i="39" s="1"/>
  <c r="D4" i="39"/>
  <c r="D5" i="39"/>
  <c r="D6" i="39"/>
  <c r="E6" i="39" s="1"/>
  <c r="H6" i="39" s="1"/>
  <c r="D7" i="39"/>
  <c r="D8" i="39"/>
  <c r="E8" i="39" s="1"/>
  <c r="H8" i="39" s="1"/>
  <c r="D14" i="39"/>
  <c r="D25" i="39" s="1"/>
  <c r="D15" i="39"/>
  <c r="D26" i="39" s="1"/>
  <c r="D151" i="27" l="1"/>
  <c r="D152" i="27"/>
  <c r="V115" i="28"/>
  <c r="J152" i="27"/>
  <c r="L19" i="40"/>
  <c r="X25" i="21" s="1"/>
  <c r="N19" i="40"/>
  <c r="Z25" i="21" s="1"/>
  <c r="L31" i="40"/>
  <c r="X37" i="21" s="1"/>
  <c r="N31" i="40"/>
  <c r="Z37" i="21" s="1"/>
  <c r="L42" i="40"/>
  <c r="X48" i="21" s="1"/>
  <c r="N42" i="40"/>
  <c r="Z48" i="21" s="1"/>
  <c r="L30" i="40"/>
  <c r="X36" i="21" s="1"/>
  <c r="N30" i="40"/>
  <c r="Z36" i="21" s="1"/>
  <c r="L43" i="40"/>
  <c r="X49" i="21" s="1"/>
  <c r="N43" i="40"/>
  <c r="Z49" i="21" s="1"/>
  <c r="L20" i="40"/>
  <c r="X26" i="21" s="1"/>
  <c r="N20" i="40"/>
  <c r="Z26" i="21" s="1"/>
  <c r="L10" i="40"/>
  <c r="X16" i="21" s="1"/>
  <c r="N10" i="40"/>
  <c r="Z16" i="21" s="1"/>
  <c r="L21" i="40"/>
  <c r="X27" i="21" s="1"/>
  <c r="N21" i="40"/>
  <c r="Z27" i="21" s="1"/>
  <c r="L33" i="40"/>
  <c r="X39" i="21" s="1"/>
  <c r="N33" i="40"/>
  <c r="Z39" i="21" s="1"/>
  <c r="L44" i="40"/>
  <c r="X50" i="21" s="1"/>
  <c r="N44" i="40"/>
  <c r="Z50" i="21" s="1"/>
  <c r="L45" i="40"/>
  <c r="X51" i="21" s="1"/>
  <c r="N45" i="40"/>
  <c r="Z51" i="21" s="1"/>
  <c r="L11" i="40"/>
  <c r="X17" i="21" s="1"/>
  <c r="N11" i="40"/>
  <c r="Z17" i="21" s="1"/>
  <c r="L12" i="40"/>
  <c r="X18" i="21" s="1"/>
  <c r="N12" i="40"/>
  <c r="Z18" i="21" s="1"/>
  <c r="L23" i="40"/>
  <c r="X29" i="21" s="1"/>
  <c r="N23" i="40"/>
  <c r="Z29" i="21" s="1"/>
  <c r="L35" i="40"/>
  <c r="X41" i="21" s="1"/>
  <c r="N35" i="40"/>
  <c r="Z41" i="21" s="1"/>
  <c r="L46" i="40"/>
  <c r="X52" i="21" s="1"/>
  <c r="N46" i="40"/>
  <c r="Z52" i="21" s="1"/>
  <c r="X24" i="21"/>
  <c r="N18" i="40"/>
  <c r="Z24" i="21" s="1"/>
  <c r="L34" i="40"/>
  <c r="X40" i="21" s="1"/>
  <c r="N34" i="40"/>
  <c r="Z40" i="21" s="1"/>
  <c r="L13" i="40"/>
  <c r="X19" i="21" s="1"/>
  <c r="N13" i="40"/>
  <c r="Z19" i="21" s="1"/>
  <c r="L24" i="40"/>
  <c r="X30" i="21" s="1"/>
  <c r="N24" i="40"/>
  <c r="Z30" i="21" s="1"/>
  <c r="L36" i="40"/>
  <c r="X42" i="21" s="1"/>
  <c r="N36" i="40"/>
  <c r="Z42" i="21" s="1"/>
  <c r="L47" i="40"/>
  <c r="X53" i="21" s="1"/>
  <c r="N47" i="40"/>
  <c r="Z53" i="21" s="1"/>
  <c r="L22" i="40"/>
  <c r="X28" i="21" s="1"/>
  <c r="N22" i="40"/>
  <c r="Z28" i="21" s="1"/>
  <c r="L14" i="40"/>
  <c r="X20" i="21" s="1"/>
  <c r="N14" i="40"/>
  <c r="Z20" i="21" s="1"/>
  <c r="L25" i="40"/>
  <c r="X31" i="21" s="1"/>
  <c r="Z31" i="21"/>
  <c r="L37" i="40"/>
  <c r="X43" i="21" s="1"/>
  <c r="N37" i="40"/>
  <c r="Z43" i="21" s="1"/>
  <c r="L38" i="40"/>
  <c r="X44" i="21" s="1"/>
  <c r="N38" i="40"/>
  <c r="Z44" i="21" s="1"/>
  <c r="L41" i="40"/>
  <c r="X47" i="21" s="1"/>
  <c r="N41" i="40"/>
  <c r="Z47" i="21" s="1"/>
  <c r="L16" i="40"/>
  <c r="X22" i="21" s="1"/>
  <c r="N16" i="40"/>
  <c r="Z22" i="21" s="1"/>
  <c r="L27" i="40"/>
  <c r="X33" i="21" s="1"/>
  <c r="N27" i="40"/>
  <c r="Z33" i="21" s="1"/>
  <c r="L6" i="40"/>
  <c r="X12" i="21" s="1"/>
  <c r="N6" i="40"/>
  <c r="Z12" i="21" s="1"/>
  <c r="L17" i="40"/>
  <c r="X23" i="21" s="1"/>
  <c r="N17" i="40"/>
  <c r="Z23" i="21" s="1"/>
  <c r="L28" i="40"/>
  <c r="X34" i="21" s="1"/>
  <c r="N28" i="40"/>
  <c r="Z34" i="21" s="1"/>
  <c r="L39" i="40"/>
  <c r="X45" i="21" s="1"/>
  <c r="N39" i="40"/>
  <c r="Z45" i="21" s="1"/>
  <c r="L9" i="40"/>
  <c r="X15" i="21" s="1"/>
  <c r="N9" i="40"/>
  <c r="Z15" i="21" s="1"/>
  <c r="L15" i="40"/>
  <c r="X21" i="21" s="1"/>
  <c r="N15" i="40"/>
  <c r="Z21" i="21" s="1"/>
  <c r="L29" i="40"/>
  <c r="X35" i="21" s="1"/>
  <c r="N29" i="40"/>
  <c r="Z35" i="21" s="1"/>
  <c r="L40" i="40"/>
  <c r="X46" i="21" s="1"/>
  <c r="L8" i="40"/>
  <c r="X14" i="21" s="1"/>
  <c r="L26" i="40"/>
  <c r="X32" i="21" s="1"/>
  <c r="L32" i="40"/>
  <c r="X38" i="21" s="1"/>
  <c r="L7" i="40"/>
  <c r="X13" i="21" s="1"/>
  <c r="M36" i="40"/>
  <c r="Y42" i="21" s="1"/>
  <c r="M25" i="40"/>
  <c r="Y31" i="21" s="1"/>
  <c r="M29" i="40"/>
  <c r="Y35" i="21" s="1"/>
  <c r="M17" i="40"/>
  <c r="Y23" i="21" s="1"/>
  <c r="M40" i="40"/>
  <c r="Y46" i="21" s="1"/>
  <c r="M39" i="40"/>
  <c r="Y45" i="21" s="1"/>
  <c r="M27" i="40"/>
  <c r="Y33" i="21" s="1"/>
  <c r="M16" i="40"/>
  <c r="Y22" i="21" s="1"/>
  <c r="M38" i="40"/>
  <c r="Y44" i="21" s="1"/>
  <c r="M26" i="40"/>
  <c r="Y32" i="21" s="1"/>
  <c r="M15" i="40"/>
  <c r="Y21" i="21" s="1"/>
  <c r="M28" i="40"/>
  <c r="Y34" i="21" s="1"/>
  <c r="M37" i="40"/>
  <c r="Y43" i="21" s="1"/>
  <c r="M14" i="40"/>
  <c r="Y20" i="21" s="1"/>
  <c r="M47" i="40"/>
  <c r="Y53" i="21" s="1"/>
  <c r="M24" i="40"/>
  <c r="Y30" i="21" s="1"/>
  <c r="M13" i="40"/>
  <c r="Y19" i="21" s="1"/>
  <c r="M46" i="40"/>
  <c r="Y52" i="21" s="1"/>
  <c r="M35" i="40"/>
  <c r="Y41" i="21" s="1"/>
  <c r="M23" i="40"/>
  <c r="Y29" i="21" s="1"/>
  <c r="M12" i="40"/>
  <c r="Y18" i="21" s="1"/>
  <c r="M45" i="40"/>
  <c r="Y51" i="21" s="1"/>
  <c r="M34" i="40"/>
  <c r="Y40" i="21" s="1"/>
  <c r="M22" i="40"/>
  <c r="Y28" i="21" s="1"/>
  <c r="M11" i="40"/>
  <c r="Y17" i="21" s="1"/>
  <c r="M44" i="40"/>
  <c r="Y50" i="21" s="1"/>
  <c r="M33" i="40"/>
  <c r="Y39" i="21" s="1"/>
  <c r="M21" i="40"/>
  <c r="Y27" i="21" s="1"/>
  <c r="M10" i="40"/>
  <c r="Y16" i="21" s="1"/>
  <c r="M43" i="40"/>
  <c r="Y49" i="21" s="1"/>
  <c r="M32" i="40"/>
  <c r="Y38" i="21" s="1"/>
  <c r="M20" i="40"/>
  <c r="Y26" i="21" s="1"/>
  <c r="M9" i="40"/>
  <c r="Y15" i="21" s="1"/>
  <c r="M42" i="40"/>
  <c r="Y48" i="21" s="1"/>
  <c r="M31" i="40"/>
  <c r="Y37" i="21" s="1"/>
  <c r="M19" i="40"/>
  <c r="Y25" i="21" s="1"/>
  <c r="M8" i="40"/>
  <c r="Y14" i="21" s="1"/>
  <c r="M41" i="40"/>
  <c r="Y47" i="21" s="1"/>
  <c r="M30" i="40"/>
  <c r="Y36" i="21" s="1"/>
  <c r="Y24" i="21"/>
  <c r="M7" i="40"/>
  <c r="Y13" i="21" s="1"/>
  <c r="M6" i="40"/>
  <c r="Y12" i="21" s="1"/>
  <c r="F3" i="39"/>
  <c r="G3" i="39"/>
  <c r="G8" i="39"/>
  <c r="G6" i="39"/>
  <c r="F8" i="39"/>
  <c r="F6" i="39"/>
  <c r="E5" i="39"/>
  <c r="H5" i="39" s="1"/>
  <c r="E7" i="39"/>
  <c r="H7" i="39" s="1"/>
  <c r="E4" i="39"/>
  <c r="H4" i="39" s="1"/>
  <c r="AO26" i="21" l="1"/>
  <c r="F152" i="27"/>
  <c r="AO51" i="21"/>
  <c r="AO53" i="21"/>
  <c r="AO52" i="21"/>
  <c r="F4" i="39"/>
  <c r="G5" i="39"/>
  <c r="F5" i="39"/>
  <c r="F7" i="39"/>
  <c r="G7" i="39"/>
  <c r="G4" i="39"/>
  <c r="I3" i="39"/>
  <c r="H39" i="28" s="1"/>
  <c r="H91" i="28" s="1"/>
  <c r="I8" i="39"/>
  <c r="N39" i="28" s="1"/>
  <c r="N91" i="28" s="1"/>
  <c r="I6" i="39"/>
  <c r="V39" i="28" l="1"/>
  <c r="I5" i="39"/>
  <c r="I7" i="39"/>
  <c r="I4" i="39"/>
  <c r="BA20" i="21" l="1"/>
  <c r="BA48" i="21"/>
  <c r="BA49" i="21"/>
  <c r="BA50" i="21"/>
  <c r="BA51" i="21"/>
  <c r="BA52" i="21"/>
  <c r="BA53" i="21"/>
  <c r="BA54" i="21"/>
  <c r="M48" i="33" l="1"/>
  <c r="O48" i="33" s="1"/>
  <c r="BB13" i="21"/>
  <c r="BB12" i="21"/>
  <c r="BB50" i="21"/>
  <c r="BB51" i="21"/>
  <c r="AP51" i="21" s="1"/>
  <c r="BB52" i="21"/>
  <c r="AP52" i="21" s="1"/>
  <c r="BB53" i="21"/>
  <c r="AP53" i="21" s="1"/>
  <c r="BB54" i="21"/>
  <c r="AP54" i="21" s="1"/>
  <c r="AX54" i="21" l="1"/>
  <c r="AV54" i="21"/>
  <c r="AT54" i="21"/>
  <c r="AT53" i="21"/>
  <c r="AV53" i="21"/>
  <c r="AX53" i="21"/>
  <c r="AX52" i="21"/>
  <c r="AV52" i="21"/>
  <c r="AT52" i="21"/>
  <c r="BN52" i="21"/>
  <c r="D105" i="27"/>
  <c r="D104" i="27"/>
  <c r="D123" i="27"/>
  <c r="T13" i="21"/>
  <c r="T14" i="21"/>
  <c r="T15" i="21"/>
  <c r="T16" i="21"/>
  <c r="T17" i="21"/>
  <c r="T18" i="21"/>
  <c r="T19" i="21"/>
  <c r="T20" i="21"/>
  <c r="T21" i="21"/>
  <c r="AO21" i="21" s="1"/>
  <c r="T22" i="21"/>
  <c r="T23" i="21"/>
  <c r="T24" i="21"/>
  <c r="T25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AO46" i="21" s="1"/>
  <c r="T47" i="21"/>
  <c r="T48" i="21"/>
  <c r="T49" i="21"/>
  <c r="T50" i="21"/>
  <c r="T12" i="21"/>
  <c r="R47" i="21"/>
  <c r="R48" i="21"/>
  <c r="R49" i="21"/>
  <c r="R50" i="21"/>
  <c r="AY47" i="21"/>
  <c r="AY48" i="21"/>
  <c r="AY49" i="21"/>
  <c r="AY50" i="21"/>
  <c r="AZ52" i="21" l="1"/>
  <c r="BK52" i="21" s="1"/>
  <c r="BL52" i="21" s="1"/>
  <c r="AZ54" i="21"/>
  <c r="BK54" i="21" s="1"/>
  <c r="BL54" i="21" s="1"/>
  <c r="AZ53" i="21"/>
  <c r="BK53" i="21" s="1"/>
  <c r="BL53" i="21" s="1"/>
  <c r="AO48" i="21"/>
  <c r="AO47" i="21"/>
  <c r="AO49" i="21"/>
  <c r="AO50" i="21"/>
  <c r="AP50" i="21" s="1"/>
  <c r="T57" i="21"/>
  <c r="K57" i="21" l="1"/>
  <c r="BX85" i="21" l="1"/>
  <c r="AY46" i="21" l="1"/>
  <c r="R46" i="21"/>
  <c r="BB15" i="21" l="1"/>
  <c r="BB16" i="21"/>
  <c r="BB17" i="21"/>
  <c r="BB18" i="21"/>
  <c r="BB19" i="21"/>
  <c r="BB20" i="21"/>
  <c r="BB22" i="21"/>
  <c r="BB23" i="21"/>
  <c r="BB25" i="21"/>
  <c r="BB26" i="21"/>
  <c r="BB27" i="21"/>
  <c r="BB28" i="21"/>
  <c r="BB29" i="21"/>
  <c r="BB30" i="21"/>
  <c r="BB31" i="21"/>
  <c r="BB32" i="21"/>
  <c r="BB33" i="21"/>
  <c r="BB34" i="21"/>
  <c r="BB35" i="21"/>
  <c r="BB36" i="21"/>
  <c r="BB37" i="21"/>
  <c r="BB38" i="21"/>
  <c r="BB39" i="21"/>
  <c r="BB40" i="21"/>
  <c r="BB41" i="21"/>
  <c r="BB42" i="21"/>
  <c r="BB43" i="21"/>
  <c r="BB44" i="21"/>
  <c r="BB45" i="21"/>
  <c r="BB46" i="21"/>
  <c r="BB47" i="21"/>
  <c r="BB48" i="21"/>
  <c r="AP48" i="21" s="1"/>
  <c r="BB21" i="21" l="1"/>
  <c r="BB49" i="21"/>
  <c r="AP49" i="21" s="1"/>
  <c r="BB14" i="21"/>
  <c r="AY45" i="21" l="1"/>
  <c r="J57" i="21"/>
  <c r="R45" i="21"/>
  <c r="AO45" i="21" l="1"/>
  <c r="O92" i="28" l="1"/>
  <c r="O93" i="28" l="1"/>
  <c r="O97" i="28" l="1"/>
  <c r="O100" i="28" s="1"/>
  <c r="O117" i="28" s="1"/>
  <c r="O118" i="28" s="1"/>
  <c r="BJ29" i="21" s="1"/>
  <c r="D47" i="29" l="1"/>
  <c r="J55" i="29" s="1"/>
  <c r="D46" i="29"/>
  <c r="J54" i="29" s="1"/>
  <c r="D45" i="29"/>
  <c r="J56" i="29" s="1"/>
  <c r="D44" i="29"/>
  <c r="J53" i="29" l="1"/>
  <c r="K53" i="29" s="1"/>
  <c r="K56" i="29"/>
  <c r="K55" i="29"/>
  <c r="K54" i="29"/>
  <c r="L55" i="29" l="1"/>
  <c r="M55" i="29" s="1"/>
  <c r="L54" i="29"/>
  <c r="M54" i="29" s="1"/>
  <c r="L56" i="29"/>
  <c r="M56" i="29" s="1"/>
  <c r="I58" i="29"/>
  <c r="M57" i="29"/>
  <c r="N57" i="29" s="1"/>
  <c r="G104" i="27"/>
  <c r="J58" i="29" l="1"/>
  <c r="L53" i="29" l="1"/>
  <c r="K58" i="29"/>
  <c r="M53" i="29" l="1"/>
  <c r="M58" i="29" s="1"/>
  <c r="L58" i="29"/>
  <c r="AX82" i="21"/>
  <c r="AI69" i="21" l="1"/>
  <c r="AI77" i="21"/>
  <c r="AI76" i="21"/>
  <c r="AI75" i="21"/>
  <c r="AI74" i="21"/>
  <c r="AI73" i="21"/>
  <c r="AI71" i="21"/>
  <c r="AI70" i="21"/>
  <c r="AI79" i="21" l="1"/>
  <c r="F104" i="27" l="1"/>
  <c r="E99" i="27"/>
  <c r="L162" i="27"/>
  <c r="W122" i="28" s="1"/>
  <c r="G97" i="28"/>
  <c r="D97" i="28"/>
  <c r="X122" i="28" l="1"/>
  <c r="N115" i="28"/>
  <c r="M115" i="28"/>
  <c r="D92" i="28"/>
  <c r="E104" i="27"/>
  <c r="D93" i="28" l="1"/>
  <c r="AL57" i="21"/>
  <c r="AL66" i="21" s="1"/>
  <c r="D98" i="28" l="1"/>
  <c r="H18" i="28" l="1"/>
  <c r="G18" i="28"/>
  <c r="E18" i="28"/>
  <c r="D18" i="28"/>
  <c r="V18" i="28" l="1"/>
  <c r="AY44" i="21"/>
  <c r="BA47" i="21"/>
  <c r="AP47" i="21" s="1"/>
  <c r="BA46" i="21"/>
  <c r="AP46" i="21" s="1"/>
  <c r="AT46" i="21" s="1"/>
  <c r="R44" i="21"/>
  <c r="AV83" i="21"/>
  <c r="AW82" i="21" s="1"/>
  <c r="AW81" i="21" l="1"/>
  <c r="AO44" i="21" l="1"/>
  <c r="M92" i="28"/>
  <c r="J33" i="29"/>
  <c r="K33" i="29" s="1"/>
  <c r="J32" i="29"/>
  <c r="K32" i="29" s="1"/>
  <c r="J31" i="29"/>
  <c r="K31" i="29" s="1"/>
  <c r="J30" i="29"/>
  <c r="K30" i="29" s="1"/>
  <c r="M93" i="28" l="1"/>
  <c r="M97" i="28" l="1"/>
  <c r="M100" i="28" s="1"/>
  <c r="M117" i="28" s="1"/>
  <c r="M118" i="28" s="1"/>
  <c r="BJ19" i="21" s="1"/>
  <c r="J13" i="27"/>
  <c r="I13" i="27"/>
  <c r="I97" i="27" s="1"/>
  <c r="H13" i="27"/>
  <c r="H97" i="27" s="1"/>
  <c r="G13" i="27"/>
  <c r="G97" i="27" s="1"/>
  <c r="F13" i="27"/>
  <c r="E13" i="27"/>
  <c r="E97" i="27" s="1"/>
  <c r="D13" i="27"/>
  <c r="D97" i="27" s="1"/>
  <c r="D149" i="27" s="1"/>
  <c r="O34" i="31"/>
  <c r="N34" i="31"/>
  <c r="M34" i="31"/>
  <c r="L34" i="31"/>
  <c r="K34" i="31"/>
  <c r="J34" i="31"/>
  <c r="I34" i="31"/>
  <c r="H34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P32" i="31"/>
  <c r="Q32" i="31" s="1"/>
  <c r="P31" i="31"/>
  <c r="Q31" i="31" s="1"/>
  <c r="P30" i="31"/>
  <c r="Q30" i="31" s="1"/>
  <c r="P29" i="31"/>
  <c r="Q29" i="31" s="1"/>
  <c r="P28" i="31"/>
  <c r="Q28" i="31" s="1"/>
  <c r="P27" i="31"/>
  <c r="Q27" i="31" s="1"/>
  <c r="P26" i="31"/>
  <c r="Q26" i="31" s="1"/>
  <c r="P25" i="31"/>
  <c r="Q25" i="31" s="1"/>
  <c r="A25" i="31"/>
  <c r="A26" i="31" s="1"/>
  <c r="A27" i="31" s="1"/>
  <c r="A28" i="31" s="1"/>
  <c r="A29" i="31" s="1"/>
  <c r="P24" i="31"/>
  <c r="Q24" i="31" s="1"/>
  <c r="O12" i="31"/>
  <c r="N12" i="31"/>
  <c r="M12" i="31"/>
  <c r="L12" i="31"/>
  <c r="I12" i="31"/>
  <c r="H12" i="31"/>
  <c r="G12" i="31"/>
  <c r="F12" i="31"/>
  <c r="E12" i="31"/>
  <c r="D12" i="31"/>
  <c r="C12" i="31"/>
  <c r="P9" i="31"/>
  <c r="Q9" i="31" s="1"/>
  <c r="P8" i="31"/>
  <c r="Q8" i="31" s="1"/>
  <c r="P7" i="31"/>
  <c r="Q7" i="31" s="1"/>
  <c r="P6" i="31"/>
  <c r="Q6" i="31" s="1"/>
  <c r="P5" i="31"/>
  <c r="Q5" i="31" s="1"/>
  <c r="P4" i="31"/>
  <c r="A4" i="31"/>
  <c r="A5" i="31" s="1"/>
  <c r="A6" i="31" s="1"/>
  <c r="A7" i="31" s="1"/>
  <c r="A8" i="31" s="1"/>
  <c r="A9" i="31" s="1"/>
  <c r="P3" i="31"/>
  <c r="Q3" i="31" s="1"/>
  <c r="J97" i="27" l="1"/>
  <c r="J149" i="27" s="1"/>
  <c r="J98" i="27" s="1"/>
  <c r="D153" i="27"/>
  <c r="D154" i="27" s="1"/>
  <c r="F97" i="27"/>
  <c r="F149" i="27" s="1"/>
  <c r="E153" i="27"/>
  <c r="I153" i="27"/>
  <c r="G153" i="27"/>
  <c r="H153" i="27"/>
  <c r="Q33" i="31"/>
  <c r="P12" i="31"/>
  <c r="Q4" i="31"/>
  <c r="Q12" i="31" s="1"/>
  <c r="P33" i="31"/>
  <c r="J153" i="27" l="1"/>
  <c r="J154" i="27" s="1"/>
  <c r="J155" i="27" s="1"/>
  <c r="L97" i="27"/>
  <c r="F153" i="27"/>
  <c r="D98" i="27"/>
  <c r="D155" i="27"/>
  <c r="H13" i="28"/>
  <c r="G13" i="28"/>
  <c r="E13" i="28"/>
  <c r="D13" i="28"/>
  <c r="L115" i="28"/>
  <c r="K115" i="28"/>
  <c r="J115" i="28"/>
  <c r="I115" i="28"/>
  <c r="I117" i="28" s="1"/>
  <c r="I118" i="28" s="1"/>
  <c r="H115" i="28"/>
  <c r="G115" i="28"/>
  <c r="F115" i="28"/>
  <c r="E115" i="28"/>
  <c r="N92" i="28"/>
  <c r="N93" i="28" s="1"/>
  <c r="L92" i="28"/>
  <c r="K92" i="28"/>
  <c r="J92" i="28"/>
  <c r="I93" i="28"/>
  <c r="H92" i="28"/>
  <c r="G92" i="28"/>
  <c r="F92" i="28"/>
  <c r="F93" i="28" s="1"/>
  <c r="E92" i="28"/>
  <c r="AC79" i="28"/>
  <c r="AC75" i="28"/>
  <c r="AC74" i="28"/>
  <c r="K10" i="28"/>
  <c r="H7" i="28"/>
  <c r="G7" i="28"/>
  <c r="E7" i="28"/>
  <c r="D7" i="28"/>
  <c r="E3" i="28"/>
  <c r="F3" i="28" s="1"/>
  <c r="G3" i="28" s="1"/>
  <c r="H3" i="28" s="1"/>
  <c r="K91" i="28" l="1"/>
  <c r="K93" i="28" s="1"/>
  <c r="V10" i="28"/>
  <c r="V92" i="28"/>
  <c r="V7" i="28"/>
  <c r="V13" i="28"/>
  <c r="E93" i="28"/>
  <c r="N97" i="28"/>
  <c r="N100" i="28" s="1"/>
  <c r="N117" i="28" s="1"/>
  <c r="N118" i="28" s="1"/>
  <c r="BJ28" i="21" s="1"/>
  <c r="AC80" i="28"/>
  <c r="BJ20" i="21"/>
  <c r="F97" i="28"/>
  <c r="F100" i="28" s="1"/>
  <c r="F117" i="28" s="1"/>
  <c r="AC76" i="28"/>
  <c r="H93" i="28"/>
  <c r="L93" i="28"/>
  <c r="L97" i="28" s="1"/>
  <c r="J93" i="28"/>
  <c r="J97" i="28" s="1"/>
  <c r="F118" i="28" l="1"/>
  <c r="AC82" i="28"/>
  <c r="G91" i="28" s="1"/>
  <c r="V91" i="28" s="1"/>
  <c r="H97" i="28"/>
  <c r="H100" i="28" s="1"/>
  <c r="H117" i="28" s="1"/>
  <c r="H118" i="28" s="1"/>
  <c r="BJ14" i="21" s="1"/>
  <c r="E97" i="28"/>
  <c r="K97" i="28"/>
  <c r="K100" i="28" s="1"/>
  <c r="K117" i="28" s="1"/>
  <c r="K118" i="28" s="1"/>
  <c r="BJ25" i="21" s="1"/>
  <c r="J100" i="28"/>
  <c r="J117" i="28" s="1"/>
  <c r="D100" i="28"/>
  <c r="D117" i="28" s="1"/>
  <c r="D118" i="28" s="1"/>
  <c r="BJ13" i="21" s="1"/>
  <c r="BJ16" i="21" l="1"/>
  <c r="V97" i="28"/>
  <c r="E100" i="28"/>
  <c r="E117" i="28" s="1"/>
  <c r="E118" i="28" s="1"/>
  <c r="BJ15" i="21" s="1"/>
  <c r="G93" i="28"/>
  <c r="V93" i="28" s="1"/>
  <c r="L100" i="28"/>
  <c r="L117" i="28" s="1"/>
  <c r="L118" i="28" s="1"/>
  <c r="BJ36" i="21" s="1"/>
  <c r="G98" i="28" l="1"/>
  <c r="V98" i="28" s="1"/>
  <c r="G99" i="28"/>
  <c r="V99" i="28" s="1"/>
  <c r="R34" i="21"/>
  <c r="AY34" i="21"/>
  <c r="V100" i="28" l="1"/>
  <c r="AO34" i="21"/>
  <c r="G100" i="28"/>
  <c r="G117" i="28" s="1"/>
  <c r="V117" i="28" s="1"/>
  <c r="G118" i="28" l="1"/>
  <c r="BJ17" i="21" l="1"/>
  <c r="V118" i="28"/>
  <c r="V120" i="28"/>
  <c r="BV87" i="21"/>
  <c r="BV89" i="21" s="1"/>
  <c r="J99" i="27"/>
  <c r="J100" i="27" s="1"/>
  <c r="J105" i="27" s="1"/>
  <c r="I99" i="27"/>
  <c r="H99" i="27"/>
  <c r="F99" i="27"/>
  <c r="D99" i="27" l="1"/>
  <c r="D100" i="27" s="1"/>
  <c r="I149" i="27"/>
  <c r="H149" i="27"/>
  <c r="J123" i="27"/>
  <c r="I123" i="27"/>
  <c r="H123" i="27"/>
  <c r="H152" i="27" l="1"/>
  <c r="H98" i="27"/>
  <c r="H100" i="27" s="1"/>
  <c r="H104" i="27" s="1"/>
  <c r="H108" i="27" s="1"/>
  <c r="H125" i="27" s="1"/>
  <c r="I98" i="27"/>
  <c r="I100" i="27" s="1"/>
  <c r="I104" i="27" s="1"/>
  <c r="I108" i="27" s="1"/>
  <c r="I125" i="27" s="1"/>
  <c r="I152" i="27"/>
  <c r="J104" i="27"/>
  <c r="J108" i="27" s="1"/>
  <c r="J125" i="27" s="1"/>
  <c r="D107" i="27"/>
  <c r="D106" i="27"/>
  <c r="L121" i="27"/>
  <c r="J126" i="27" l="1"/>
  <c r="BJ39" i="21" s="1"/>
  <c r="I126" i="27"/>
  <c r="BJ34" i="21" s="1"/>
  <c r="H126" i="27"/>
  <c r="BJ35" i="21" s="1"/>
  <c r="D108" i="27"/>
  <c r="D125" i="27" s="1"/>
  <c r="I154" i="27"/>
  <c r="I155" i="27" s="1"/>
  <c r="H154" i="27"/>
  <c r="H155" i="27" s="1"/>
  <c r="D126" i="27" l="1"/>
  <c r="BJ12" i="21" s="1"/>
  <c r="AO13" i="21"/>
  <c r="AP13" i="21" s="1"/>
  <c r="AG57" i="21"/>
  <c r="AG66" i="21" s="1"/>
  <c r="L32" i="29" l="1"/>
  <c r="BF16" i="21" s="1"/>
  <c r="L122" i="27" l="1"/>
  <c r="L120" i="27"/>
  <c r="L119" i="27"/>
  <c r="L118" i="27"/>
  <c r="L117" i="27"/>
  <c r="L116" i="27"/>
  <c r="L115" i="27"/>
  <c r="L114" i="27"/>
  <c r="L113" i="27"/>
  <c r="L112" i="27"/>
  <c r="L111" i="27"/>
  <c r="L110" i="27"/>
  <c r="L23" i="27"/>
  <c r="L18" i="27"/>
  <c r="L14" i="27"/>
  <c r="L13" i="27"/>
  <c r="L9" i="27"/>
  <c r="L8" i="27"/>
  <c r="L123" i="27" l="1"/>
  <c r="BO77" i="21" l="1"/>
  <c r="BO76" i="21"/>
  <c r="BO75" i="21"/>
  <c r="BO74" i="21"/>
  <c r="BO73" i="21"/>
  <c r="BO71" i="21"/>
  <c r="BO70" i="21"/>
  <c r="BO69" i="21"/>
  <c r="AN77" i="21"/>
  <c r="AM77" i="21"/>
  <c r="AL77" i="21"/>
  <c r="AK77" i="21"/>
  <c r="AJ77" i="21"/>
  <c r="AH77" i="21"/>
  <c r="AG77" i="21"/>
  <c r="AF77" i="21"/>
  <c r="W77" i="21"/>
  <c r="V77" i="21"/>
  <c r="T77" i="21"/>
  <c r="AN76" i="21"/>
  <c r="AM76" i="21"/>
  <c r="AL76" i="21"/>
  <c r="AK76" i="21"/>
  <c r="AJ76" i="21"/>
  <c r="AH76" i="21"/>
  <c r="AG76" i="21"/>
  <c r="AF76" i="21"/>
  <c r="AA76" i="21"/>
  <c r="W76" i="21"/>
  <c r="V76" i="21"/>
  <c r="T76" i="21"/>
  <c r="AN75" i="21"/>
  <c r="AM75" i="21"/>
  <c r="AL75" i="21"/>
  <c r="AK75" i="21"/>
  <c r="AJ75" i="21"/>
  <c r="AH75" i="21"/>
  <c r="AG75" i="21"/>
  <c r="AF75" i="21"/>
  <c r="AA75" i="21"/>
  <c r="W75" i="21"/>
  <c r="V75" i="21"/>
  <c r="T75" i="21"/>
  <c r="AN74" i="21"/>
  <c r="AM74" i="21"/>
  <c r="AL74" i="21"/>
  <c r="AK74" i="21"/>
  <c r="AJ74" i="21"/>
  <c r="AH74" i="21"/>
  <c r="AG74" i="21"/>
  <c r="AF74" i="21"/>
  <c r="W74" i="21"/>
  <c r="V74" i="21"/>
  <c r="T74" i="21"/>
  <c r="AN73" i="21"/>
  <c r="AM73" i="21"/>
  <c r="AL73" i="21"/>
  <c r="AK73" i="21"/>
  <c r="AJ73" i="21"/>
  <c r="AH73" i="21"/>
  <c r="AG73" i="21"/>
  <c r="AF73" i="21"/>
  <c r="AA73" i="21"/>
  <c r="W73" i="21"/>
  <c r="T73" i="21"/>
  <c r="AN71" i="21"/>
  <c r="AM71" i="21"/>
  <c r="AL71" i="21"/>
  <c r="AK71" i="21"/>
  <c r="AJ71" i="21"/>
  <c r="AH71" i="21"/>
  <c r="AG71" i="21"/>
  <c r="AF71" i="21"/>
  <c r="W71" i="21"/>
  <c r="V71" i="21"/>
  <c r="T71" i="21"/>
  <c r="AN70" i="21"/>
  <c r="AM70" i="21"/>
  <c r="AL70" i="21"/>
  <c r="AK70" i="21"/>
  <c r="AJ70" i="21"/>
  <c r="AH70" i="21"/>
  <c r="AG70" i="21"/>
  <c r="AF70" i="21"/>
  <c r="W70" i="21"/>
  <c r="V70" i="21"/>
  <c r="T70" i="21"/>
  <c r="AN69" i="21"/>
  <c r="AM69" i="21"/>
  <c r="AL69" i="21"/>
  <c r="AK69" i="21"/>
  <c r="AJ69" i="21"/>
  <c r="AH69" i="21"/>
  <c r="AG69" i="21"/>
  <c r="AF69" i="21"/>
  <c r="W69" i="21"/>
  <c r="V69" i="21"/>
  <c r="T69" i="21"/>
  <c r="AG79" i="21" l="1"/>
  <c r="L30" i="29"/>
  <c r="BF12" i="21" s="1"/>
  <c r="AY43" i="21" l="1"/>
  <c r="R43" i="21" l="1"/>
  <c r="AB71" i="21" l="1"/>
  <c r="AB70" i="21"/>
  <c r="AB76" i="21"/>
  <c r="AB75" i="21" l="1"/>
  <c r="AO43" i="21"/>
  <c r="S76" i="21"/>
  <c r="AD71" i="21"/>
  <c r="AD76" i="21"/>
  <c r="AD75" i="21"/>
  <c r="AB74" i="21"/>
  <c r="AD69" i="21"/>
  <c r="AD77" i="21"/>
  <c r="AD70" i="21"/>
  <c r="S70" i="21" l="1"/>
  <c r="BA45" i="21" l="1"/>
  <c r="AP45" i="21" s="1"/>
  <c r="BA44" i="21"/>
  <c r="AP44" i="21" s="1"/>
  <c r="BA43" i="21"/>
  <c r="AP43" i="21" s="1"/>
  <c r="BA42" i="21"/>
  <c r="BA41" i="21"/>
  <c r="BA40" i="21"/>
  <c r="BA39" i="21"/>
  <c r="BA38" i="21"/>
  <c r="BA37" i="21"/>
  <c r="BA35" i="21"/>
  <c r="BA34" i="21"/>
  <c r="AP34" i="21" s="1"/>
  <c r="BA33" i="21"/>
  <c r="BA32" i="21"/>
  <c r="BA31" i="21"/>
  <c r="BA30" i="21"/>
  <c r="BA28" i="21"/>
  <c r="BA27" i="21"/>
  <c r="BA26" i="21"/>
  <c r="AP26" i="21" s="1"/>
  <c r="BA23" i="21"/>
  <c r="BA22" i="21"/>
  <c r="BA21" i="21"/>
  <c r="AP21" i="21" s="1"/>
  <c r="BA19" i="21"/>
  <c r="BA18" i="21"/>
  <c r="AB73" i="21"/>
  <c r="AV26" i="21" l="1"/>
  <c r="AX26" i="21"/>
  <c r="AT26" i="21"/>
  <c r="BN26" i="21"/>
  <c r="BA36" i="21"/>
  <c r="BA17" i="21"/>
  <c r="BA25" i="21"/>
  <c r="BA29" i="21"/>
  <c r="AZ26" i="21" l="1"/>
  <c r="BC57" i="21"/>
  <c r="BC66" i="21" s="1"/>
  <c r="S75" i="21" l="1"/>
  <c r="BO57" i="21"/>
  <c r="BO66" i="21" s="1"/>
  <c r="AB69" i="21" l="1"/>
  <c r="S69" i="21" l="1"/>
  <c r="BA57" i="21"/>
  <c r="BA66" i="21" s="1"/>
  <c r="AB77" i="21"/>
  <c r="S77" i="21" l="1"/>
  <c r="L31" i="29" l="1"/>
  <c r="M31" i="29" l="1"/>
  <c r="N31" i="29" s="1"/>
  <c r="O31" i="29" s="1"/>
  <c r="P31" i="29" s="1"/>
  <c r="Q31" i="29" s="1"/>
  <c r="BF13" i="21"/>
  <c r="M32" i="29"/>
  <c r="N32" i="29" s="1"/>
  <c r="O32" i="29" s="1"/>
  <c r="P32" i="29" s="1"/>
  <c r="Q32" i="29" s="1"/>
  <c r="T66" i="21" l="1"/>
  <c r="R42" i="21"/>
  <c r="AO42" i="21" l="1"/>
  <c r="AP42" i="21" s="1"/>
  <c r="AY42" i="21"/>
  <c r="AJ57" i="21" l="1"/>
  <c r="AJ66" i="21" s="1"/>
  <c r="AY41" i="21" l="1"/>
  <c r="AY39" i="21"/>
  <c r="AY38" i="21"/>
  <c r="R40" i="21"/>
  <c r="R39" i="21"/>
  <c r="R38" i="21"/>
  <c r="AO38" i="21" l="1"/>
  <c r="AP38" i="21" s="1"/>
  <c r="AO39" i="21"/>
  <c r="AP39" i="21" s="1"/>
  <c r="AO40" i="21"/>
  <c r="AP40" i="21" s="1"/>
  <c r="R41" i="21"/>
  <c r="AO41" i="21" l="1"/>
  <c r="AP41" i="21" s="1"/>
  <c r="BN40" i="21"/>
  <c r="U107" i="27"/>
  <c r="V107" i="27" s="1"/>
  <c r="U106" i="27"/>
  <c r="V106" i="27" s="1"/>
  <c r="U104" i="27"/>
  <c r="V104" i="27" s="1"/>
  <c r="AR40" i="21" l="1"/>
  <c r="BK40" i="21" s="1"/>
  <c r="U105" i="27"/>
  <c r="U108" i="27" s="1"/>
  <c r="BL40" i="21" l="1"/>
  <c r="BU40" i="21" s="1"/>
  <c r="V105" i="27"/>
  <c r="V108" i="27" s="1"/>
  <c r="L17" i="27" l="1"/>
  <c r="M30" i="29" l="1"/>
  <c r="N30" i="29" s="1"/>
  <c r="O30" i="29" s="1"/>
  <c r="P30" i="29" s="1"/>
  <c r="Q30" i="29" s="1"/>
  <c r="L16" i="27" l="1"/>
  <c r="L12" i="27"/>
  <c r="L22" i="27" l="1"/>
  <c r="R12" i="21" l="1"/>
  <c r="R37" i="21"/>
  <c r="R36" i="21"/>
  <c r="R35" i="21"/>
  <c r="R33" i="21"/>
  <c r="R32" i="21"/>
  <c r="R31" i="21"/>
  <c r="R30" i="21"/>
  <c r="R29" i="21"/>
  <c r="R27" i="21"/>
  <c r="R25" i="21"/>
  <c r="R22" i="21"/>
  <c r="R20" i="21"/>
  <c r="R19" i="21"/>
  <c r="R17" i="21"/>
  <c r="AO30" i="21" l="1"/>
  <c r="AP30" i="21" s="1"/>
  <c r="AO20" i="21"/>
  <c r="AP20" i="21" s="1"/>
  <c r="AO27" i="21"/>
  <c r="AP27" i="21" s="1"/>
  <c r="AO29" i="21"/>
  <c r="AP29" i="21" s="1"/>
  <c r="AO32" i="21"/>
  <c r="AP32" i="21" s="1"/>
  <c r="AO37" i="21"/>
  <c r="AP37" i="21" s="1"/>
  <c r="AO31" i="21"/>
  <c r="AP31" i="21" s="1"/>
  <c r="AO33" i="21"/>
  <c r="AP33" i="21" s="1"/>
  <c r="AA69" i="21"/>
  <c r="AA74" i="21"/>
  <c r="R28" i="21"/>
  <c r="R21" i="21"/>
  <c r="AA77" i="21"/>
  <c r="AA70" i="21"/>
  <c r="R14" i="21"/>
  <c r="R24" i="21"/>
  <c r="R13" i="21"/>
  <c r="R15" i="21"/>
  <c r="R18" i="21"/>
  <c r="R23" i="21"/>
  <c r="AO16" i="21" l="1"/>
  <c r="AP16" i="21" s="1"/>
  <c r="S71" i="21"/>
  <c r="AO24" i="21"/>
  <c r="AP24" i="21" s="1"/>
  <c r="X75" i="21"/>
  <c r="AO25" i="21"/>
  <c r="AP25" i="21" s="1"/>
  <c r="Y75" i="21"/>
  <c r="Z75" i="21"/>
  <c r="AO35" i="21"/>
  <c r="AP35" i="21" s="1"/>
  <c r="Z77" i="21"/>
  <c r="Y77" i="21"/>
  <c r="AO28" i="21"/>
  <c r="AP28" i="21" s="1"/>
  <c r="AO23" i="21"/>
  <c r="AP23" i="21" s="1"/>
  <c r="Y73" i="21"/>
  <c r="AO19" i="21"/>
  <c r="AP19" i="21" s="1"/>
  <c r="AO22" i="21"/>
  <c r="AP22" i="21" s="1"/>
  <c r="AO36" i="21"/>
  <c r="AP36" i="21" s="1"/>
  <c r="X76" i="21"/>
  <c r="AO17" i="21"/>
  <c r="AP17" i="21" s="1"/>
  <c r="Z70" i="21"/>
  <c r="Y70" i="21"/>
  <c r="Y76" i="21"/>
  <c r="Z69" i="21"/>
  <c r="Y69" i="21"/>
  <c r="Z73" i="21"/>
  <c r="Z76" i="21"/>
  <c r="AA71" i="21"/>
  <c r="R16" i="21"/>
  <c r="X70" i="21" l="1"/>
  <c r="X73" i="21"/>
  <c r="Z71" i="21"/>
  <c r="Y71" i="21"/>
  <c r="X69" i="21"/>
  <c r="X74" i="21"/>
  <c r="AO14" i="21"/>
  <c r="AP14" i="21" s="1"/>
  <c r="X77" i="21"/>
  <c r="Y74" i="21"/>
  <c r="Z74" i="21"/>
  <c r="X71" i="21" l="1"/>
  <c r="X79" i="21" s="1"/>
  <c r="BO79" i="21"/>
  <c r="AL79" i="21"/>
  <c r="Y79" i="21"/>
  <c r="Z79" i="21"/>
  <c r="AB79" i="21"/>
  <c r="AM79" i="21"/>
  <c r="AF79" i="21"/>
  <c r="AN79" i="21"/>
  <c r="AH79" i="21"/>
  <c r="AJ79" i="21"/>
  <c r="W79" i="21"/>
  <c r="T79" i="21"/>
  <c r="BE57" i="21"/>
  <c r="BE66" i="21" s="1"/>
  <c r="AY23" i="21"/>
  <c r="AY13" i="21"/>
  <c r="AY33" i="21"/>
  <c r="AY30" i="21"/>
  <c r="AY29" i="21"/>
  <c r="AY22" i="21"/>
  <c r="AY21" i="21"/>
  <c r="AY37" i="21"/>
  <c r="AY35" i="21"/>
  <c r="AY32" i="21"/>
  <c r="AY31" i="21"/>
  <c r="AY28" i="21"/>
  <c r="AY24" i="21"/>
  <c r="AY20" i="21"/>
  <c r="AY17" i="21"/>
  <c r="AY16" i="21"/>
  <c r="AY15" i="21"/>
  <c r="AY14" i="21"/>
  <c r="AY12" i="21"/>
  <c r="BH57" i="21" l="1"/>
  <c r="BH66" i="21" s="1"/>
  <c r="K43" i="33" l="1"/>
  <c r="L43" i="33" s="1"/>
  <c r="M43" i="33" s="1"/>
  <c r="O43" i="33" s="1"/>
  <c r="K33" i="33"/>
  <c r="L33" i="33" s="1"/>
  <c r="M33" i="33" s="1"/>
  <c r="O33" i="33" s="1"/>
  <c r="K28" i="33"/>
  <c r="L28" i="33" s="1"/>
  <c r="M28" i="33" s="1"/>
  <c r="O28" i="33" s="1"/>
  <c r="K18" i="33"/>
  <c r="L18" i="33" s="1"/>
  <c r="M18" i="33" s="1"/>
  <c r="O18" i="33" s="1"/>
  <c r="J50" i="33"/>
  <c r="L47" i="33"/>
  <c r="M47" i="33" s="1"/>
  <c r="O47" i="33" s="1"/>
  <c r="K46" i="33"/>
  <c r="L19" i="33"/>
  <c r="M19" i="33" s="1"/>
  <c r="O19" i="33" s="1"/>
  <c r="L16" i="33"/>
  <c r="M16" i="33" s="1"/>
  <c r="O16" i="33" s="1"/>
  <c r="L27" i="33"/>
  <c r="M27" i="33" s="1"/>
  <c r="O27" i="33" s="1"/>
  <c r="L40" i="33"/>
  <c r="M40" i="33" s="1"/>
  <c r="O40" i="33" s="1"/>
  <c r="L13" i="33"/>
  <c r="M13" i="33" s="1"/>
  <c r="O13" i="33" s="1"/>
  <c r="L41" i="33"/>
  <c r="M41" i="33" s="1"/>
  <c r="O41" i="33" s="1"/>
  <c r="L34" i="33"/>
  <c r="M34" i="33" s="1"/>
  <c r="O34" i="33" s="1"/>
  <c r="L44" i="33"/>
  <c r="M44" i="33" s="1"/>
  <c r="O44" i="33" s="1"/>
  <c r="L26" i="33"/>
  <c r="M26" i="33" s="1"/>
  <c r="O26" i="33" s="1"/>
  <c r="L25" i="33"/>
  <c r="M25" i="33" s="1"/>
  <c r="O25" i="33" s="1"/>
  <c r="L22" i="33"/>
  <c r="M22" i="33" s="1"/>
  <c r="O22" i="33" s="1"/>
  <c r="L14" i="33"/>
  <c r="M14" i="33" s="1"/>
  <c r="O14" i="33" s="1"/>
  <c r="L36" i="33"/>
  <c r="M36" i="33" s="1"/>
  <c r="O36" i="33" s="1"/>
  <c r="L45" i="33"/>
  <c r="M45" i="33" s="1"/>
  <c r="O45" i="33" s="1"/>
  <c r="L32" i="33"/>
  <c r="M32" i="33" s="1"/>
  <c r="O32" i="33" s="1"/>
  <c r="L37" i="33"/>
  <c r="M37" i="33" s="1"/>
  <c r="O37" i="33" s="1"/>
  <c r="L35" i="33"/>
  <c r="M35" i="33" s="1"/>
  <c r="O35" i="33" s="1"/>
  <c r="L20" i="33"/>
  <c r="M20" i="33" s="1"/>
  <c r="O20" i="33" s="1"/>
  <c r="L39" i="33"/>
  <c r="M39" i="33" s="1"/>
  <c r="O39" i="33" s="1"/>
  <c r="L12" i="33"/>
  <c r="L30" i="33"/>
  <c r="M30" i="33" s="1"/>
  <c r="O30" i="33" s="1"/>
  <c r="L15" i="33"/>
  <c r="M15" i="33" s="1"/>
  <c r="O15" i="33" s="1"/>
  <c r="L42" i="33"/>
  <c r="M42" i="33" s="1"/>
  <c r="O42" i="33" s="1"/>
  <c r="L24" i="33"/>
  <c r="M24" i="33" s="1"/>
  <c r="O24" i="33" s="1"/>
  <c r="L17" i="33"/>
  <c r="M17" i="33" s="1"/>
  <c r="O17" i="33" s="1"/>
  <c r="L31" i="33"/>
  <c r="M31" i="33" s="1"/>
  <c r="O31" i="33" s="1"/>
  <c r="L29" i="33"/>
  <c r="M29" i="33" s="1"/>
  <c r="O29" i="33" s="1"/>
  <c r="L21" i="33"/>
  <c r="M21" i="33" s="1"/>
  <c r="O21" i="33" s="1"/>
  <c r="L38" i="33"/>
  <c r="M38" i="33" s="1"/>
  <c r="O38" i="33" s="1"/>
  <c r="L23" i="33"/>
  <c r="M23" i="33" s="1"/>
  <c r="O23" i="33" s="1"/>
  <c r="M12" i="33" l="1"/>
  <c r="O12" i="33" s="1"/>
  <c r="K50" i="33"/>
  <c r="L46" i="33"/>
  <c r="M46" i="33" s="1"/>
  <c r="O46" i="33" s="1"/>
  <c r="O50" i="33" l="1"/>
  <c r="O53" i="33" s="1"/>
  <c r="AA79" i="21" l="1"/>
  <c r="G146" i="27" l="1"/>
  <c r="G148" i="27" s="1"/>
  <c r="G151" i="27" s="1"/>
  <c r="I35" i="29" l="1"/>
  <c r="M34" i="29"/>
  <c r="N34" i="29" s="1"/>
  <c r="O34" i="29" s="1"/>
  <c r="Q15" i="29"/>
  <c r="O15" i="29"/>
  <c r="L15" i="29"/>
  <c r="K15" i="29"/>
  <c r="J15" i="29"/>
  <c r="I15" i="29"/>
  <c r="J12" i="29"/>
  <c r="L12" i="29" s="1"/>
  <c r="M12" i="29" s="1"/>
  <c r="N12" i="29" s="1"/>
  <c r="O12" i="29" s="1"/>
  <c r="P11" i="29"/>
  <c r="M11" i="29"/>
  <c r="N11" i="29" s="1"/>
  <c r="O11" i="29" s="1"/>
  <c r="K35" i="29" l="1"/>
  <c r="L33" i="29"/>
  <c r="BF17" i="21" s="1"/>
  <c r="BF57" i="21" s="1"/>
  <c r="BF66" i="21" s="1"/>
  <c r="Q11" i="29"/>
  <c r="K12" i="29"/>
  <c r="P12" i="29" s="1"/>
  <c r="Q12" i="29" s="1"/>
  <c r="J35" i="29"/>
  <c r="M33" i="29" l="1"/>
  <c r="N33" i="29" s="1"/>
  <c r="L35" i="29"/>
  <c r="O33" i="29" l="1"/>
  <c r="P33" i="29" s="1"/>
  <c r="Q33" i="29" s="1"/>
  <c r="Q35" i="29" l="1"/>
  <c r="O35" i="29"/>
  <c r="P35" i="29"/>
  <c r="G123" i="27"/>
  <c r="L21" i="27" l="1"/>
  <c r="L98" i="27" s="1"/>
  <c r="G149" i="27"/>
  <c r="G98" i="27" s="1"/>
  <c r="E149" i="27"/>
  <c r="F123" i="27"/>
  <c r="E123" i="27"/>
  <c r="E98" i="27" l="1"/>
  <c r="E100" i="27" s="1"/>
  <c r="E106" i="27" s="1"/>
  <c r="E152" i="27"/>
  <c r="E154" i="27" s="1"/>
  <c r="G152" i="27"/>
  <c r="G100" i="27"/>
  <c r="G105" i="27" s="1"/>
  <c r="F98" i="27"/>
  <c r="F100" i="27" s="1"/>
  <c r="F105" i="27" s="1"/>
  <c r="AO70" i="21"/>
  <c r="AO76" i="21"/>
  <c r="AO75" i="21"/>
  <c r="AO69" i="21"/>
  <c r="AO77" i="21"/>
  <c r="AR19" i="21"/>
  <c r="AO71" i="21"/>
  <c r="BN27" i="21"/>
  <c r="AR27" i="21"/>
  <c r="BK27" i="21" s="1"/>
  <c r="AR36" i="21"/>
  <c r="BK36" i="21" s="1"/>
  <c r="L99" i="27"/>
  <c r="BL27" i="21" l="1"/>
  <c r="BU27" i="21" s="1"/>
  <c r="F154" i="27"/>
  <c r="F155" i="27" s="1"/>
  <c r="E105" i="27"/>
  <c r="L105" i="27" s="1"/>
  <c r="L106" i="27"/>
  <c r="G154" i="27"/>
  <c r="G155" i="27" s="1"/>
  <c r="E155" i="27"/>
  <c r="L104" i="27"/>
  <c r="M98" i="27"/>
  <c r="BN36" i="21"/>
  <c r="BN19" i="21"/>
  <c r="F108" i="27"/>
  <c r="F125" i="27" s="1"/>
  <c r="F126" i="27" l="1"/>
  <c r="BJ22" i="21" s="1"/>
  <c r="E108" i="27"/>
  <c r="E125" i="27" s="1"/>
  <c r="E126" i="27" s="1"/>
  <c r="L108" i="27"/>
  <c r="L100" i="27"/>
  <c r="G108" i="27"/>
  <c r="G125" i="27" s="1"/>
  <c r="G126" i="27" s="1"/>
  <c r="BJ26" i="21" s="1"/>
  <c r="AN57" i="21"/>
  <c r="AN66" i="21" s="1"/>
  <c r="AM57" i="21"/>
  <c r="AM66" i="21" s="1"/>
  <c r="AF57" i="21"/>
  <c r="AF66" i="21" s="1"/>
  <c r="AB57" i="21"/>
  <c r="AA57" i="21"/>
  <c r="Z57" i="21"/>
  <c r="Z66" i="21" s="1"/>
  <c r="Y57" i="21"/>
  <c r="Y66" i="21" s="1"/>
  <c r="X57" i="21"/>
  <c r="X66" i="21" s="1"/>
  <c r="W66" i="21"/>
  <c r="M126" i="27" l="1"/>
  <c r="BJ18" i="21"/>
  <c r="AA66" i="21"/>
  <c r="AK57" i="21"/>
  <c r="AK66" i="21" s="1"/>
  <c r="L125" i="27" l="1"/>
  <c r="BD57" i="21"/>
  <c r="BD66" i="21" s="1"/>
  <c r="L126" i="27" l="1"/>
  <c r="W118" i="28"/>
  <c r="X118" i="28" l="1"/>
  <c r="BJ58" i="21" s="1"/>
  <c r="R134" i="27"/>
  <c r="BJ57" i="21"/>
  <c r="BJ66" i="21" s="1"/>
  <c r="AX77" i="21" s="1"/>
  <c r="N126" i="27"/>
  <c r="BJ67" i="21" l="1"/>
  <c r="BJ59" i="21"/>
  <c r="X124" i="28"/>
  <c r="BL36" i="21" l="1"/>
  <c r="BU36" i="21" s="1"/>
  <c r="AF14" i="25"/>
  <c r="AM66" i="25" l="1"/>
  <c r="AM71" i="25" s="1"/>
  <c r="BB58" i="25"/>
  <c r="AU58" i="25"/>
  <c r="AT58" i="25"/>
  <c r="AS58" i="25"/>
  <c r="AM58" i="25"/>
  <c r="AE58" i="25"/>
  <c r="AD58" i="25"/>
  <c r="AC58" i="25"/>
  <c r="AB58" i="25"/>
  <c r="Z58" i="25"/>
  <c r="Y58" i="25"/>
  <c r="X58" i="25"/>
  <c r="W58" i="25"/>
  <c r="V58" i="25"/>
  <c r="U58" i="25"/>
  <c r="T58" i="25"/>
  <c r="S58" i="25"/>
  <c r="Q58" i="25"/>
  <c r="AP56" i="25"/>
  <c r="AG56" i="25"/>
  <c r="AK56" i="25" s="1"/>
  <c r="AF56" i="25"/>
  <c r="BB51" i="25"/>
  <c r="AW51" i="25"/>
  <c r="AW53" i="25" s="1"/>
  <c r="AU51" i="25"/>
  <c r="AT51" i="25"/>
  <c r="AS51" i="25"/>
  <c r="AM51" i="25"/>
  <c r="AI51" i="25"/>
  <c r="AE51" i="25"/>
  <c r="AD51" i="25"/>
  <c r="AC51" i="25"/>
  <c r="AB51" i="25"/>
  <c r="Z51" i="25"/>
  <c r="Y51" i="25"/>
  <c r="X51" i="25"/>
  <c r="W51" i="25"/>
  <c r="V51" i="25"/>
  <c r="U51" i="25"/>
  <c r="T51" i="25"/>
  <c r="S51" i="25"/>
  <c r="AP50" i="25"/>
  <c r="Q50" i="25"/>
  <c r="AG50" i="25" s="1"/>
  <c r="AP49" i="25"/>
  <c r="Q49" i="25"/>
  <c r="AG49" i="25" s="1"/>
  <c r="AP48" i="25"/>
  <c r="AG48" i="25"/>
  <c r="AK48" i="25" s="1"/>
  <c r="AF48" i="25"/>
  <c r="AP47" i="25"/>
  <c r="Q47" i="25"/>
  <c r="AP46" i="25"/>
  <c r="AG46" i="25"/>
  <c r="BA46" i="25" s="1"/>
  <c r="AF46" i="25"/>
  <c r="AP45" i="25"/>
  <c r="AG45" i="25"/>
  <c r="BA45" i="25" s="1"/>
  <c r="AF45" i="25"/>
  <c r="AP44" i="25"/>
  <c r="AG44" i="25"/>
  <c r="AO44" i="25" s="1"/>
  <c r="AF44" i="25"/>
  <c r="AX43" i="25"/>
  <c r="AG43" i="25"/>
  <c r="BA43" i="25" s="1"/>
  <c r="AF43" i="25"/>
  <c r="BB42" i="25"/>
  <c r="AU42" i="25"/>
  <c r="AT42" i="25"/>
  <c r="AS42" i="25"/>
  <c r="AR42" i="25"/>
  <c r="AR53" i="25" s="1"/>
  <c r="AI42" i="25"/>
  <c r="AE42" i="25"/>
  <c r="AD42" i="25"/>
  <c r="AC42" i="25"/>
  <c r="AB42" i="25"/>
  <c r="Z42" i="25"/>
  <c r="Y42" i="25"/>
  <c r="X42" i="25"/>
  <c r="W42" i="25"/>
  <c r="V42" i="25"/>
  <c r="U42" i="25"/>
  <c r="T42" i="25"/>
  <c r="S42" i="25"/>
  <c r="Q42" i="25"/>
  <c r="BA41" i="25"/>
  <c r="AP41" i="25"/>
  <c r="AO41" i="25"/>
  <c r="AK41" i="25"/>
  <c r="AF41" i="25"/>
  <c r="AP40" i="25"/>
  <c r="AG40" i="25"/>
  <c r="AO40" i="25" s="1"/>
  <c r="AF40" i="25"/>
  <c r="AP39" i="25"/>
  <c r="AG39" i="25"/>
  <c r="AO39" i="25" s="1"/>
  <c r="AF39" i="25"/>
  <c r="BB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E38" i="25"/>
  <c r="AD38" i="25"/>
  <c r="AB38" i="25"/>
  <c r="Z38" i="25"/>
  <c r="Y38" i="25"/>
  <c r="X38" i="25"/>
  <c r="W38" i="25"/>
  <c r="V38" i="25"/>
  <c r="U38" i="25"/>
  <c r="T38" i="25"/>
  <c r="S38" i="25"/>
  <c r="Q38" i="25"/>
  <c r="AG36" i="25"/>
  <c r="BA36" i="25" s="1"/>
  <c r="AF36" i="25"/>
  <c r="AG35" i="25"/>
  <c r="AF35" i="25"/>
  <c r="BB33" i="25"/>
  <c r="AW33" i="25"/>
  <c r="AV33" i="25"/>
  <c r="AU33" i="25"/>
  <c r="AT33" i="25"/>
  <c r="AS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BI31" i="25"/>
  <c r="AP31" i="25"/>
  <c r="Q31" i="25"/>
  <c r="AG31" i="25" s="1"/>
  <c r="BA31" i="25" s="1"/>
  <c r="BI30" i="25"/>
  <c r="AP30" i="25"/>
  <c r="Q30" i="25"/>
  <c r="BI29" i="25"/>
  <c r="AP29" i="25"/>
  <c r="AG29" i="25"/>
  <c r="BA29" i="25" s="1"/>
  <c r="AF29" i="25"/>
  <c r="BI28" i="25"/>
  <c r="AP28" i="25"/>
  <c r="AG28" i="25"/>
  <c r="AK28" i="25" s="1"/>
  <c r="AF28" i="25"/>
  <c r="BI27" i="25"/>
  <c r="AR27" i="25"/>
  <c r="AG27" i="25"/>
  <c r="BA27" i="25" s="1"/>
  <c r="AF27" i="25"/>
  <c r="BI26" i="25"/>
  <c r="AX26" i="25"/>
  <c r="AG26" i="25"/>
  <c r="BA26" i="25" s="1"/>
  <c r="AF26" i="25"/>
  <c r="BI25" i="25"/>
  <c r="AP25" i="25"/>
  <c r="Q25" i="25"/>
  <c r="AG25" i="25" s="1"/>
  <c r="BA25" i="25" s="1"/>
  <c r="BI24" i="25"/>
  <c r="AP24" i="25"/>
  <c r="AG24" i="25"/>
  <c r="BA24" i="25" s="1"/>
  <c r="AF24" i="25"/>
  <c r="BI23" i="25"/>
  <c r="AR23" i="25"/>
  <c r="AP23" i="25"/>
  <c r="Q23" i="25"/>
  <c r="AF23" i="25" s="1"/>
  <c r="BB21" i="25"/>
  <c r="AU21" i="25"/>
  <c r="AT21" i="25"/>
  <c r="AS21" i="25"/>
  <c r="AR21" i="25"/>
  <c r="AI21" i="25"/>
  <c r="AE21" i="25"/>
  <c r="AD21" i="25"/>
  <c r="AC21" i="25"/>
  <c r="AB21" i="25"/>
  <c r="Z21" i="25"/>
  <c r="Y21" i="25"/>
  <c r="X21" i="25"/>
  <c r="W21" i="25"/>
  <c r="V21" i="25"/>
  <c r="U21" i="25"/>
  <c r="T21" i="25"/>
  <c r="S21" i="25"/>
  <c r="BI19" i="25"/>
  <c r="AP19" i="25"/>
  <c r="AG19" i="25"/>
  <c r="BA19" i="25" s="1"/>
  <c r="AF19" i="25"/>
  <c r="BI18" i="25"/>
  <c r="AP18" i="25"/>
  <c r="Q18" i="25"/>
  <c r="AF18" i="25" s="1"/>
  <c r="BI17" i="25"/>
  <c r="AP17" i="25"/>
  <c r="AG17" i="25"/>
  <c r="AO17" i="25" s="1"/>
  <c r="AF17" i="25"/>
  <c r="BI16" i="25"/>
  <c r="AP16" i="25"/>
  <c r="AG16" i="25"/>
  <c r="BA16" i="25" s="1"/>
  <c r="AF16" i="25"/>
  <c r="BI15" i="25"/>
  <c r="AP15" i="25"/>
  <c r="Q15" i="25"/>
  <c r="AF15" i="25" s="1"/>
  <c r="BI14" i="25"/>
  <c r="AX14" i="25"/>
  <c r="AY14" i="25" s="1"/>
  <c r="AG14" i="25"/>
  <c r="BA14" i="25" s="1"/>
  <c r="BI13" i="25"/>
  <c r="AP13" i="25"/>
  <c r="AG13" i="25"/>
  <c r="BA13" i="25" s="1"/>
  <c r="AF13" i="25"/>
  <c r="BI12" i="25"/>
  <c r="AP12" i="25"/>
  <c r="Q12" i="25"/>
  <c r="AT53" i="25" l="1"/>
  <c r="AT61" i="25" s="1"/>
  <c r="U53" i="25"/>
  <c r="U61" i="25" s="1"/>
  <c r="AS53" i="25"/>
  <c r="AS61" i="25" s="1"/>
  <c r="W53" i="25"/>
  <c r="W61" i="25" s="1"/>
  <c r="AU53" i="25"/>
  <c r="AU61" i="25" s="1"/>
  <c r="AV61" i="25"/>
  <c r="X53" i="25"/>
  <c r="X61" i="25" s="1"/>
  <c r="BB53" i="25"/>
  <c r="BB61" i="25" s="1"/>
  <c r="Y53" i="25"/>
  <c r="Y61" i="25" s="1"/>
  <c r="AG58" i="25"/>
  <c r="AQ41" i="25"/>
  <c r="AX41" i="25" s="1"/>
  <c r="AY41" i="25" s="1"/>
  <c r="Q21" i="25"/>
  <c r="AO56" i="25"/>
  <c r="AO58" i="25" s="1"/>
  <c r="BA56" i="25"/>
  <c r="BA58" i="25" s="1"/>
  <c r="AR33" i="25"/>
  <c r="AR61" i="25" s="1"/>
  <c r="AO69" i="25" s="1"/>
  <c r="AO71" i="25" s="1"/>
  <c r="Z53" i="25"/>
  <c r="Z61" i="25" s="1"/>
  <c r="AC53" i="25"/>
  <c r="AC61" i="25" s="1"/>
  <c r="AM24" i="25"/>
  <c r="T53" i="25"/>
  <c r="T61" i="25" s="1"/>
  <c r="AF12" i="25"/>
  <c r="AF21" i="25" s="1"/>
  <c r="AG12" i="25"/>
  <c r="AK12" i="25" s="1"/>
  <c r="AG15" i="25"/>
  <c r="AK15" i="25" s="1"/>
  <c r="AO28" i="25"/>
  <c r="AQ28" i="25" s="1"/>
  <c r="AX28" i="25" s="1"/>
  <c r="AY28" i="25" s="1"/>
  <c r="AD53" i="25"/>
  <c r="AD61" i="25" s="1"/>
  <c r="AI27" i="25"/>
  <c r="AI33" i="25" s="1"/>
  <c r="AG18" i="25"/>
  <c r="AO18" i="25" s="1"/>
  <c r="AK24" i="25"/>
  <c r="BA17" i="25"/>
  <c r="AI53" i="25"/>
  <c r="BA50" i="25"/>
  <c r="AK50" i="25"/>
  <c r="AK58" i="25"/>
  <c r="BA49" i="25"/>
  <c r="AO49" i="25"/>
  <c r="AK49" i="25"/>
  <c r="AK13" i="25"/>
  <c r="AF50" i="25"/>
  <c r="AM13" i="25"/>
  <c r="AO19" i="25"/>
  <c r="AG23" i="25"/>
  <c r="AM23" i="25" s="1"/>
  <c r="AO24" i="25"/>
  <c r="AY26" i="25"/>
  <c r="BA28" i="25"/>
  <c r="AI36" i="25"/>
  <c r="AX36" i="25" s="1"/>
  <c r="AY36" i="25" s="1"/>
  <c r="AK44" i="25"/>
  <c r="AQ44" i="25" s="1"/>
  <c r="AF49" i="25"/>
  <c r="Q33" i="25"/>
  <c r="AO13" i="25"/>
  <c r="AF31" i="25"/>
  <c r="AF42" i="25"/>
  <c r="V53" i="25"/>
  <c r="V61" i="25" s="1"/>
  <c r="AE53" i="25"/>
  <c r="AE61" i="25" s="1"/>
  <c r="S53" i="25"/>
  <c r="S61" i="25" s="1"/>
  <c r="AB53" i="25"/>
  <c r="AB61" i="25" s="1"/>
  <c r="AK19" i="25"/>
  <c r="AF25" i="25"/>
  <c r="AK29" i="25"/>
  <c r="AF38" i="25"/>
  <c r="AO42" i="25"/>
  <c r="AW61" i="25"/>
  <c r="Q51" i="25"/>
  <c r="Q53" i="25" s="1"/>
  <c r="AK17" i="25"/>
  <c r="AQ17" i="25" s="1"/>
  <c r="AX17" i="25" s="1"/>
  <c r="AY17" i="25" s="1"/>
  <c r="AG38" i="25"/>
  <c r="AK45" i="25"/>
  <c r="AK25" i="25"/>
  <c r="AO25" i="25"/>
  <c r="AK31" i="25"/>
  <c r="AO31" i="25"/>
  <c r="AI35" i="25"/>
  <c r="BA48" i="25"/>
  <c r="AO48" i="25"/>
  <c r="AQ48" i="25" s="1"/>
  <c r="AX48" i="25" s="1"/>
  <c r="AY48" i="25" s="1"/>
  <c r="AK16" i="25"/>
  <c r="AO16" i="25"/>
  <c r="AO29" i="25"/>
  <c r="AF30" i="25"/>
  <c r="AO45" i="25"/>
  <c r="AK46" i="25"/>
  <c r="AF47" i="25"/>
  <c r="AO50" i="25"/>
  <c r="AO46" i="25"/>
  <c r="AG47" i="25"/>
  <c r="AG51" i="25" s="1"/>
  <c r="AG30" i="25"/>
  <c r="BA39" i="25"/>
  <c r="AG42" i="25"/>
  <c r="BA35" i="25"/>
  <c r="BA38" i="25" s="1"/>
  <c r="AK39" i="25"/>
  <c r="BA40" i="25"/>
  <c r="AY43" i="25"/>
  <c r="AM39" i="25"/>
  <c r="AK40" i="25"/>
  <c r="AQ40" i="25" s="1"/>
  <c r="AX40" i="25" s="1"/>
  <c r="AY40" i="25" s="1"/>
  <c r="BA44" i="25"/>
  <c r="AF58" i="25"/>
  <c r="AK23" i="25" l="1"/>
  <c r="AL68" i="25" s="1"/>
  <c r="AG33" i="25"/>
  <c r="BA23" i="25"/>
  <c r="AM33" i="25"/>
  <c r="AQ50" i="25"/>
  <c r="AX50" i="25" s="1"/>
  <c r="AY50" i="25" s="1"/>
  <c r="AQ29" i="25"/>
  <c r="AX29" i="25" s="1"/>
  <c r="AY29" i="25" s="1"/>
  <c r="AN66" i="25"/>
  <c r="AN71" i="25" s="1"/>
  <c r="Q61" i="25"/>
  <c r="BA18" i="25"/>
  <c r="AQ24" i="25"/>
  <c r="AX24" i="25" s="1"/>
  <c r="AY24" i="25" s="1"/>
  <c r="BA12" i="25"/>
  <c r="AO12" i="25"/>
  <c r="AM12" i="25"/>
  <c r="AM21" i="25" s="1"/>
  <c r="AQ56" i="25"/>
  <c r="AX56" i="25" s="1"/>
  <c r="AX58" i="25" s="1"/>
  <c r="AO23" i="25"/>
  <c r="AQ13" i="25"/>
  <c r="AX13" i="25" s="1"/>
  <c r="AY13" i="25" s="1"/>
  <c r="AQ19" i="25"/>
  <c r="AX19" i="25" s="1"/>
  <c r="AY19" i="25" s="1"/>
  <c r="AQ49" i="25"/>
  <c r="AX49" i="25" s="1"/>
  <c r="AY49" i="25" s="1"/>
  <c r="E65" i="25" s="1"/>
  <c r="AP69" i="25"/>
  <c r="AG21" i="25"/>
  <c r="AX27" i="25"/>
  <c r="AY27" i="25" s="1"/>
  <c r="AK18" i="25"/>
  <c r="AQ18" i="25" s="1"/>
  <c r="AX18" i="25" s="1"/>
  <c r="AY18" i="25" s="1"/>
  <c r="BA15" i="25"/>
  <c r="AO15" i="25"/>
  <c r="AQ15" i="25" s="1"/>
  <c r="AX15" i="25" s="1"/>
  <c r="AY15" i="25" s="1"/>
  <c r="AI38" i="25"/>
  <c r="AI61" i="25" s="1"/>
  <c r="AJ64" i="25" s="1"/>
  <c r="AP64" i="25" s="1"/>
  <c r="AQ45" i="25"/>
  <c r="AX45" i="25" s="1"/>
  <c r="AY45" i="25" s="1"/>
  <c r="AQ31" i="25"/>
  <c r="AX31" i="25" s="1"/>
  <c r="AY31" i="25" s="1"/>
  <c r="AX35" i="25"/>
  <c r="AX38" i="25" s="1"/>
  <c r="AQ25" i="25"/>
  <c r="AX25" i="25" s="1"/>
  <c r="AY25" i="25" s="1"/>
  <c r="AL66" i="25"/>
  <c r="AL71" i="25" s="1"/>
  <c r="AX44" i="25"/>
  <c r="AG53" i="25"/>
  <c r="BA42" i="25"/>
  <c r="AM42" i="25"/>
  <c r="AM53" i="25" s="1"/>
  <c r="AM68" i="25"/>
  <c r="AO30" i="25"/>
  <c r="AK30" i="25"/>
  <c r="BA30" i="25"/>
  <c r="AQ46" i="25"/>
  <c r="AX46" i="25" s="1"/>
  <c r="AY46" i="25" s="1"/>
  <c r="AQ16" i="25"/>
  <c r="AX16" i="25" s="1"/>
  <c r="AY16" i="25" s="1"/>
  <c r="AQ39" i="25"/>
  <c r="AK42" i="25"/>
  <c r="AO47" i="25"/>
  <c r="AO51" i="25" s="1"/>
  <c r="AO53" i="25" s="1"/>
  <c r="AK47" i="25"/>
  <c r="BA47" i="25"/>
  <c r="BA51" i="25" s="1"/>
  <c r="AF51" i="25"/>
  <c r="AF53" i="25" s="1"/>
  <c r="AF33" i="25"/>
  <c r="BA33" i="25" l="1"/>
  <c r="AQ23" i="25"/>
  <c r="AX23" i="25" s="1"/>
  <c r="AG61" i="25"/>
  <c r="BA21" i="25"/>
  <c r="AM61" i="25"/>
  <c r="AY35" i="25"/>
  <c r="AY38" i="25" s="1"/>
  <c r="AY56" i="25"/>
  <c r="AY58" i="25" s="1"/>
  <c r="AK21" i="25"/>
  <c r="AM67" i="25"/>
  <c r="AQ12" i="25"/>
  <c r="AX12" i="25" s="1"/>
  <c r="AQ58" i="25"/>
  <c r="AO33" i="25"/>
  <c r="AN68" i="25"/>
  <c r="AP68" i="25" s="1"/>
  <c r="AJ71" i="25"/>
  <c r="AO21" i="25"/>
  <c r="AP66" i="25"/>
  <c r="AQ30" i="25"/>
  <c r="AX30" i="25" s="1"/>
  <c r="AY30" i="25" s="1"/>
  <c r="AF61" i="25"/>
  <c r="AK33" i="25"/>
  <c r="AY44" i="25"/>
  <c r="AL67" i="25"/>
  <c r="AP67" i="25" s="1"/>
  <c r="AQ47" i="25"/>
  <c r="AK51" i="25"/>
  <c r="AK53" i="25" s="1"/>
  <c r="AQ42" i="25"/>
  <c r="AX39" i="25"/>
  <c r="AN67" i="25"/>
  <c r="BA53" i="25"/>
  <c r="BA61" i="25" l="1"/>
  <c r="AK65" i="25" s="1"/>
  <c r="AP65" i="25" s="1"/>
  <c r="AP71" i="25" s="1"/>
  <c r="E66" i="25"/>
  <c r="AO61" i="25"/>
  <c r="AQ21" i="25"/>
  <c r="AQ33" i="25"/>
  <c r="AK61" i="25"/>
  <c r="AX33" i="25"/>
  <c r="AY23" i="25"/>
  <c r="AY33" i="25" s="1"/>
  <c r="E68" i="25" s="1"/>
  <c r="AX47" i="25"/>
  <c r="AQ51" i="25"/>
  <c r="AQ53" i="25" s="1"/>
  <c r="AX42" i="25"/>
  <c r="AY39" i="25"/>
  <c r="AY42" i="25" s="1"/>
  <c r="AX21" i="25"/>
  <c r="AY12" i="25"/>
  <c r="AY21" i="25" s="1"/>
  <c r="AK71" i="25" l="1"/>
  <c r="AQ61" i="25"/>
  <c r="E67" i="25"/>
  <c r="AY47" i="25"/>
  <c r="AX51" i="25"/>
  <c r="AX53" i="25" s="1"/>
  <c r="AX61" i="25" s="1"/>
  <c r="AY51" i="25" l="1"/>
  <c r="AY53" i="25" s="1"/>
  <c r="AY61" i="25" s="1"/>
  <c r="AY63" i="25" s="1"/>
  <c r="E64" i="25" l="1"/>
  <c r="E69" i="25" s="1"/>
  <c r="AY25" i="21" l="1"/>
  <c r="G13" i="12" l="1"/>
  <c r="H13" i="12" s="1"/>
  <c r="D17" i="10"/>
  <c r="F17" i="9"/>
  <c r="E17" i="9"/>
  <c r="H9" i="9"/>
  <c r="H10" i="12"/>
  <c r="G10" i="12"/>
  <c r="P10" i="12" s="1"/>
  <c r="R10" i="12" s="1"/>
  <c r="P13" i="12" l="1"/>
  <c r="H9" i="11" l="1"/>
  <c r="E33" i="9"/>
  <c r="E18" i="12" l="1"/>
  <c r="F18" i="12"/>
  <c r="J10" i="12"/>
  <c r="F36" i="12"/>
  <c r="E36" i="12"/>
  <c r="G35" i="12"/>
  <c r="G34" i="12"/>
  <c r="G33" i="12"/>
  <c r="G32" i="12"/>
  <c r="G31" i="12"/>
  <c r="G30" i="12"/>
  <c r="G29" i="12"/>
  <c r="G28" i="12"/>
  <c r="G27" i="12"/>
  <c r="B27" i="12"/>
  <c r="B28" i="12" s="1"/>
  <c r="G26" i="12"/>
  <c r="G17" i="12"/>
  <c r="G16" i="12"/>
  <c r="G15" i="12"/>
  <c r="G14" i="12"/>
  <c r="G12" i="12"/>
  <c r="G11" i="12"/>
  <c r="B11" i="12"/>
  <c r="B12" i="12" s="1"/>
  <c r="H33" i="12" l="1"/>
  <c r="P33" i="12"/>
  <c r="R33" i="12" s="1"/>
  <c r="H34" i="12"/>
  <c r="P34" i="12"/>
  <c r="R34" i="12" s="1"/>
  <c r="H35" i="12"/>
  <c r="P35" i="12"/>
  <c r="R35" i="12" s="1"/>
  <c r="H28" i="12"/>
  <c r="P28" i="12"/>
  <c r="R28" i="12" s="1"/>
  <c r="H32" i="12"/>
  <c r="P32" i="12"/>
  <c r="R32" i="12" s="1"/>
  <c r="H14" i="12"/>
  <c r="P14" i="12"/>
  <c r="R14" i="12" s="1"/>
  <c r="H17" i="12"/>
  <c r="P17" i="12"/>
  <c r="R17" i="12" s="1"/>
  <c r="H26" i="12"/>
  <c r="P26" i="12"/>
  <c r="R26" i="12" s="1"/>
  <c r="H27" i="12"/>
  <c r="P27" i="12"/>
  <c r="R27" i="12" s="1"/>
  <c r="P15" i="12"/>
  <c r="R15" i="12" s="1"/>
  <c r="H30" i="12"/>
  <c r="P30" i="12"/>
  <c r="R30" i="12" s="1"/>
  <c r="H29" i="12"/>
  <c r="P29" i="12"/>
  <c r="R29" i="12" s="1"/>
  <c r="H16" i="12"/>
  <c r="P16" i="12"/>
  <c r="R16" i="12" s="1"/>
  <c r="H31" i="12"/>
  <c r="P31" i="12"/>
  <c r="R31" i="12" s="1"/>
  <c r="E39" i="12"/>
  <c r="H11" i="12"/>
  <c r="P11" i="12"/>
  <c r="H12" i="12"/>
  <c r="P12" i="12"/>
  <c r="R12" i="12" s="1"/>
  <c r="R13" i="12"/>
  <c r="H15" i="12"/>
  <c r="G18" i="12"/>
  <c r="G36" i="12"/>
  <c r="P36" i="12" s="1"/>
  <c r="E33" i="11"/>
  <c r="D33" i="11"/>
  <c r="F32" i="11"/>
  <c r="G32" i="11" s="1"/>
  <c r="F31" i="11"/>
  <c r="G31" i="11" s="1"/>
  <c r="F30" i="11"/>
  <c r="G30" i="11" s="1"/>
  <c r="F29" i="11"/>
  <c r="G29" i="11" s="1"/>
  <c r="F28" i="11"/>
  <c r="G28" i="11" s="1"/>
  <c r="F27" i="11"/>
  <c r="G27" i="11" s="1"/>
  <c r="F26" i="11"/>
  <c r="G26" i="11" s="1"/>
  <c r="F25" i="11"/>
  <c r="G25" i="11" s="1"/>
  <c r="F24" i="11"/>
  <c r="G24" i="11" s="1"/>
  <c r="A24" i="11"/>
  <c r="A25" i="11" s="1"/>
  <c r="F23" i="11"/>
  <c r="G23" i="11" s="1"/>
  <c r="E17" i="11"/>
  <c r="D17" i="11"/>
  <c r="F16" i="11"/>
  <c r="G16" i="11" s="1"/>
  <c r="F15" i="11"/>
  <c r="G15" i="11" s="1"/>
  <c r="F14" i="11"/>
  <c r="G14" i="11" s="1"/>
  <c r="F13" i="11"/>
  <c r="G13" i="11" s="1"/>
  <c r="H13" i="11" s="1"/>
  <c r="F12" i="11"/>
  <c r="G12" i="11" s="1"/>
  <c r="F11" i="11"/>
  <c r="G11" i="11" s="1"/>
  <c r="F10" i="11"/>
  <c r="G10" i="11" s="1"/>
  <c r="A10" i="11"/>
  <c r="A11" i="11" s="1"/>
  <c r="F9" i="11"/>
  <c r="G9" i="11" s="1"/>
  <c r="I9" i="11" s="1"/>
  <c r="E17" i="10"/>
  <c r="D35" i="11" l="1"/>
  <c r="K10" i="12"/>
  <c r="R36" i="12"/>
  <c r="R11" i="12"/>
  <c r="R18" i="12" s="1"/>
  <c r="P18" i="12"/>
  <c r="H18" i="12"/>
  <c r="H28" i="11"/>
  <c r="I28" i="11" s="1"/>
  <c r="K31" i="12" s="1"/>
  <c r="H27" i="11"/>
  <c r="I27" i="11" s="1"/>
  <c r="K30" i="12" s="1"/>
  <c r="H10" i="11"/>
  <c r="I10" i="11" s="1"/>
  <c r="H29" i="11"/>
  <c r="I29" i="11" s="1"/>
  <c r="K32" i="12" s="1"/>
  <c r="H26" i="11"/>
  <c r="I26" i="11" s="1"/>
  <c r="K29" i="12" s="1"/>
  <c r="H23" i="11"/>
  <c r="I23" i="11" s="1"/>
  <c r="K26" i="12" s="1"/>
  <c r="H30" i="11"/>
  <c r="I30" i="11" s="1"/>
  <c r="K33" i="12" s="1"/>
  <c r="H24" i="11"/>
  <c r="I24" i="11" s="1"/>
  <c r="K27" i="12" s="1"/>
  <c r="H32" i="11"/>
  <c r="I32" i="11" s="1"/>
  <c r="K35" i="12" s="1"/>
  <c r="H25" i="11"/>
  <c r="I25" i="11" s="1"/>
  <c r="K28" i="12" s="1"/>
  <c r="H31" i="11"/>
  <c r="H11" i="11"/>
  <c r="I11" i="11" s="1"/>
  <c r="K12" i="12" s="1"/>
  <c r="H15" i="11"/>
  <c r="I15" i="11" s="1"/>
  <c r="K16" i="12" s="1"/>
  <c r="H14" i="11"/>
  <c r="I14" i="11" s="1"/>
  <c r="K15" i="12" s="1"/>
  <c r="H16" i="11"/>
  <c r="I16" i="11" s="1"/>
  <c r="K17" i="12" s="1"/>
  <c r="H12" i="11"/>
  <c r="I12" i="11" s="1"/>
  <c r="K13" i="12" s="1"/>
  <c r="I13" i="11"/>
  <c r="K14" i="12" s="1"/>
  <c r="G17" i="11"/>
  <c r="F17" i="11"/>
  <c r="F33" i="11"/>
  <c r="G33" i="11"/>
  <c r="I17" i="11" l="1"/>
  <c r="H33" i="11"/>
  <c r="K11" i="12"/>
  <c r="K18" i="12" s="1"/>
  <c r="I31" i="11"/>
  <c r="H17" i="11"/>
  <c r="I33" i="11" l="1"/>
  <c r="K34" i="12"/>
  <c r="K36" i="12" s="1"/>
  <c r="E33" i="10"/>
  <c r="D33" i="10"/>
  <c r="F32" i="10"/>
  <c r="G32" i="10" s="1"/>
  <c r="F31" i="10"/>
  <c r="G31" i="10" s="1"/>
  <c r="F30" i="10"/>
  <c r="G30" i="10" s="1"/>
  <c r="F29" i="10"/>
  <c r="G29" i="10" s="1"/>
  <c r="F28" i="10"/>
  <c r="G28" i="10" s="1"/>
  <c r="F27" i="10"/>
  <c r="G27" i="10" s="1"/>
  <c r="F26" i="10"/>
  <c r="G26" i="10" s="1"/>
  <c r="F25" i="10"/>
  <c r="G25" i="10" s="1"/>
  <c r="F24" i="10"/>
  <c r="G24" i="10" s="1"/>
  <c r="A24" i="10"/>
  <c r="A25" i="10" s="1"/>
  <c r="F23" i="10"/>
  <c r="G23" i="10" s="1"/>
  <c r="F16" i="10"/>
  <c r="G16" i="10" s="1"/>
  <c r="F15" i="10"/>
  <c r="G15" i="10" s="1"/>
  <c r="F14" i="10"/>
  <c r="G14" i="10" s="1"/>
  <c r="F13" i="10"/>
  <c r="G13" i="10" s="1"/>
  <c r="F12" i="10"/>
  <c r="G12" i="10" s="1"/>
  <c r="F11" i="10"/>
  <c r="G11" i="10" s="1"/>
  <c r="F10" i="10"/>
  <c r="G10" i="10" s="1"/>
  <c r="A10" i="10"/>
  <c r="A11" i="10" s="1"/>
  <c r="F9" i="10"/>
  <c r="G23" i="9"/>
  <c r="G10" i="9"/>
  <c r="F33" i="9"/>
  <c r="G32" i="9"/>
  <c r="G31" i="9"/>
  <c r="G30" i="9"/>
  <c r="G29" i="9"/>
  <c r="G28" i="9"/>
  <c r="G27" i="9"/>
  <c r="G26" i="9"/>
  <c r="G25" i="9"/>
  <c r="G24" i="9"/>
  <c r="B24" i="9"/>
  <c r="B25" i="9" s="1"/>
  <c r="E35" i="9"/>
  <c r="G16" i="9"/>
  <c r="G15" i="9"/>
  <c r="G14" i="9"/>
  <c r="G13" i="9"/>
  <c r="G12" i="9"/>
  <c r="G11" i="9"/>
  <c r="B10" i="9"/>
  <c r="B11" i="9" s="1"/>
  <c r="G9" i="9"/>
  <c r="I3" i="9"/>
  <c r="F17" i="10" l="1"/>
  <c r="I9" i="9"/>
  <c r="J9" i="9" s="1"/>
  <c r="G17" i="9"/>
  <c r="I11" i="9"/>
  <c r="J11" i="9" s="1"/>
  <c r="K11" i="9" s="1"/>
  <c r="L11" i="9" s="1"/>
  <c r="I12" i="12" s="1"/>
  <c r="H11" i="9"/>
  <c r="I23" i="9"/>
  <c r="J23" i="9" s="1"/>
  <c r="K23" i="9" s="1"/>
  <c r="H23" i="9"/>
  <c r="I24" i="9"/>
  <c r="J24" i="9" s="1"/>
  <c r="K24" i="9" s="1"/>
  <c r="L24" i="9" s="1"/>
  <c r="I27" i="12" s="1"/>
  <c r="H24" i="9"/>
  <c r="I28" i="9"/>
  <c r="J28" i="9" s="1"/>
  <c r="K28" i="9" s="1"/>
  <c r="L28" i="9" s="1"/>
  <c r="I31" i="12" s="1"/>
  <c r="H28" i="9"/>
  <c r="I12" i="9"/>
  <c r="J12" i="9" s="1"/>
  <c r="K12" i="9" s="1"/>
  <c r="L12" i="9" s="1"/>
  <c r="I13" i="12" s="1"/>
  <c r="H12" i="9"/>
  <c r="I32" i="9"/>
  <c r="J32" i="9" s="1"/>
  <c r="K32" i="9" s="1"/>
  <c r="L32" i="9" s="1"/>
  <c r="I35" i="12" s="1"/>
  <c r="H32" i="9"/>
  <c r="I13" i="9"/>
  <c r="J13" i="9" s="1"/>
  <c r="K13" i="9" s="1"/>
  <c r="L13" i="9" s="1"/>
  <c r="I14" i="12" s="1"/>
  <c r="H13" i="9"/>
  <c r="I25" i="9"/>
  <c r="J25" i="9" s="1"/>
  <c r="K25" i="9" s="1"/>
  <c r="L25" i="9" s="1"/>
  <c r="I28" i="12" s="1"/>
  <c r="H25" i="9"/>
  <c r="I16" i="9"/>
  <c r="J16" i="9" s="1"/>
  <c r="K16" i="9" s="1"/>
  <c r="L16" i="9" s="1"/>
  <c r="I17" i="12" s="1"/>
  <c r="H16" i="9"/>
  <c r="I30" i="9"/>
  <c r="J30" i="9" s="1"/>
  <c r="K30" i="9" s="1"/>
  <c r="L30" i="9" s="1"/>
  <c r="I33" i="12" s="1"/>
  <c r="H30" i="9"/>
  <c r="I14" i="9"/>
  <c r="J14" i="9" s="1"/>
  <c r="K14" i="9" s="1"/>
  <c r="L14" i="9" s="1"/>
  <c r="I15" i="12" s="1"/>
  <c r="H14" i="9"/>
  <c r="I26" i="9"/>
  <c r="J26" i="9" s="1"/>
  <c r="K26" i="9" s="1"/>
  <c r="L26" i="9" s="1"/>
  <c r="I29" i="12" s="1"/>
  <c r="H26" i="9"/>
  <c r="H10" i="9"/>
  <c r="I10" i="9"/>
  <c r="I15" i="9"/>
  <c r="J15" i="9" s="1"/>
  <c r="K15" i="9" s="1"/>
  <c r="L15" i="9" s="1"/>
  <c r="I16" i="12" s="1"/>
  <c r="H15" i="9"/>
  <c r="I27" i="9"/>
  <c r="J27" i="9" s="1"/>
  <c r="K27" i="9" s="1"/>
  <c r="L27" i="9" s="1"/>
  <c r="I30" i="12" s="1"/>
  <c r="H27" i="9"/>
  <c r="I29" i="9"/>
  <c r="J29" i="9" s="1"/>
  <c r="K29" i="9" s="1"/>
  <c r="L29" i="9" s="1"/>
  <c r="I32" i="12" s="1"/>
  <c r="H29" i="9"/>
  <c r="D35" i="10"/>
  <c r="I31" i="9"/>
  <c r="J31" i="9" s="1"/>
  <c r="K31" i="9" s="1"/>
  <c r="L31" i="9" s="1"/>
  <c r="I34" i="12" s="1"/>
  <c r="H31" i="9"/>
  <c r="F33" i="10"/>
  <c r="G17" i="10"/>
  <c r="G33" i="9"/>
  <c r="G9" i="4"/>
  <c r="K9" i="4" s="1"/>
  <c r="E35" i="4"/>
  <c r="G16" i="4"/>
  <c r="G15" i="4"/>
  <c r="R15" i="4" s="1"/>
  <c r="T15" i="4" s="1"/>
  <c r="S35" i="4"/>
  <c r="L35" i="4"/>
  <c r="F35" i="4"/>
  <c r="G33" i="4"/>
  <c r="G32" i="4"/>
  <c r="R32" i="4" s="1"/>
  <c r="T32" i="4" s="1"/>
  <c r="G31" i="4"/>
  <c r="K31" i="4" s="1"/>
  <c r="G30" i="4"/>
  <c r="G29" i="4"/>
  <c r="G28" i="4"/>
  <c r="K28" i="4" s="1"/>
  <c r="G27" i="4"/>
  <c r="G26" i="4"/>
  <c r="G25" i="4"/>
  <c r="B25" i="4"/>
  <c r="B26" i="4" s="1"/>
  <c r="G24" i="4"/>
  <c r="S18" i="4"/>
  <c r="L18" i="4"/>
  <c r="F18" i="4"/>
  <c r="E18" i="4"/>
  <c r="G14" i="4"/>
  <c r="K14" i="4" s="1"/>
  <c r="G13" i="4"/>
  <c r="G12" i="4"/>
  <c r="G11" i="4"/>
  <c r="R11" i="4" s="1"/>
  <c r="T11" i="4" s="1"/>
  <c r="G10" i="4"/>
  <c r="R10" i="4" s="1"/>
  <c r="T10" i="4" s="1"/>
  <c r="B10" i="4"/>
  <c r="B11" i="4" s="1"/>
  <c r="J4" i="4"/>
  <c r="I4" i="4"/>
  <c r="H4" i="4"/>
  <c r="J3" i="4"/>
  <c r="I3" i="4"/>
  <c r="H3" i="4"/>
  <c r="H27" i="10" l="1"/>
  <c r="I27" i="10" s="1"/>
  <c r="J27" i="10" s="1"/>
  <c r="J30" i="12" s="1"/>
  <c r="L30" i="12" s="1"/>
  <c r="M30" i="12" s="1"/>
  <c r="N30" i="12" s="1"/>
  <c r="H31" i="10"/>
  <c r="I31" i="10" s="1"/>
  <c r="J31" i="10" s="1"/>
  <c r="J34" i="12" s="1"/>
  <c r="J31" i="4"/>
  <c r="R9" i="4"/>
  <c r="T9" i="4" s="1"/>
  <c r="H31" i="4"/>
  <c r="I33" i="9"/>
  <c r="H17" i="9"/>
  <c r="I17" i="9"/>
  <c r="K9" i="9"/>
  <c r="L9" i="9" s="1"/>
  <c r="I10" i="12" s="1"/>
  <c r="L10" i="12" s="1"/>
  <c r="M10" i="12" s="1"/>
  <c r="N10" i="12" s="1"/>
  <c r="J10" i="9"/>
  <c r="K10" i="9" s="1"/>
  <c r="L10" i="9" s="1"/>
  <c r="H36" i="12"/>
  <c r="H33" i="9"/>
  <c r="H15" i="10"/>
  <c r="I15" i="10" s="1"/>
  <c r="J15" i="10" s="1"/>
  <c r="J16" i="12" s="1"/>
  <c r="L16" i="12" s="1"/>
  <c r="M16" i="12" s="1"/>
  <c r="N16" i="12" s="1"/>
  <c r="H14" i="10"/>
  <c r="I14" i="10" s="1"/>
  <c r="J14" i="10" s="1"/>
  <c r="J15" i="12" s="1"/>
  <c r="L15" i="12" s="1"/>
  <c r="M15" i="12" s="1"/>
  <c r="N15" i="12" s="1"/>
  <c r="H28" i="10"/>
  <c r="I28" i="10" s="1"/>
  <c r="J28" i="10" s="1"/>
  <c r="J31" i="12" s="1"/>
  <c r="L31" i="12" s="1"/>
  <c r="M31" i="12" s="1"/>
  <c r="N31" i="12" s="1"/>
  <c r="H32" i="10"/>
  <c r="I32" i="10" s="1"/>
  <c r="J32" i="10" s="1"/>
  <c r="J35" i="12" s="1"/>
  <c r="L35" i="12" s="1"/>
  <c r="M35" i="12" s="1"/>
  <c r="N35" i="12" s="1"/>
  <c r="H13" i="10"/>
  <c r="I13" i="10" s="1"/>
  <c r="J13" i="10" s="1"/>
  <c r="J14" i="12" s="1"/>
  <c r="L14" i="12" s="1"/>
  <c r="M14" i="12" s="1"/>
  <c r="N14" i="12" s="1"/>
  <c r="H25" i="10"/>
  <c r="I25" i="10" s="1"/>
  <c r="J25" i="10" s="1"/>
  <c r="J28" i="12" s="1"/>
  <c r="L28" i="12" s="1"/>
  <c r="M28" i="12" s="1"/>
  <c r="N28" i="12" s="1"/>
  <c r="H26" i="10"/>
  <c r="I26" i="10" s="1"/>
  <c r="J26" i="10" s="1"/>
  <c r="J29" i="12" s="1"/>
  <c r="L29" i="12" s="1"/>
  <c r="M29" i="12" s="1"/>
  <c r="N29" i="12" s="1"/>
  <c r="H12" i="10"/>
  <c r="I12" i="10" s="1"/>
  <c r="J12" i="10" s="1"/>
  <c r="J13" i="12" s="1"/>
  <c r="H11" i="10"/>
  <c r="I11" i="10" s="1"/>
  <c r="J11" i="10" s="1"/>
  <c r="J12" i="12" s="1"/>
  <c r="L12" i="12" s="1"/>
  <c r="M12" i="12" s="1"/>
  <c r="N12" i="12" s="1"/>
  <c r="H16" i="10"/>
  <c r="I16" i="10" s="1"/>
  <c r="J16" i="10" s="1"/>
  <c r="J17" i="12" s="1"/>
  <c r="L17" i="12" s="1"/>
  <c r="M17" i="12" s="1"/>
  <c r="N17" i="12" s="1"/>
  <c r="H29" i="10"/>
  <c r="I29" i="10" s="1"/>
  <c r="J29" i="10" s="1"/>
  <c r="J32" i="12" s="1"/>
  <c r="L32" i="12" s="1"/>
  <c r="M32" i="12" s="1"/>
  <c r="N32" i="12" s="1"/>
  <c r="H30" i="10"/>
  <c r="I30" i="10" s="1"/>
  <c r="J30" i="10" s="1"/>
  <c r="J33" i="12" s="1"/>
  <c r="L33" i="12" s="1"/>
  <c r="M33" i="12" s="1"/>
  <c r="N33" i="12" s="1"/>
  <c r="H24" i="10"/>
  <c r="I24" i="10" s="1"/>
  <c r="J24" i="10" s="1"/>
  <c r="J27" i="12" s="1"/>
  <c r="L27" i="12" s="1"/>
  <c r="M27" i="12" s="1"/>
  <c r="N27" i="12" s="1"/>
  <c r="K33" i="9"/>
  <c r="L23" i="9"/>
  <c r="I26" i="12" s="1"/>
  <c r="I36" i="12" s="1"/>
  <c r="J33" i="9"/>
  <c r="G33" i="10"/>
  <c r="J16" i="4"/>
  <c r="H16" i="4"/>
  <c r="I9" i="4"/>
  <c r="J24" i="4"/>
  <c r="R16" i="4"/>
  <c r="T16" i="4" s="1"/>
  <c r="I15" i="4"/>
  <c r="J15" i="4"/>
  <c r="K16" i="4"/>
  <c r="K15" i="4"/>
  <c r="H15" i="4"/>
  <c r="I16" i="4"/>
  <c r="J25" i="4"/>
  <c r="R28" i="4"/>
  <c r="T28" i="4" s="1"/>
  <c r="J30" i="4"/>
  <c r="J33" i="4"/>
  <c r="J26" i="4"/>
  <c r="J29" i="4"/>
  <c r="J9" i="4"/>
  <c r="J12" i="4"/>
  <c r="R31" i="4"/>
  <c r="T31" i="4" s="1"/>
  <c r="H28" i="4"/>
  <c r="H14" i="4"/>
  <c r="R14" i="4"/>
  <c r="T14" i="4" s="1"/>
  <c r="J27" i="4"/>
  <c r="J13" i="4"/>
  <c r="E37" i="4"/>
  <c r="J10" i="4"/>
  <c r="J11" i="4"/>
  <c r="K12" i="4"/>
  <c r="H13" i="4"/>
  <c r="R13" i="4"/>
  <c r="T13" i="4" s="1"/>
  <c r="I14" i="4"/>
  <c r="K24" i="4"/>
  <c r="K25" i="4"/>
  <c r="K26" i="4"/>
  <c r="H27" i="4"/>
  <c r="R27" i="4"/>
  <c r="T27" i="4" s="1"/>
  <c r="I28" i="4"/>
  <c r="K29" i="4"/>
  <c r="H30" i="4"/>
  <c r="R30" i="4"/>
  <c r="T30" i="4" s="1"/>
  <c r="I31" i="4"/>
  <c r="J32" i="4"/>
  <c r="K33" i="4"/>
  <c r="I10" i="4"/>
  <c r="I11" i="4"/>
  <c r="K13" i="4"/>
  <c r="K30" i="4"/>
  <c r="I32" i="4"/>
  <c r="K10" i="4"/>
  <c r="K11" i="4"/>
  <c r="H12" i="4"/>
  <c r="R12" i="4"/>
  <c r="T12" i="4" s="1"/>
  <c r="I13" i="4"/>
  <c r="J14" i="4"/>
  <c r="H24" i="4"/>
  <c r="R24" i="4"/>
  <c r="T24" i="4" s="1"/>
  <c r="H25" i="4"/>
  <c r="R25" i="4"/>
  <c r="T25" i="4" s="1"/>
  <c r="H26" i="4"/>
  <c r="R26" i="4"/>
  <c r="T26" i="4" s="1"/>
  <c r="I27" i="4"/>
  <c r="J28" i="4"/>
  <c r="H29" i="4"/>
  <c r="R29" i="4"/>
  <c r="T29" i="4" s="1"/>
  <c r="I30" i="4"/>
  <c r="K32" i="4"/>
  <c r="H33" i="4"/>
  <c r="R33" i="4"/>
  <c r="T33" i="4" s="1"/>
  <c r="G35" i="4"/>
  <c r="G18" i="4"/>
  <c r="K27" i="4"/>
  <c r="H9" i="4"/>
  <c r="H10" i="4"/>
  <c r="H11" i="4"/>
  <c r="I12" i="4"/>
  <c r="I24" i="4"/>
  <c r="I25" i="4"/>
  <c r="I26" i="4"/>
  <c r="I29" i="4"/>
  <c r="H32" i="4"/>
  <c r="I33" i="4"/>
  <c r="J17" i="9" l="1"/>
  <c r="M31" i="4"/>
  <c r="N31" i="4" s="1"/>
  <c r="O31" i="4" s="1"/>
  <c r="P31" i="4" s="1"/>
  <c r="K17" i="9"/>
  <c r="M15" i="4"/>
  <c r="N15" i="4" s="1"/>
  <c r="O15" i="4" s="1"/>
  <c r="P15" i="4" s="1"/>
  <c r="L13" i="12"/>
  <c r="M13" i="12" s="1"/>
  <c r="N13" i="12" s="1"/>
  <c r="M10" i="4"/>
  <c r="N10" i="4" s="1"/>
  <c r="O10" i="4" s="1"/>
  <c r="P10" i="4" s="1"/>
  <c r="L17" i="9"/>
  <c r="I11" i="12"/>
  <c r="L34" i="12"/>
  <c r="H10" i="10"/>
  <c r="I10" i="10" s="1"/>
  <c r="L33" i="9"/>
  <c r="H23" i="10"/>
  <c r="M25" i="4"/>
  <c r="N25" i="4" s="1"/>
  <c r="O25" i="4" s="1"/>
  <c r="P25" i="4" s="1"/>
  <c r="M16" i="4"/>
  <c r="N16" i="4" s="1"/>
  <c r="O16" i="4" s="1"/>
  <c r="P16" i="4" s="1"/>
  <c r="M26" i="4"/>
  <c r="N26" i="4" s="1"/>
  <c r="O26" i="4" s="1"/>
  <c r="P26" i="4" s="1"/>
  <c r="M27" i="4"/>
  <c r="N27" i="4" s="1"/>
  <c r="O27" i="4" s="1"/>
  <c r="P27" i="4" s="1"/>
  <c r="I18" i="4"/>
  <c r="M13" i="4"/>
  <c r="N13" i="4" s="1"/>
  <c r="O13" i="4" s="1"/>
  <c r="P13" i="4" s="1"/>
  <c r="M29" i="4"/>
  <c r="N29" i="4" s="1"/>
  <c r="O29" i="4" s="1"/>
  <c r="P29" i="4" s="1"/>
  <c r="J35" i="4"/>
  <c r="M9" i="4"/>
  <c r="M11" i="4"/>
  <c r="N11" i="4" s="1"/>
  <c r="O11" i="4" s="1"/>
  <c r="P11" i="4" s="1"/>
  <c r="M14" i="4"/>
  <c r="N14" i="4" s="1"/>
  <c r="O14" i="4" s="1"/>
  <c r="P14" i="4" s="1"/>
  <c r="J18" i="4"/>
  <c r="M30" i="4"/>
  <c r="N30" i="4" s="1"/>
  <c r="O30" i="4" s="1"/>
  <c r="P30" i="4" s="1"/>
  <c r="M32" i="4"/>
  <c r="N32" i="4" s="1"/>
  <c r="O32" i="4" s="1"/>
  <c r="P32" i="4" s="1"/>
  <c r="M33" i="4"/>
  <c r="N33" i="4" s="1"/>
  <c r="O33" i="4" s="1"/>
  <c r="P33" i="4" s="1"/>
  <c r="M12" i="4"/>
  <c r="N12" i="4" s="1"/>
  <c r="O12" i="4" s="1"/>
  <c r="P12" i="4" s="1"/>
  <c r="H35" i="4"/>
  <c r="T35" i="4"/>
  <c r="K35" i="4"/>
  <c r="R18" i="4"/>
  <c r="M28" i="4"/>
  <c r="N28" i="4" s="1"/>
  <c r="O28" i="4" s="1"/>
  <c r="P28" i="4" s="1"/>
  <c r="R35" i="4"/>
  <c r="T18" i="4"/>
  <c r="I35" i="4"/>
  <c r="K18" i="4"/>
  <c r="H18" i="4"/>
  <c r="M24" i="4"/>
  <c r="I18" i="12" l="1"/>
  <c r="M34" i="12"/>
  <c r="I23" i="10"/>
  <c r="H33" i="10"/>
  <c r="H17" i="10"/>
  <c r="M18" i="4"/>
  <c r="N9" i="4"/>
  <c r="N18" i="4" s="1"/>
  <c r="N24" i="4"/>
  <c r="M35" i="4"/>
  <c r="N34" i="12" l="1"/>
  <c r="J10" i="10"/>
  <c r="J17" i="10" s="1"/>
  <c r="I17" i="10"/>
  <c r="I33" i="10"/>
  <c r="J23" i="10"/>
  <c r="O9" i="4"/>
  <c r="P9" i="4" s="1"/>
  <c r="P18" i="4" s="1"/>
  <c r="O24" i="4"/>
  <c r="N35" i="4"/>
  <c r="J26" i="12" l="1"/>
  <c r="J33" i="10"/>
  <c r="J11" i="12"/>
  <c r="O18" i="4"/>
  <c r="O35" i="4"/>
  <c r="P24" i="4"/>
  <c r="P35" i="4" s="1"/>
  <c r="J36" i="12" l="1"/>
  <c r="L26" i="12"/>
  <c r="J18" i="12"/>
  <c r="L11" i="12"/>
  <c r="L18" i="12" s="1"/>
  <c r="M26" i="12" l="1"/>
  <c r="L36" i="12"/>
  <c r="L39" i="12" s="1"/>
  <c r="M11" i="12"/>
  <c r="N26" i="12" l="1"/>
  <c r="N36" i="12" s="1"/>
  <c r="M36" i="12"/>
  <c r="N11" i="12"/>
  <c r="N18" i="12" s="1"/>
  <c r="M18" i="12"/>
  <c r="A29" i="33" l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12" i="33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V51" i="21"/>
  <c r="AT50" i="21"/>
  <c r="BN48" i="21"/>
  <c r="BN47" i="21"/>
  <c r="BN49" i="21"/>
  <c r="BN46" i="21"/>
  <c r="AT45" i="21"/>
  <c r="AT44" i="21"/>
  <c r="BN34" i="21"/>
  <c r="AX42" i="21"/>
  <c r="AT39" i="21"/>
  <c r="AV38" i="21"/>
  <c r="AV41" i="21"/>
  <c r="BB57" i="21"/>
  <c r="BB66" i="21" s="1"/>
  <c r="BN37" i="21"/>
  <c r="BN43" i="21"/>
  <c r="AX17" i="21"/>
  <c r="BN16" i="21"/>
  <c r="BN32" i="21"/>
  <c r="BN28" i="21"/>
  <c r="BN30" i="21"/>
  <c r="AV21" i="21"/>
  <c r="BN20" i="21"/>
  <c r="BN33" i="21"/>
  <c r="BN29" i="21"/>
  <c r="AX22" i="21"/>
  <c r="AT23" i="21"/>
  <c r="AX13" i="21"/>
  <c r="AT25" i="21"/>
  <c r="BN51" i="21" l="1"/>
  <c r="AX51" i="21"/>
  <c r="AT21" i="21"/>
  <c r="AP71" i="21"/>
  <c r="AT13" i="21"/>
  <c r="AT20" i="21"/>
  <c r="AV42" i="21"/>
  <c r="AT28" i="21"/>
  <c r="BN17" i="21"/>
  <c r="BN76" i="21" s="1"/>
  <c r="AP76" i="21"/>
  <c r="AV37" i="21"/>
  <c r="AT43" i="21"/>
  <c r="AU76" i="21" s="1"/>
  <c r="AX39" i="21"/>
  <c r="AX30" i="21"/>
  <c r="AT29" i="21"/>
  <c r="AT30" i="21"/>
  <c r="AT32" i="21"/>
  <c r="AT16" i="21"/>
  <c r="AT17" i="21"/>
  <c r="AV32" i="21"/>
  <c r="AT37" i="21"/>
  <c r="AX37" i="21"/>
  <c r="AX41" i="21"/>
  <c r="AV39" i="21"/>
  <c r="AV46" i="21"/>
  <c r="AT47" i="21"/>
  <c r="BN38" i="21"/>
  <c r="BN71" i="21" s="1"/>
  <c r="AV34" i="21"/>
  <c r="AV44" i="21"/>
  <c r="AV45" i="21"/>
  <c r="AV50" i="21"/>
  <c r="AX28" i="21"/>
  <c r="AX38" i="21"/>
  <c r="AX34" i="21"/>
  <c r="BN44" i="21"/>
  <c r="BN45" i="21"/>
  <c r="AX46" i="21"/>
  <c r="AX50" i="21"/>
  <c r="AV14" i="21"/>
  <c r="AX14" i="21"/>
  <c r="BN14" i="21"/>
  <c r="AT14" i="21"/>
  <c r="BN13" i="21"/>
  <c r="AP69" i="21"/>
  <c r="AV13" i="21"/>
  <c r="AX31" i="21"/>
  <c r="AT31" i="21"/>
  <c r="AV31" i="21"/>
  <c r="BN31" i="21"/>
  <c r="BN23" i="21"/>
  <c r="AX23" i="21"/>
  <c r="AV23" i="21"/>
  <c r="AV22" i="21"/>
  <c r="AT22" i="21"/>
  <c r="AX35" i="21"/>
  <c r="BN35" i="21"/>
  <c r="AT35" i="21"/>
  <c r="BN24" i="21"/>
  <c r="AV24" i="21"/>
  <c r="AT24" i="21"/>
  <c r="AX24" i="21"/>
  <c r="AP75" i="21"/>
  <c r="AX25" i="21"/>
  <c r="BN25" i="21"/>
  <c r="AP70" i="21"/>
  <c r="AX33" i="21"/>
  <c r="AT33" i="21"/>
  <c r="AV33" i="21"/>
  <c r="AV35" i="21"/>
  <c r="BN22" i="21"/>
  <c r="AV49" i="21"/>
  <c r="AX49" i="21"/>
  <c r="AT49" i="21"/>
  <c r="AX48" i="21"/>
  <c r="AV48" i="21"/>
  <c r="AT48" i="21"/>
  <c r="AV43" i="21"/>
  <c r="AV76" i="21" s="1"/>
  <c r="AV20" i="21"/>
  <c r="AV30" i="21"/>
  <c r="BN21" i="21"/>
  <c r="AX32" i="21"/>
  <c r="AX29" i="21"/>
  <c r="AV17" i="21"/>
  <c r="AV16" i="21"/>
  <c r="AT41" i="21"/>
  <c r="BN41" i="21"/>
  <c r="AT38" i="21"/>
  <c r="BN39" i="21"/>
  <c r="AT42" i="21"/>
  <c r="BN42" i="21"/>
  <c r="AT34" i="21"/>
  <c r="AX44" i="21"/>
  <c r="AX45" i="21"/>
  <c r="AX47" i="21"/>
  <c r="AV47" i="21"/>
  <c r="BN50" i="21"/>
  <c r="AT51" i="21"/>
  <c r="AX20" i="21"/>
  <c r="AP77" i="21"/>
  <c r="AV28" i="21"/>
  <c r="AV29" i="21"/>
  <c r="AX16" i="21"/>
  <c r="AX43" i="21"/>
  <c r="AX21" i="21"/>
  <c r="AW75" i="21" l="1"/>
  <c r="AW74" i="21"/>
  <c r="AW76" i="21"/>
  <c r="AV75" i="21"/>
  <c r="AU75" i="21"/>
  <c r="AZ25" i="21"/>
  <c r="BK25" i="21" s="1"/>
  <c r="BL25" i="21" s="1"/>
  <c r="BU25" i="21" s="1"/>
  <c r="AZ21" i="21"/>
  <c r="BK21" i="21" s="1"/>
  <c r="AZ39" i="21"/>
  <c r="AZ44" i="21"/>
  <c r="BK44" i="21" s="1"/>
  <c r="BL44" i="21" s="1"/>
  <c r="BU44" i="21" s="1"/>
  <c r="AZ41" i="21"/>
  <c r="BK41" i="21" s="1"/>
  <c r="BL41" i="21" s="1"/>
  <c r="BU41" i="21" s="1"/>
  <c r="AZ46" i="21"/>
  <c r="BK46" i="21" s="1"/>
  <c r="BL46" i="21" s="1"/>
  <c r="BU46" i="21" s="1"/>
  <c r="AZ30" i="21"/>
  <c r="AZ29" i="21"/>
  <c r="AZ51" i="21"/>
  <c r="AZ42" i="21"/>
  <c r="BK42" i="21" s="1"/>
  <c r="BL42" i="21" s="1"/>
  <c r="BU42" i="21" s="1"/>
  <c r="AZ50" i="21"/>
  <c r="BK50" i="21" s="1"/>
  <c r="BL50" i="21" s="1"/>
  <c r="BU50" i="21" s="1"/>
  <c r="AZ20" i="21"/>
  <c r="AZ32" i="21"/>
  <c r="BK32" i="21" s="1"/>
  <c r="BL32" i="21" s="1"/>
  <c r="BU32" i="21" s="1"/>
  <c r="AZ34" i="21"/>
  <c r="BK34" i="21" s="1"/>
  <c r="BL34" i="21" s="1"/>
  <c r="BU34" i="21" s="1"/>
  <c r="AZ38" i="21"/>
  <c r="AZ17" i="21"/>
  <c r="BK17" i="21" s="1"/>
  <c r="BL17" i="21" s="1"/>
  <c r="BU17" i="21" s="1"/>
  <c r="AZ28" i="21"/>
  <c r="BK28" i="21" s="1"/>
  <c r="BL28" i="21" s="1"/>
  <c r="BU28" i="21" s="1"/>
  <c r="BN75" i="21"/>
  <c r="AZ33" i="21"/>
  <c r="AZ47" i="21"/>
  <c r="BK47" i="21" s="1"/>
  <c r="BL47" i="21" s="1"/>
  <c r="BU47" i="21" s="1"/>
  <c r="AZ23" i="21"/>
  <c r="BK23" i="21" s="1"/>
  <c r="BL23" i="21" s="1"/>
  <c r="BU23" i="21" s="1"/>
  <c r="AZ22" i="21"/>
  <c r="AZ37" i="21"/>
  <c r="BK37" i="21" s="1"/>
  <c r="BL37" i="21" s="1"/>
  <c r="BU37" i="21" s="1"/>
  <c r="BN70" i="21"/>
  <c r="BN69" i="21"/>
  <c r="AZ16" i="21"/>
  <c r="BK16" i="21" s="1"/>
  <c r="BL16" i="21" s="1"/>
  <c r="BU16" i="21" s="1"/>
  <c r="AZ49" i="21"/>
  <c r="BK49" i="21" s="1"/>
  <c r="BL49" i="21" s="1"/>
  <c r="BU49" i="21" s="1"/>
  <c r="AZ45" i="21"/>
  <c r="BK45" i="21" s="1"/>
  <c r="BL45" i="21" s="1"/>
  <c r="BU45" i="21" s="1"/>
  <c r="AZ13" i="21"/>
  <c r="BK13" i="21" s="1"/>
  <c r="BL13" i="21" s="1"/>
  <c r="BU13" i="21" s="1"/>
  <c r="BN77" i="21"/>
  <c r="AZ48" i="21"/>
  <c r="BK48" i="21" s="1"/>
  <c r="BL48" i="21" s="1"/>
  <c r="BU48" i="21" s="1"/>
  <c r="AZ43" i="21"/>
  <c r="BK43" i="21" s="1"/>
  <c r="BL43" i="21" s="1"/>
  <c r="BU43" i="21" s="1"/>
  <c r="AZ24" i="21"/>
  <c r="AZ31" i="21"/>
  <c r="BK31" i="21" s="1"/>
  <c r="BL31" i="21" s="1"/>
  <c r="BU31" i="21" s="1"/>
  <c r="AZ14" i="21"/>
  <c r="BK14" i="21" s="1"/>
  <c r="BL14" i="21" s="1"/>
  <c r="AZ35" i="21"/>
  <c r="BK35" i="21" s="1"/>
  <c r="BL35" i="21" s="1"/>
  <c r="BU35" i="21" s="1"/>
  <c r="BU14" i="21" l="1"/>
  <c r="BK51" i="21"/>
  <c r="BL51" i="21" s="1"/>
  <c r="BL21" i="21"/>
  <c r="BU21" i="21" s="1"/>
  <c r="AY75" i="21"/>
  <c r="AY76" i="21"/>
  <c r="BU51" i="21" l="1"/>
  <c r="BK30" i="21"/>
  <c r="BL30" i="21" s="1"/>
  <c r="BU30" i="21" s="1"/>
  <c r="AD73" i="21" l="1"/>
  <c r="S73" i="21" l="1"/>
  <c r="AD74" i="21" l="1"/>
  <c r="AD79" i="21" s="1"/>
  <c r="AD57" i="21"/>
  <c r="AD66" i="21" s="1"/>
  <c r="S74" i="21"/>
  <c r="S79" i="21" s="1"/>
  <c r="S57" i="21"/>
  <c r="S66" i="21" s="1"/>
  <c r="AO15" i="21"/>
  <c r="AP15" i="21" s="1"/>
  <c r="AO74" i="21" l="1"/>
  <c r="AV15" i="21" l="1"/>
  <c r="AV73" i="21" s="1"/>
  <c r="AX15" i="21"/>
  <c r="AW73" i="21" s="1"/>
  <c r="BN15" i="21"/>
  <c r="AP74" i="21"/>
  <c r="AT15" i="21"/>
  <c r="AU73" i="21" s="1"/>
  <c r="BN74" i="21" l="1"/>
  <c r="AW79" i="21"/>
  <c r="AX57" i="21"/>
  <c r="AX66" i="21" s="1"/>
  <c r="AZ15" i="21"/>
  <c r="BK15" i="21" l="1"/>
  <c r="AY73" i="21"/>
  <c r="BL15" i="21" l="1"/>
  <c r="BU15" i="21" l="1"/>
  <c r="V18" i="21" l="1"/>
  <c r="AO18" i="21" s="1"/>
  <c r="AP18" i="21" l="1"/>
  <c r="BN18" i="21" l="1"/>
  <c r="AT81" i="21" s="1"/>
  <c r="AT82" i="21" s="1"/>
  <c r="AR18" i="21"/>
  <c r="AR57" i="21" s="1"/>
  <c r="AR66" i="21" s="1"/>
  <c r="AS70" i="21" s="1"/>
  <c r="AS79" i="21" s="1"/>
  <c r="AU81" i="21" l="1"/>
  <c r="AU82" i="21"/>
  <c r="AT84" i="21"/>
  <c r="AU83" i="21" l="1"/>
  <c r="V12" i="21"/>
  <c r="AO12" i="21" l="1"/>
  <c r="V57" i="21"/>
  <c r="V66" i="21" s="1"/>
  <c r="V73" i="21"/>
  <c r="V79" i="21" s="1"/>
  <c r="AP12" i="21" l="1"/>
  <c r="AO73" i="21"/>
  <c r="AO79" i="21" s="1"/>
  <c r="AO57" i="21"/>
  <c r="AO66" i="21" l="1"/>
  <c r="AP57" i="21"/>
  <c r="AP66" i="21" s="1"/>
  <c r="BN12" i="21"/>
  <c r="AT12" i="21"/>
  <c r="AU74" i="21" s="1"/>
  <c r="AP73" i="21"/>
  <c r="AP79" i="21" s="1"/>
  <c r="AV12" i="21"/>
  <c r="AV74" i="21" s="1"/>
  <c r="AP58" i="21" l="1"/>
  <c r="AV79" i="21"/>
  <c r="AV57" i="21"/>
  <c r="AV66" i="21" s="1"/>
  <c r="AZ12" i="21"/>
  <c r="AT57" i="21"/>
  <c r="AT66" i="21" s="1"/>
  <c r="BN73" i="21"/>
  <c r="BN79" i="21" s="1"/>
  <c r="BN57" i="21"/>
  <c r="BN66" i="21" l="1"/>
  <c r="AT71" i="21" s="1"/>
  <c r="AY71" i="21" s="1"/>
  <c r="AY74" i="21"/>
  <c r="AU79" i="21"/>
  <c r="BK12" i="21"/>
  <c r="BL12" i="21" s="1"/>
  <c r="AZ57" i="21"/>
  <c r="AZ66" i="21" s="1"/>
  <c r="BU12" i="21" l="1"/>
  <c r="I15" i="37" l="1"/>
  <c r="I17" i="37" s="1"/>
  <c r="B18" i="37" s="1"/>
  <c r="B19" i="37" s="1"/>
  <c r="B20" i="37" s="1"/>
  <c r="B21" i="37" s="1"/>
  <c r="L28" i="37" s="1"/>
  <c r="L32" i="37" l="1"/>
  <c r="L29" i="37"/>
  <c r="N28" i="37"/>
  <c r="O51" i="37" s="1"/>
  <c r="P28" i="37"/>
  <c r="S29" i="37"/>
  <c r="T29" i="37" s="1"/>
  <c r="L31" i="37"/>
  <c r="M28" i="37"/>
  <c r="Q28" i="37"/>
  <c r="O28" i="37"/>
  <c r="L30" i="37"/>
  <c r="K15" i="37"/>
  <c r="Q29" i="37" l="1"/>
  <c r="M29" i="37"/>
  <c r="P29" i="37"/>
  <c r="O29" i="37"/>
  <c r="N29" i="37"/>
  <c r="Q30" i="37"/>
  <c r="P30" i="37"/>
  <c r="N30" i="37"/>
  <c r="O30" i="37"/>
  <c r="M30" i="37"/>
  <c r="O41" i="37"/>
  <c r="O42" i="37" s="1"/>
  <c r="B46" i="37" s="1"/>
  <c r="E46" i="37" s="1"/>
  <c r="BG26" i="21" s="1"/>
  <c r="BK26" i="21" s="1"/>
  <c r="BL26" i="21" s="1"/>
  <c r="BS26" i="21" s="1"/>
  <c r="O37" i="37"/>
  <c r="O45" i="37"/>
  <c r="O46" i="37" s="1"/>
  <c r="B41" i="37" s="1"/>
  <c r="E41" i="37" s="1"/>
  <c r="Q31" i="37"/>
  <c r="M31" i="37"/>
  <c r="O31" i="37"/>
  <c r="N31" i="37"/>
  <c r="P31" i="37"/>
  <c r="B48" i="37"/>
  <c r="E48" i="37" s="1"/>
  <c r="BG33" i="21" s="1"/>
  <c r="BK33" i="21" s="1"/>
  <c r="BL33" i="21" s="1"/>
  <c r="BU33" i="21" s="1"/>
  <c r="Q51" i="37"/>
  <c r="O32" i="37"/>
  <c r="P32" i="37"/>
  <c r="Q32" i="37"/>
  <c r="N32" i="37"/>
  <c r="M32" i="37"/>
  <c r="BU26" i="21" l="1"/>
  <c r="Q37" i="37"/>
  <c r="Q53" i="37" s="1"/>
  <c r="B50" i="37"/>
  <c r="E50" i="37" s="1"/>
  <c r="BG39" i="21" s="1"/>
  <c r="BK39" i="21" s="1"/>
  <c r="BL39" i="21" s="1"/>
  <c r="BU39" i="21" s="1"/>
  <c r="B45" i="37"/>
  <c r="E45" i="37" s="1"/>
  <c r="BG24" i="21" s="1"/>
  <c r="BK24" i="21" s="1"/>
  <c r="BL24" i="21" s="1"/>
  <c r="BU24" i="21" s="1"/>
  <c r="B44" i="37"/>
  <c r="E44" i="37" s="1"/>
  <c r="BG22" i="21" s="1"/>
  <c r="BK22" i="21" s="1"/>
  <c r="BL22" i="21" s="1"/>
  <c r="B49" i="37"/>
  <c r="E49" i="37" s="1"/>
  <c r="BG38" i="21" s="1"/>
  <c r="BK38" i="21" s="1"/>
  <c r="BL38" i="21" s="1"/>
  <c r="BU38" i="21" s="1"/>
  <c r="B42" i="37"/>
  <c r="E42" i="37" s="1"/>
  <c r="BG19" i="21" s="1"/>
  <c r="BK19" i="21" s="1"/>
  <c r="BL19" i="21" s="1"/>
  <c r="B47" i="37"/>
  <c r="E47" i="37" s="1"/>
  <c r="BG29" i="21" s="1"/>
  <c r="BK29" i="21" s="1"/>
  <c r="BL29" i="21" s="1"/>
  <c r="BU29" i="21" s="1"/>
  <c r="B43" i="37"/>
  <c r="E43" i="37" s="1"/>
  <c r="BG20" i="21" s="1"/>
  <c r="BK20" i="21" s="1"/>
  <c r="BL20" i="21" s="1"/>
  <c r="BU20" i="21" s="1"/>
  <c r="BG18" i="21"/>
  <c r="BJ71" i="21" l="1"/>
  <c r="E51" i="37"/>
  <c r="BK18" i="21"/>
  <c r="BG57" i="21"/>
  <c r="BG66" i="21" s="1"/>
  <c r="BU19" i="21"/>
  <c r="BJ72" i="21"/>
  <c r="BU22" i="21"/>
  <c r="BG58" i="21" l="1"/>
  <c r="BG67" i="21"/>
  <c r="BJ85" i="21"/>
  <c r="BL85" i="21" s="1"/>
  <c r="BL18" i="21"/>
  <c r="BJ70" i="21" s="1"/>
  <c r="BK57" i="21"/>
  <c r="BK66" i="21" s="1"/>
  <c r="BU18" i="21" l="1"/>
  <c r="BL57" i="21"/>
  <c r="BL66" i="21" s="1"/>
  <c r="BJ73" i="21" l="1"/>
  <c r="BJ82" i="21" s="1"/>
  <c r="AB66" i="21"/>
  <c r="AT78" i="21"/>
  <c r="AT79" i="21" s="1"/>
  <c r="AX79" i="21"/>
  <c r="AX84" i="21" s="1"/>
  <c r="BJ86" i="21"/>
  <c r="AY70" i="21"/>
  <c r="AP81" i="21"/>
  <c r="AY77" i="21" l="1"/>
  <c r="AY79" i="21" s="1"/>
  <c r="BL86" i="21"/>
  <c r="BL87" i="21" s="1"/>
  <c r="BL88" i="21" s="1"/>
  <c r="BJ87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Lesly Tello</author>
    <author>Recursos Humanos</author>
  </authors>
  <commentList>
    <comment ref="AX12" authorId="0" shapeId="0" xr:uid="{A8801D35-BDA2-4643-BA9C-D1B46EF92E2F}">
      <text>
        <r>
          <rPr>
            <sz val="9"/>
            <color indexed="81"/>
            <rFont val="Tahoma"/>
            <family val="2"/>
          </rPr>
          <t>SE MODIFICO SUELDO ASEGURABLE 
TENIA QUE SER 12 672,65</t>
        </r>
      </text>
    </comment>
    <comment ref="O15" authorId="1" shapeId="0" xr:uid="{1F05A55E-CBA8-4136-A921-E48301A6081B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Tomo el 17.06</t>
        </r>
      </text>
    </comment>
    <comment ref="O18" authorId="1" shapeId="0" xr:uid="{369FAD6D-6A3B-4081-9A38-A1C167405081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05/08 al 12/08
2 dias de mas para completar periodo</t>
        </r>
      </text>
    </comment>
    <comment ref="O19" authorId="1" shapeId="0" xr:uid="{2D5D804B-2F15-4E88-959C-B3F7E3D94DAB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10 AL 16</t>
        </r>
      </text>
    </comment>
    <comment ref="O21" authorId="1" shapeId="0" xr:uid="{760E69E4-591D-444A-97DA-BEEBB2AAEF5E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Se declara el dia de Feb.2026
21.08</t>
        </r>
      </text>
    </comment>
    <comment ref="O25" authorId="1" shapeId="0" xr:uid="{447B1AF1-A105-426B-A32B-BAC1C41D9E71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27.07
 al 03.08</t>
        </r>
      </text>
    </comment>
    <comment ref="AE26" authorId="1" shapeId="0" xr:uid="{DA3C8CD8-08EE-4064-8601-ECAF22F90751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Se compraron 15 dias de vacaciones</t>
        </r>
      </text>
    </comment>
    <comment ref="O29" authorId="1" shapeId="0" xr:uid="{F4C6B6B0-40FE-4C31-8BAB-43EBCDFE02FF}">
      <text>
        <r>
          <rPr>
            <b/>
            <sz val="9"/>
            <color indexed="81"/>
            <rFont val="Tahoma"/>
            <family val="2"/>
          </rPr>
          <t>Del 03/08 hasta 09/08
1 dia el 18.08</t>
        </r>
      </text>
    </comment>
    <comment ref="O30" authorId="1" shapeId="0" xr:uid="{C39CADD1-2AE4-4879-B4C9-5121AE529D41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01.08 al 02.08
17.08 y 14.08</t>
        </r>
      </text>
    </comment>
    <comment ref="O31" authorId="1" shapeId="0" xr:uid="{2551D6CF-1A7C-413F-86EC-5FD345B1BF38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24.08 al 30.08</t>
        </r>
      </text>
    </comment>
    <comment ref="O34" authorId="1" shapeId="0" xr:uid="{7D99F0C3-BC23-47FC-9241-1760A3A7BEBC}">
      <text>
        <r>
          <rPr>
            <b/>
            <sz val="9"/>
            <color indexed="81"/>
            <rFont val="Tahoma"/>
            <family val="2"/>
          </rPr>
          <t>10 AL 16</t>
        </r>
      </text>
    </comment>
    <comment ref="O35" authorId="1" shapeId="0" xr:uid="{870B5DE7-987F-48C0-8946-F204DE337061}">
      <text>
        <r>
          <rPr>
            <b/>
            <sz val="9"/>
            <color indexed="81"/>
            <rFont val="Tahoma"/>
            <family val="2"/>
          </rPr>
          <t>Del 17/08 hasta 23/08</t>
        </r>
      </text>
    </comment>
    <comment ref="O36" authorId="1" shapeId="0" xr:uid="{224A5C1F-6C2B-4590-B77C-F0E0ED58F65D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01 al 02 de agosto</t>
        </r>
      </text>
    </comment>
    <comment ref="O37" authorId="1" shapeId="0" xr:uid="{D529288D-99A0-4827-A383-05BDFFC42B5A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10 AL 16</t>
        </r>
      </text>
    </comment>
    <comment ref="O42" authorId="1" shapeId="0" xr:uid="{4A557E41-35FE-4014-96D9-8CA1BCA5AF6B}">
      <text>
        <r>
          <rPr>
            <b/>
            <sz val="9"/>
            <color indexed="81"/>
            <rFont val="Tahoma"/>
            <family val="2"/>
          </rPr>
          <t xml:space="preserve">del 01/08/2026 hasta 02/08/2026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r>
      </text>
    </comment>
    <comment ref="C68" authorId="1" shapeId="0" xr:uid="{50F8F9C1-846B-48D9-9093-3EFF6EEDD153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Se abono el monto descontado. 
Se pago correcto</t>
        </r>
      </text>
    </comment>
    <comment ref="C69" authorId="1" shapeId="0" xr:uid="{E53B2D92-AEA5-4FE7-84C7-23EC45E67009}">
      <text>
        <r>
          <rPr>
            <b/>
            <sz val="9"/>
            <color indexed="81"/>
            <rFont val="Tahoma"/>
            <family val="2"/>
          </rPr>
          <t>Recursos Humanos:</t>
        </r>
        <r>
          <rPr>
            <sz val="9"/>
            <color indexed="81"/>
            <rFont val="Tahoma"/>
            <family val="2"/>
          </rPr>
          <t xml:space="preserve">
Se abono el descuento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Lesly Tello</author>
  </authors>
  <commentList>
    <comment ref="D23" authorId="0" shapeId="0" xr:uid="{8AD254C3-249F-40FE-945B-CDC5D857DA4F}">
      <text>
        <r>
          <rPr>
            <b/>
            <sz val="9"/>
            <color indexed="81"/>
            <rFont val="Tahoma"/>
            <family val="2"/>
          </rPr>
          <t>Lesly Tello:</t>
        </r>
        <r>
          <rPr>
            <sz val="9"/>
            <color indexed="81"/>
            <rFont val="Tahoma"/>
            <family val="2"/>
          </rPr>
          <t xml:space="preserve">
NUEVA TARIFA A PARTIR DE JUNIO
SE ACTUALIZA </t>
        </r>
      </text>
    </comment>
    <comment ref="D46" authorId="0" shapeId="0" xr:uid="{FA5B08B8-B893-4795-8ADF-439AA043EBBC}">
      <text>
        <r>
          <rPr>
            <b/>
            <sz val="9"/>
            <color indexed="81"/>
            <rFont val="Tahoma"/>
            <family val="2"/>
          </rPr>
          <t>Lesly Tello:</t>
        </r>
        <r>
          <rPr>
            <sz val="9"/>
            <color indexed="81"/>
            <rFont val="Tahoma"/>
            <family val="2"/>
          </rPr>
          <t xml:space="preserve">
NUEVA TARIFA A PARTIR DE JUNIO
SE ACTUALIZA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Elisa Lobo Q.</author>
    <author>Carmen Ysabel Rodriguez Chimpay</author>
  </authors>
  <commentList>
    <comment ref="BC1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Elisa Lobo Q.:</t>
        </r>
        <r>
          <rPr>
            <sz val="9"/>
            <color indexed="81"/>
            <rFont val="Tahoma"/>
            <family val="2"/>
          </rPr>
          <t xml:space="preserve">
DESCANSA DOMINGOS EN SEMANA
</t>
        </r>
      </text>
    </comment>
    <comment ref="AE14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 xml:space="preserve">Carmen Ysabel Rodriguez Chimpay:
</t>
        </r>
        <r>
          <rPr>
            <sz val="9"/>
            <color indexed="81"/>
            <rFont val="Tahoma"/>
            <family val="2"/>
          </rPr>
          <t>se consideró 1 pago adicional en junio por feriado</t>
        </r>
      </text>
    </comment>
    <comment ref="T18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Horas extras del 01, 02, 09, 16, 23,30 del 06/2024
</t>
        </r>
      </text>
    </comment>
    <comment ref="U18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Horas extras del 01-02/06/2024 13 horas</t>
        </r>
      </text>
    </comment>
    <comment ref="V18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feriado del 09/06/24
</t>
        </r>
      </text>
    </comment>
    <comment ref="V23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Feriado del 09/06/2024</t>
        </r>
      </text>
    </comment>
    <comment ref="AU23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Termina el préstamo de S/3000 soles ahora en julio</t>
        </r>
      </text>
    </comment>
    <comment ref="V25" authorId="1" shapeId="0" xr:uid="{00000000-0006-0000-0400-000008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Feriado del 09/06/2024</t>
        </r>
      </text>
    </comment>
    <comment ref="AE26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se consideró 1 pago adicional en junio por feriado.</t>
        </r>
      </text>
    </comment>
    <comment ref="AU27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descuento S/300 los 31 hasta el 30/09/2024
</t>
        </r>
      </text>
    </comment>
    <comment ref="V30" authorId="1" shapeId="0" xr:uid="{00000000-0006-0000-0400-00000B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Feriado del 09/06/2024</t>
        </r>
      </text>
    </comment>
    <comment ref="V31" authorId="1" shapeId="0" xr:uid="{00000000-0006-0000-0400-00000C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Feriado del 09/06/2024</t>
        </r>
      </text>
    </comment>
    <comment ref="V35" authorId="1" shapeId="0" xr:uid="{00000000-0006-0000-0400-00000D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Feriado del 07/06/2024</t>
        </r>
      </text>
    </comment>
    <comment ref="AU36" authorId="1" shapeId="0" xr:uid="{00000000-0006-0000-0400-00000E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Termina el 31/08/2028</t>
        </r>
      </text>
    </comment>
    <comment ref="V48" authorId="1" shapeId="0" xr:uid="{00000000-0006-0000-0400-00000F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Feriado 29/06/2024</t>
        </r>
      </text>
    </comment>
    <comment ref="Q49" authorId="1" shapeId="0" xr:uid="{00000000-0006-0000-0400-000010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Inició labores el 01/07/2024</t>
        </r>
      </text>
    </comment>
    <comment ref="Q50" authorId="1" shapeId="0" xr:uid="{00000000-0006-0000-0400-000011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Inició labores el 11/07/2024
Sueldo bruto: S/1200</t>
        </r>
      </text>
    </comment>
    <comment ref="AU56" authorId="1" shapeId="0" xr:uid="{00000000-0006-0000-0400-000012000000}">
      <text>
        <r>
          <rPr>
            <b/>
            <sz val="9"/>
            <color indexed="81"/>
            <rFont val="Tahoma"/>
            <family val="2"/>
          </rPr>
          <t>Carmen Ysabel Rodriguez Chimpay:</t>
        </r>
        <r>
          <rPr>
            <sz val="9"/>
            <color indexed="81"/>
            <rFont val="Tahoma"/>
            <family val="2"/>
          </rPr>
          <t xml:space="preserve">
termina en agosto del 2025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672420-E65B-4216-9207-D696EB1271AB}" keepAlive="1" name="Consulta - archivo (3)" description="Conexión a la consulta 'archivo (3)' en el libro." type="5" refreshedVersion="0" background="1">
    <dbPr connection="Provider=Microsoft.Mashup.OleDb.1;Data Source=$Workbook$;Location=&quot;archivo (3)&quot;;Extended Properties=&quot;&quot;" command="SELECT * FROM [archivo (3)]"/>
  </connection>
</connections>
</file>

<file path=xl/sharedStrings.xml><?xml version="1.0" encoding="utf-8"?>
<sst xmlns="http://schemas.openxmlformats.org/spreadsheetml/2006/main" count="3576" uniqueCount="963">
  <si>
    <t xml:space="preserve">CÁLCULO DE COSTO MENSUAL DE PERSONAL EN PLANILLA MYPE </t>
  </si>
  <si>
    <t>↓</t>
  </si>
  <si>
    <t>N°</t>
  </si>
  <si>
    <t>CARGO</t>
  </si>
  <si>
    <t>DATOS PERSONALES</t>
  </si>
  <si>
    <t>BASICO</t>
  </si>
  <si>
    <t>ASIG. FAMILIAR</t>
  </si>
  <si>
    <t>REMUN.
IMPONIBLE</t>
  </si>
  <si>
    <t xml:space="preserve">GRATIFICACIONES   Julio y  Diciembre </t>
  </si>
  <si>
    <t>CTS</t>
  </si>
  <si>
    <t>VACACIONES</t>
  </si>
  <si>
    <t>ESSALUD</t>
  </si>
  <si>
    <t>COSTO MENSUAL</t>
  </si>
  <si>
    <t>COSTO DIARIO</t>
  </si>
  <si>
    <t>COSTO POR HORA</t>
  </si>
  <si>
    <t>COSTO POR MIN</t>
  </si>
  <si>
    <t>AFP/ONP</t>
  </si>
  <si>
    <t>RTA 5TA</t>
  </si>
  <si>
    <t>NETO</t>
  </si>
  <si>
    <t>MOVILIDAD</t>
  </si>
  <si>
    <t>MOZO</t>
  </si>
  <si>
    <t>MEZA ARCIA ALEJANDRO JOSE</t>
  </si>
  <si>
    <t>COCINERA</t>
  </si>
  <si>
    <t>BRETONECHE DIAPIS ANA LUCIA</t>
  </si>
  <si>
    <t>COCINERO</t>
  </si>
  <si>
    <t>ARANA CAMPIAN THALIA MISHEL</t>
  </si>
  <si>
    <r>
      <t>JEFA DE</t>
    </r>
    <r>
      <rPr>
        <sz val="11"/>
        <color rgb="FF000000"/>
        <rFont val="Calibri"/>
        <family val="2"/>
      </rPr>
      <t> BARRA</t>
    </r>
  </si>
  <si>
    <t>LLANTOY LLAMOCCA GRACE MELANY</t>
  </si>
  <si>
    <t>AYUDANTE DE COCINA</t>
  </si>
  <si>
    <t>REYNA TORO FLORDELUCERO MYLIN</t>
  </si>
  <si>
    <t>ASISTENTE DE LOGISTICA</t>
  </si>
  <si>
    <t>MAMANI HUAMANI YAMIR JOSE</t>
  </si>
  <si>
    <t>JEFE DE COCINA</t>
  </si>
  <si>
    <t>CHUNGA VILLAR PEDRO GIOMAR</t>
  </si>
  <si>
    <t>ASIN VINCES VICTOR ANDRES</t>
  </si>
  <si>
    <t>TOTALES PLANILLA -</t>
  </si>
  <si>
    <t>CHEF EJECUTIVO</t>
  </si>
  <si>
    <t>DANIEL BENITES SEBAN  (*RGL)</t>
  </si>
  <si>
    <t>BARMAN JEFE</t>
  </si>
  <si>
    <t>FERNANDEZ RUIZ JENNER JOEL</t>
  </si>
  <si>
    <t xml:space="preserve">JEFE DE SALON </t>
  </si>
  <si>
    <t>MORALES GONZALES CARLOS DANIEL</t>
  </si>
  <si>
    <t xml:space="preserve">BARMAN </t>
  </si>
  <si>
    <t>VERA VILLALOBOS ALDA ARECELY</t>
  </si>
  <si>
    <t>BARMAN</t>
  </si>
  <si>
    <t>PARIONA YUPA YERSON ALDAHIR</t>
  </si>
  <si>
    <t>SINTI SANTIVAÑEZ JEAN PAUL</t>
  </si>
  <si>
    <t>SOTERO ROMAN JULIO MARTIN</t>
  </si>
  <si>
    <t>ANDRICH PAREDES RODRIGO ALBERTO</t>
  </si>
  <si>
    <t>ANDRICH PAREDES VALERIA  ALEJANDRA</t>
  </si>
  <si>
    <t>RELACIÓN DE PERSONAL LA MARIPOSARIO</t>
  </si>
  <si>
    <t>ANA LUCIA BRETONECHE DIAPIS</t>
  </si>
  <si>
    <t>YAMIR JOSE MAMANI HUAMANI</t>
  </si>
  <si>
    <t>JOSE LUIS LOPEZ TOVAR</t>
  </si>
  <si>
    <t>CALIXTO VIECENTE BLAS</t>
  </si>
  <si>
    <t>PEDRO GIOMAR CHUNGA VILLAR</t>
  </si>
  <si>
    <t>ALDA ARECELY VERA VILLALOBOS</t>
  </si>
  <si>
    <t>ANGIRBER AGBRIEL CARARQUEL HERNANDEZ</t>
  </si>
  <si>
    <t>SUSY MILAGRO ALEJOS ARDELAS</t>
  </si>
  <si>
    <t>FERNANDO MOYA HUAMANI</t>
  </si>
  <si>
    <t>DARIO TELLO FLORES</t>
  </si>
  <si>
    <t>Al mes de devengue 2025-02</t>
  </si>
  <si>
    <t>AFP</t>
  </si>
  <si>
    <t>Comisión</t>
  </si>
  <si>
    <t>Prima de</t>
  </si>
  <si>
    <t>Porcentaje de aporte obligatorio al Fondo de Pensiones (%)</t>
  </si>
  <si>
    <t>Remuneración Máxima Asegurable (S/.)</t>
  </si>
  <si>
    <r>
      <t>Fija (S/). </t>
    </r>
    <r>
      <rPr>
        <b/>
        <vertAlign val="superscript"/>
        <sz val="7"/>
        <color rgb="FF688EB7"/>
        <rFont val="Trebuchet MS"/>
        <family val="2"/>
      </rPr>
      <t>/2</t>
    </r>
  </si>
  <si>
    <t>Variable (%)</t>
  </si>
  <si>
    <r>
      <t>Seguros (%) </t>
    </r>
    <r>
      <rPr>
        <b/>
        <vertAlign val="superscript"/>
        <sz val="7"/>
        <color rgb="FF688EB7"/>
        <rFont val="Trebuchet MS"/>
        <family val="2"/>
      </rPr>
      <t>/3</t>
    </r>
  </si>
  <si>
    <t>HABITAT</t>
  </si>
  <si>
    <t>INTEGRA</t>
  </si>
  <si>
    <t>PRIMA</t>
  </si>
  <si>
    <t>PROFUTURO</t>
  </si>
  <si>
    <t>* Comisiones descontadas sobre la Remuneración Bruta. No se considera descuentos por permanencia puesto que tales descuentos no afectan las retenciones del empleador.</t>
  </si>
  <si>
    <t>1/ Las comisiones y primas retenidas correspondientes al mes de devengue "t" deben pagarse dentro de los 5 primeros días útiles del mes "t+1".</t>
  </si>
  <si>
    <t>2/ A partir de Enero de 1997 se eliminó el cobro de Comisión Fija.</t>
  </si>
  <si>
    <t>3/ Porcentaje a descontar sobre la Remuneración Bruta hasta el límite determinado por la Remuneración Máxima Asegurable (art. 67° del Título VII del Compendio de Normas reglamentarias del SPP).</t>
  </si>
  <si>
    <t>Al mes de devengue 2025-03</t>
  </si>
  <si>
    <t>Al mes de devengue 2025-04</t>
  </si>
  <si>
    <t>Al mes de devengue 2025-05</t>
  </si>
  <si>
    <t>Al mes de devengue 2025-06</t>
  </si>
  <si>
    <t>Al mes de devengue 2025-07</t>
  </si>
  <si>
    <t>Al mes de devengue 2025-08</t>
  </si>
  <si>
    <t>Mes de devengue :</t>
  </si>
  <si>
    <t>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</si>
  <si>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>Al mes de devengue 2025-09 </t>
    </r>
    <r>
      <rPr>
        <b/>
        <vertAlign val="superscript"/>
        <sz val="11"/>
        <color rgb="FF044F85"/>
        <rFont val="Trebuchet MS"/>
        <family val="2"/>
      </rPr>
      <t>1/</t>
    </r>
  </si>
  <si>
    <t>COMISIÓN</t>
  </si>
  <si>
    <t>PRIMA DE</t>
  </si>
  <si>
    <t>APORTE OBLIGATORIO AL FONDO DE PENSIONES</t>
  </si>
  <si>
    <t>REMUNERACIÓN MÁXIMA ASEGURABLE</t>
  </si>
  <si>
    <t>SOBRE FLUJO</t>
  </si>
  <si>
    <t>ANUAL SOBRE</t>
  </si>
  <si>
    <r>
      <t>SEGUROS (%) </t>
    </r>
    <r>
      <rPr>
        <b/>
        <vertAlign val="superscript"/>
        <sz val="12"/>
        <color rgb="FFFFFFFF"/>
        <rFont val="OpenSans-Bold"/>
      </rPr>
      <t>3/</t>
    </r>
  </si>
  <si>
    <t>(% Remuneración Bruta Mensual)</t>
  </si>
  <si>
    <t>SALDO</t>
  </si>
  <si>
    <t>1,47%</t>
  </si>
  <si>
    <t>1,25%</t>
  </si>
  <si>
    <t>1,37%</t>
  </si>
  <si>
    <t>10,00%</t>
  </si>
  <si>
    <t>1,55%</t>
  </si>
  <si>
    <t>0,78%</t>
  </si>
  <si>
    <t>1,60%</t>
  </si>
  <si>
    <t>1,69%</t>
  </si>
  <si>
    <t>0,68%</t>
  </si>
  <si>
    <t>1/ Las comisiones sobre la remuneración y las primas retenidas correspondientes a un determinado mes deben pagarse dentro de los 5 primeros dÍas útiles del mes siguiente.</t>
  </si>
  <si>
    <t>3/ Porcentaje a descontar sobre la Remuneración Bruta hasta el límite determinado por el Reglamentode la Ley del SPP(Remuneración Máxima Asegurable Art. 67° del Título VII del Compendio de Normas reglamentarias del SPP).</t>
  </si>
  <si>
    <t>*** A partir de Febrero de 2023, el componente de flujo de la Comisión Mixta es 0%, resultando únicamente en Comisión anulado sobre saldo.</t>
  </si>
  <si>
    <r>
      <t>Al mes de devengue 2025-10 </t>
    </r>
    <r>
      <rPr>
        <b/>
        <vertAlign val="superscript"/>
        <sz val="11"/>
        <color rgb="FF044F85"/>
        <rFont val="Trebuchet MS"/>
        <family val="2"/>
      </rPr>
      <t>1/</t>
    </r>
  </si>
  <si>
    <t>12 178,56</t>
  </si>
  <si>
    <t>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</si>
  <si>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>Al mes de devengue 2025-11 </t>
    </r>
    <r>
      <rPr>
        <b/>
        <vertAlign val="superscript"/>
        <sz val="11"/>
        <color rgb="FF044F85"/>
        <rFont val="Trebuchet MS"/>
        <family val="2"/>
      </rPr>
      <t>1/</t>
    </r>
  </si>
  <si>
    <r>
      <t>Al mes de devengue 2025-12 </t>
    </r>
    <r>
      <rPr>
        <b/>
        <vertAlign val="superscript"/>
        <sz val="11"/>
        <color rgb="FF044F85"/>
        <rFont val="Trebuchet MS"/>
        <family val="2"/>
      </rPr>
      <t>1/</t>
    </r>
  </si>
  <si>
    <r>
      <t>Al mes de devengue 2026-01 </t>
    </r>
    <r>
      <rPr>
        <b/>
        <vertAlign val="superscript"/>
        <sz val="11"/>
        <color rgb="FF044F85"/>
        <rFont val="Trebuchet MS"/>
        <family val="2"/>
      </rPr>
      <t>1/</t>
    </r>
  </si>
  <si>
    <t>12 209,11</t>
  </si>
  <si>
    <t>NO DESCARGARON REPORTE</t>
  </si>
  <si>
    <r>
      <t>Al mes de devengue 2026-02 </t>
    </r>
    <r>
      <rPr>
        <b/>
        <vertAlign val="superscript"/>
        <sz val="11"/>
        <color rgb="FF044F85"/>
        <rFont val="Trebuchet MS"/>
        <family val="2"/>
      </rPr>
      <t>1/</t>
    </r>
  </si>
  <si>
    <r>
      <t>Al mes de devengue 2026-03 </t>
    </r>
    <r>
      <rPr>
        <b/>
        <vertAlign val="superscript"/>
        <sz val="11"/>
        <color rgb="FF044F85"/>
        <rFont val="Trebuchet MS"/>
        <family val="2"/>
      </rPr>
      <t>1/</t>
    </r>
  </si>
  <si>
    <t>INDUSTRIAL PROCESS S.R.L.</t>
  </si>
  <si>
    <t>R.U.C.: 20514706302</t>
  </si>
  <si>
    <t>(EXPRESADO EN NUEVOS SOLES)</t>
  </si>
  <si>
    <t>TRABAJADOR</t>
  </si>
  <si>
    <t>DATOS DEL PERSONAL</t>
  </si>
  <si>
    <t>REMUNERACIONES</t>
  </si>
  <si>
    <t>DESCUENTOS</t>
  </si>
  <si>
    <t>TOTAL</t>
  </si>
  <si>
    <t>NETO A</t>
  </si>
  <si>
    <t>APORTACION</t>
  </si>
  <si>
    <t>APELLIDOS</t>
  </si>
  <si>
    <t>FECHA</t>
  </si>
  <si>
    <t>REMUNER.</t>
  </si>
  <si>
    <t>ASIGNAC.</t>
  </si>
  <si>
    <t>COMISION</t>
  </si>
  <si>
    <t>HORAS</t>
  </si>
  <si>
    <t>FERIADOS</t>
  </si>
  <si>
    <t xml:space="preserve">VACACIONES </t>
  </si>
  <si>
    <t>VALES</t>
  </si>
  <si>
    <t>GRATIFIC.</t>
  </si>
  <si>
    <t>BONIF</t>
  </si>
  <si>
    <t>DEVOL</t>
  </si>
  <si>
    <t>UTILIDAD</t>
  </si>
  <si>
    <t>BONO</t>
  </si>
  <si>
    <t>REMUNER</t>
  </si>
  <si>
    <t>REMUNERA.</t>
  </si>
  <si>
    <t>ONP</t>
  </si>
  <si>
    <t>A.F.P.</t>
  </si>
  <si>
    <t>PTMOS</t>
  </si>
  <si>
    <t>SEGURO</t>
  </si>
  <si>
    <t>OTROS</t>
  </si>
  <si>
    <t>RENTA</t>
  </si>
  <si>
    <t>DESCUENT.</t>
  </si>
  <si>
    <t>PAGAR</t>
  </si>
  <si>
    <t>BCO</t>
  </si>
  <si>
    <t>PATERNO</t>
  </si>
  <si>
    <t>DNI, CE</t>
  </si>
  <si>
    <t>DE</t>
  </si>
  <si>
    <t>Y</t>
  </si>
  <si>
    <t>SUELDO BASE</t>
  </si>
  <si>
    <t>ASIG FAM</t>
  </si>
  <si>
    <t>TOTAL DIAS</t>
  </si>
  <si>
    <t>DIAS NO LAB Y/O</t>
  </si>
  <si>
    <t>HRS X DIA</t>
  </si>
  <si>
    <t>TOTAL HRS</t>
  </si>
  <si>
    <t>PERCIBIDA</t>
  </si>
  <si>
    <t>FAMILIAR</t>
  </si>
  <si>
    <t>DEL MES</t>
  </si>
  <si>
    <t>PROMEDIO</t>
  </si>
  <si>
    <t>EXTRAS</t>
  </si>
  <si>
    <t>MOVIL</t>
  </si>
  <si>
    <t>TRUNCAS</t>
  </si>
  <si>
    <t xml:space="preserve">CONSUMO </t>
  </si>
  <si>
    <t>EXTRAOR</t>
  </si>
  <si>
    <t>DESC.</t>
  </si>
  <si>
    <t>BRUTA</t>
  </si>
  <si>
    <t>AFECTA</t>
  </si>
  <si>
    <t>%</t>
  </si>
  <si>
    <t>S/.</t>
  </si>
  <si>
    <t>APORTE</t>
  </si>
  <si>
    <t>TOTAL A.F.P.</t>
  </si>
  <si>
    <t>FALTAS</t>
  </si>
  <si>
    <t>ADELANTO</t>
  </si>
  <si>
    <t>PACIFICO</t>
  </si>
  <si>
    <t>EPS</t>
  </si>
  <si>
    <t>CONSUMO</t>
  </si>
  <si>
    <t>DSCTOS</t>
  </si>
  <si>
    <t>5TA CATEG</t>
  </si>
  <si>
    <t>VIDA LEY</t>
  </si>
  <si>
    <t>PRIVADO</t>
  </si>
  <si>
    <t>DIF</t>
  </si>
  <si>
    <t>A PAGAR</t>
  </si>
  <si>
    <t>NACIMIENTO</t>
  </si>
  <si>
    <t>INGRESO</t>
  </si>
  <si>
    <t>CESE</t>
  </si>
  <si>
    <t>MES</t>
  </si>
  <si>
    <t>VACAC</t>
  </si>
  <si>
    <t>LABOR</t>
  </si>
  <si>
    <t>OBSEQUIO</t>
  </si>
  <si>
    <t>U OTRO</t>
  </si>
  <si>
    <t>OBLIG</t>
  </si>
  <si>
    <t>OBSEQUIOS</t>
  </si>
  <si>
    <t>VTAS</t>
  </si>
  <si>
    <t>ORIHUELA AGUIRRE ERNESTO JULIO</t>
  </si>
  <si>
    <t>GERENTE GENERAL</t>
  </si>
  <si>
    <t>BBVA</t>
  </si>
  <si>
    <t>ADM</t>
  </si>
  <si>
    <t xml:space="preserve">MARTINEZ CASTILLO GIOVANNA RAQUEL </t>
  </si>
  <si>
    <t>JEFE DE ADMINISTRACION</t>
  </si>
  <si>
    <t>SOPORTE</t>
  </si>
  <si>
    <t>SALVADOR ROJAS ELVIS ALFONSO</t>
  </si>
  <si>
    <t>SUPERVISOR DE SOPORTE TECNICO Y MANTENIMINENTO</t>
  </si>
  <si>
    <t>BCP</t>
  </si>
  <si>
    <t xml:space="preserve">LOLI RODRIGUEZ JANIO RICHARD </t>
  </si>
  <si>
    <t>COORDINADOR DE SOPORTE TECNICO</t>
  </si>
  <si>
    <t>LOGISTICA</t>
  </si>
  <si>
    <t>PEREZ CAJAHUANCA ARACELLI IRAIDA</t>
  </si>
  <si>
    <t>COORDINADOR DE LOGISTICA</t>
  </si>
  <si>
    <t>MARKET</t>
  </si>
  <si>
    <t>PORTOCARRERO TAFUR GLORI MAGRI</t>
  </si>
  <si>
    <t>JEFE DE MARKETING Y CALIDAD</t>
  </si>
  <si>
    <t>ECHEVARRIA SOTO  JORGE LUIS</t>
  </si>
  <si>
    <t>COORDINADOR COMERCIAL</t>
  </si>
  <si>
    <t>MONTOYA MEDRANO ANDREA BELEN JOSEPHINE</t>
  </si>
  <si>
    <t>ASISTENTE DE GERENCIA</t>
  </si>
  <si>
    <t>VERGARA BALDEON GEANNINA LIZBETH</t>
  </si>
  <si>
    <t>ESPECIALISTA EN MARKETING</t>
  </si>
  <si>
    <t>ALMACEN</t>
  </si>
  <si>
    <t>CASTILLO ENCARNACION MANUEL LEONIDAS</t>
  </si>
  <si>
    <t>REPARTO</t>
  </si>
  <si>
    <t>QUEVEDO SALAS LUIS ALBERTO</t>
  </si>
  <si>
    <t>EJECUTIVO COMERCIAL</t>
  </si>
  <si>
    <t>PORTOCARRERO GOMEZ MARIA DEICY</t>
  </si>
  <si>
    <t>42544684</t>
  </si>
  <si>
    <t>LIMPIEZA</t>
  </si>
  <si>
    <t>CONTA</t>
  </si>
  <si>
    <t>AREVALO ILATOMA ALBERTO</t>
  </si>
  <si>
    <t>47291951</t>
  </si>
  <si>
    <t>ASISTENTE CONTABLE</t>
  </si>
  <si>
    <t>PROYECTO</t>
  </si>
  <si>
    <t>SEGURA CHAVESTA CHRISTIAN GUILLERMO</t>
  </si>
  <si>
    <t>72544254</t>
  </si>
  <si>
    <t>ANALISTA DE PROYECTOS</t>
  </si>
  <si>
    <t>LOBO QUISPE ELISA FIORELLA</t>
  </si>
  <si>
    <t>43415173</t>
  </si>
  <si>
    <t>RIOS HOLSEN JAIME JUNIOR</t>
  </si>
  <si>
    <t>48335342</t>
  </si>
  <si>
    <t>ESTRADA SANTOS JUAN MIGUEL</t>
  </si>
  <si>
    <t>INGENIERIA COMERCIAL</t>
  </si>
  <si>
    <t>SALCEDO RIVAS DANIEL ALONSO</t>
  </si>
  <si>
    <t>PORTOCARRERO TAFUR MARIA LOIDI</t>
  </si>
  <si>
    <t>AUXILIAR DE ALMACEN</t>
  </si>
  <si>
    <t>ZEVALLOS DELGADO LUIS EDUARDO</t>
  </si>
  <si>
    <t>INGENIERIO TECNICO EN EL AREA DE VARIADORES</t>
  </si>
  <si>
    <t>BALLLESTEROS DI SERI MARIA PAULA</t>
  </si>
  <si>
    <t>09877161</t>
  </si>
  <si>
    <t>ASISTENTE ADMINISTRATIVO</t>
  </si>
  <si>
    <t>OCAMPO ORTEGA JEAN PAUL</t>
  </si>
  <si>
    <t>73231901</t>
  </si>
  <si>
    <t>ASISTENTE DE SOPORTE TECNICO</t>
  </si>
  <si>
    <t>OLIVOS SAAVEDRA LANDHERT ANDERSON</t>
  </si>
  <si>
    <t>73885455</t>
  </si>
  <si>
    <t>YUPANQUI SAMANIEGO RENATO LUIS</t>
  </si>
  <si>
    <t xml:space="preserve">73952223 </t>
  </si>
  <si>
    <t>10/09/200</t>
  </si>
  <si>
    <t>ASISTENTE DE ALMACEN</t>
  </si>
  <si>
    <t>TUCTO PEREZ CESAR ANTONIO</t>
  </si>
  <si>
    <t xml:space="preserve"> 46452115</t>
  </si>
  <si>
    <t>AREVALO VELA CESAR ANTONIO</t>
  </si>
  <si>
    <t>71114663</t>
  </si>
  <si>
    <t>SICCHA ARCE LUIS FRANCISCO</t>
  </si>
  <si>
    <t>JIMENEZ PUYEN LUIS ANTONIO</t>
  </si>
  <si>
    <t>ESPECIALISTA EN  GESTION Y SST</t>
  </si>
  <si>
    <t>SILVA SANTISTEBAN RONAL JHUNIOR</t>
  </si>
  <si>
    <t>ELGUERA SOTO LUCERO ESTEFANIA</t>
  </si>
  <si>
    <t>ASISTENTE LOGISTICA</t>
  </si>
  <si>
    <t>ESTACIO CAYETANO FRANK BRIAN</t>
  </si>
  <si>
    <t xml:space="preserve">EJECUTIVO COMERCIAL </t>
  </si>
  <si>
    <t>SALAZAR VELASQUEZ HECTOR ALEXANDER</t>
  </si>
  <si>
    <t>41995632</t>
  </si>
  <si>
    <t>CHOFER DE REPARTO</t>
  </si>
  <si>
    <t>RICRA DAVALOS GIUSSEPPE RENATO</t>
  </si>
  <si>
    <t xml:space="preserve">ASISTENTE DE VENTAS </t>
  </si>
  <si>
    <t>DIAZ ESCALANTE LUIS MIGUEL DAVID</t>
  </si>
  <si>
    <t>HIPOLITO GUANILO ARNOLD JIMMY</t>
  </si>
  <si>
    <t>AUXILIAR DE SOPORTE</t>
  </si>
  <si>
    <t>MONTOYA MEDRANO VIVIAN MICHELE ALEXANDRA</t>
  </si>
  <si>
    <t>LL.BB.SS</t>
  </si>
  <si>
    <t>MODIFICACIONES EN PLANILLA SEGÚN PAGO</t>
  </si>
  <si>
    <t>K0011</t>
  </si>
  <si>
    <t>CONCEPTOS</t>
  </si>
  <si>
    <t>O.N.P.</t>
  </si>
  <si>
    <t>I.RTA.5</t>
  </si>
  <si>
    <t>TOTALES</t>
  </si>
  <si>
    <t>PAGOS FIN DE MES</t>
  </si>
  <si>
    <t>PAGOS 1RA QUINCENA MES</t>
  </si>
  <si>
    <t>K0012</t>
  </si>
  <si>
    <t>K0013</t>
  </si>
  <si>
    <t>K0021</t>
  </si>
  <si>
    <t>K0022</t>
  </si>
  <si>
    <t>K0023</t>
  </si>
  <si>
    <t>PROYECTOS</t>
  </si>
  <si>
    <t>K0024</t>
  </si>
  <si>
    <t>MARKETING</t>
  </si>
  <si>
    <t>K0025</t>
  </si>
  <si>
    <t>Quantum</t>
  </si>
  <si>
    <t>BASE EPS</t>
  </si>
  <si>
    <t>CREDITO EPS</t>
  </si>
  <si>
    <t>ESSALUD POR PAGAR</t>
  </si>
  <si>
    <t>HORAS EXTRAS</t>
  </si>
  <si>
    <t>74450353</t>
  </si>
  <si>
    <t>46335654</t>
  </si>
  <si>
    <t>07882846</t>
  </si>
  <si>
    <t>73735818</t>
  </si>
  <si>
    <t>47442636</t>
  </si>
  <si>
    <t>ORDOÑEZ JULCA JESUS ORLANDO</t>
  </si>
  <si>
    <t>No</t>
  </si>
  <si>
    <t>año 2026</t>
  </si>
  <si>
    <t>PROMEDIO COMISIONES</t>
  </si>
  <si>
    <t>APELLIDOS Y NOMBRES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</si>
  <si>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</si>
  <si>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</si>
  <si>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</si>
  <si>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</si>
  <si>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</si>
  <si>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</si>
  <si>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</si>
  <si>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</si>
  <si>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</si>
  <si>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</si>
  <si>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</si>
  <si>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</si>
  <si>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ERNESTO ORIHUELA AGUIRRE</t>
  </si>
  <si>
    <t>año 2025</t>
  </si>
  <si>
    <t>VIDAL MELO ALEX FERNANDO</t>
  </si>
  <si>
    <t>CALCULO QUINTA CATEGORIA DEL IMPUESTO A LA RENTA - 2025</t>
  </si>
  <si>
    <t>MESES</t>
  </si>
  <si>
    <t>ERNESTO</t>
  </si>
  <si>
    <t>JORGE</t>
  </si>
  <si>
    <t>LUIS</t>
  </si>
  <si>
    <t xml:space="preserve">JUAN </t>
  </si>
  <si>
    <t>CESAR</t>
  </si>
  <si>
    <t>FRANK</t>
  </si>
  <si>
    <t>ORIHUELA</t>
  </si>
  <si>
    <t>ECHEVARRIA</t>
  </si>
  <si>
    <t>QUEVEDO</t>
  </si>
  <si>
    <t>ESTRADA</t>
  </si>
  <si>
    <t>SICCHA</t>
  </si>
  <si>
    <t>AREVALO</t>
  </si>
  <si>
    <t>ESTACIO</t>
  </si>
  <si>
    <t>FLORES</t>
  </si>
  <si>
    <t>SUELDO + ASIG FAM</t>
  </si>
  <si>
    <t>COMISIONES</t>
  </si>
  <si>
    <t>VACACIONES PROMEDIO</t>
  </si>
  <si>
    <t>UTILIDADES</t>
  </si>
  <si>
    <t>NO SE CONSIDERA EN LA PROYECCION DE RENTA</t>
  </si>
  <si>
    <t>COMISION TRIMESTRAL</t>
  </si>
  <si>
    <t>GRATIFICACION JULIO</t>
  </si>
  <si>
    <t>SEPTIEMBRE</t>
  </si>
  <si>
    <t xml:space="preserve">PROMEDIO DE VACACIONES </t>
  </si>
  <si>
    <t>GRATIFICACION</t>
  </si>
  <si>
    <t>BONO EXTRAORDINARIO</t>
  </si>
  <si>
    <t>PROMEDIO VACACIONES</t>
  </si>
  <si>
    <t>GRATIFICACION DICIEMBRE</t>
  </si>
  <si>
    <t>VALES PAVO OBSEQUIO</t>
  </si>
  <si>
    <t>TOTAL PERCIBIDO</t>
  </si>
  <si>
    <t>TOTAL REMUNERACIONES</t>
  </si>
  <si>
    <t>DEDUCCION 7UITS</t>
  </si>
  <si>
    <t>BASE IMPONIBLE</t>
  </si>
  <si>
    <t>CALCULO IR 5TA CATEG.</t>
  </si>
  <si>
    <t>Hasta 5 UIT S/ 27,500 (5500 UIT)</t>
  </si>
  <si>
    <t>Por el exceso de 5 UIT S/ 27,500 y hasta 20 UIT 110,000</t>
  </si>
  <si>
    <t>Por el exceso de 20 UIT S/ 110,000 y hasta 35 UIT 192,500</t>
  </si>
  <si>
    <t>Por el exceso de 35 UIT S/ 192,500 y hasta 45 UIT 247,500</t>
  </si>
  <si>
    <t>RETENCIONES</t>
  </si>
  <si>
    <t xml:space="preserve">MAYO </t>
  </si>
  <si>
    <t>RETENCIONES APLICADAS</t>
  </si>
  <si>
    <t>RETENCIONES EXTRAORDINARIAS</t>
  </si>
  <si>
    <t>SALDO A PAGAR</t>
  </si>
  <si>
    <t>CUOTA MENSUAL</t>
  </si>
  <si>
    <t>ULTIMO SS</t>
  </si>
  <si>
    <t>PROM COMIS 3ULT (INCL MES)</t>
  </si>
  <si>
    <t>SS+ PROM COM</t>
  </si>
  <si>
    <t>PROYECCION AL MES</t>
  </si>
  <si>
    <t>RENTA UTILIDAD</t>
  </si>
  <si>
    <t>taxi mañana</t>
  </si>
  <si>
    <t xml:space="preserve">chicos de hoy dia </t>
  </si>
  <si>
    <t>amalia</t>
  </si>
  <si>
    <t>taxi de luis del sabado</t>
  </si>
  <si>
    <t>GIOVANNA</t>
  </si>
  <si>
    <t xml:space="preserve">RIHARD </t>
  </si>
  <si>
    <t>ARACELLI</t>
  </si>
  <si>
    <t>GLORI</t>
  </si>
  <si>
    <t>ELVIS</t>
  </si>
  <si>
    <t xml:space="preserve">GEANNINA </t>
  </si>
  <si>
    <t>FIORELLA</t>
  </si>
  <si>
    <t>JAIME</t>
  </si>
  <si>
    <t>BELEN</t>
  </si>
  <si>
    <t xml:space="preserve">LUIS </t>
  </si>
  <si>
    <t>MARTINEZ</t>
  </si>
  <si>
    <t>LOLI</t>
  </si>
  <si>
    <t>ARAIDA</t>
  </si>
  <si>
    <t>PORTOCARRERO</t>
  </si>
  <si>
    <t>SALVADOR</t>
  </si>
  <si>
    <t>VERGARA</t>
  </si>
  <si>
    <t>LOBO</t>
  </si>
  <si>
    <t>RIOS</t>
  </si>
  <si>
    <t>JIMENEZ</t>
  </si>
  <si>
    <t>MONTOYA</t>
  </si>
  <si>
    <t>ZEVALLOS</t>
  </si>
  <si>
    <t>NO SE CONSIDERA EN LA PROYECCION</t>
  </si>
  <si>
    <t>COMPRA DE VACACIONES</t>
  </si>
  <si>
    <t>ingresos Glori</t>
  </si>
  <si>
    <t>VALE CONSUMO</t>
  </si>
  <si>
    <t>Anthia</t>
  </si>
  <si>
    <t>sueldo</t>
  </si>
  <si>
    <t>INGRESOS ANTHIA - QUANTUM</t>
  </si>
  <si>
    <t>Gratificacion</t>
  </si>
  <si>
    <t>UTILILIDADES</t>
  </si>
  <si>
    <t>SEGURO LA POSITIVA</t>
  </si>
  <si>
    <t xml:space="preserve">Aporte mensuales </t>
  </si>
  <si>
    <t>de 15 a 44 años hombres</t>
  </si>
  <si>
    <t>Se modifico apartir del 01.01.19</t>
  </si>
  <si>
    <t>de 15 a 44 años mujeres</t>
  </si>
  <si>
    <t>PORCENTAJES</t>
  </si>
  <si>
    <t>SALDO POR DESCONTAR AL TRAB</t>
  </si>
  <si>
    <t>INPROCESS</t>
  </si>
  <si>
    <t>Nº</t>
  </si>
  <si>
    <t>DNI Nº</t>
  </si>
  <si>
    <t>Nº poliza</t>
  </si>
  <si>
    <t>FECHA DE NAC.</t>
  </si>
  <si>
    <t>FECHA DE INGRESO</t>
  </si>
  <si>
    <t>REMUNERACION</t>
  </si>
  <si>
    <t>0 a 12 meses</t>
  </si>
  <si>
    <t>de 13 a 24 meses</t>
  </si>
  <si>
    <t>ASUME INPROCESS</t>
  </si>
  <si>
    <t>GIOVANNA RAQUEL MARTINEZ CASTILLO</t>
  </si>
  <si>
    <t xml:space="preserve">SEGURO PACIFICO </t>
  </si>
  <si>
    <t>GIOVANNA MARTINEZ</t>
  </si>
  <si>
    <t>ARACELLI PEREZ</t>
  </si>
  <si>
    <t>LADY OLAYA</t>
  </si>
  <si>
    <t>MARTINEZ CASTILLO GIOVANNA</t>
  </si>
  <si>
    <t>PEREZ CAJAHUANCA ARACELLI</t>
  </si>
  <si>
    <t>MENSUAL</t>
  </si>
  <si>
    <t>DIAS</t>
  </si>
  <si>
    <t>CALCULO DEL 2.25%</t>
  </si>
  <si>
    <t>NOMBRE DE  LA EMPRESA:</t>
  </si>
  <si>
    <t>INDUSTRIAL PROCESS SRL - IN PROCESS SRL</t>
  </si>
  <si>
    <t xml:space="preserve">FECHA: </t>
  </si>
  <si>
    <t xml:space="preserve">ASESOR COMERCIAL: </t>
  </si>
  <si>
    <t>CAROL CUBA</t>
  </si>
  <si>
    <t>Composición de Grupo</t>
  </si>
  <si>
    <t>Titular Solo</t>
  </si>
  <si>
    <t>Titular con 1 Dependiente</t>
  </si>
  <si>
    <t>DH: CONYUGE, CONVIVIENTE CON UNION DE HECHOS E HIJOS HASTA LOS 18 AÑOS</t>
  </si>
  <si>
    <t>Titular con 2 Dependientes</t>
  </si>
  <si>
    <t>Titular con 3 Dependientes</t>
  </si>
  <si>
    <t>Titular con 4 Dependientes</t>
  </si>
  <si>
    <t>Titular con 5 Dependientes</t>
  </si>
  <si>
    <t>Hijos mayores de 18 años</t>
  </si>
  <si>
    <t>ESSALUD MENSUAL</t>
  </si>
  <si>
    <t>Según población afiliada a la fecha</t>
  </si>
  <si>
    <t>N° Total de Afiliados</t>
  </si>
  <si>
    <t>total de afiliados</t>
  </si>
  <si>
    <t>TITULARES</t>
  </si>
  <si>
    <t>ESSALUD ANUAL</t>
  </si>
  <si>
    <t>Essalud Anual</t>
  </si>
  <si>
    <t>Credito Anual</t>
  </si>
  <si>
    <t>Credito Mensual</t>
  </si>
  <si>
    <t>Credito x Afiliado</t>
  </si>
  <si>
    <t>credito 2.25</t>
  </si>
  <si>
    <t>Facturación</t>
  </si>
  <si>
    <t>Costo sin IGV</t>
  </si>
  <si>
    <t>CREDITO A FAVOR DEL TRABAJADOR</t>
  </si>
  <si>
    <t>Descuento Trab.</t>
  </si>
  <si>
    <t>10 a mas afiliados</t>
  </si>
  <si>
    <t>BASE PEAS</t>
  </si>
  <si>
    <t>BASE ESENCIAL</t>
  </si>
  <si>
    <t>BASE PLUS</t>
  </si>
  <si>
    <t>ADICIONAL 1</t>
  </si>
  <si>
    <t>ADICIONAL 2</t>
  </si>
  <si>
    <t>POR PERSONA</t>
  </si>
  <si>
    <t>Titular</t>
  </si>
  <si>
    <t>Titular mas 1</t>
  </si>
  <si>
    <t>Titular mas 2</t>
  </si>
  <si>
    <t>Titular mas 3</t>
  </si>
  <si>
    <t>Titular mas 4</t>
  </si>
  <si>
    <t>NOTA:  CALCULO REALIZADO EN BASE A LA INFORMACION PROPORCIONADA POR LA EMPRESA.  EL MONTO DEL CRÉDITO PODRÁ VARIAR SEGÚN EL NÚMERO REAL DE TITULARES, SU COMPOSICIÓN FAMILIAR Y EL APORTE A ESSALUD CORRESPONDIENTE.</t>
  </si>
  <si>
    <t>01 TITULAR</t>
  </si>
  <si>
    <t>02 DEPENDIENTES</t>
  </si>
  <si>
    <t>TITULAR</t>
  </si>
  <si>
    <t>TOTAL DESCUENTO</t>
  </si>
  <si>
    <t>IMPORTE</t>
  </si>
  <si>
    <t>AFECTA A</t>
  </si>
  <si>
    <t>INGRESOS</t>
  </si>
  <si>
    <t>DESCUENTOS POR TARDANZA</t>
  </si>
  <si>
    <t>INJUSTIFICADAS</t>
  </si>
  <si>
    <t xml:space="preserve">TOTAL </t>
  </si>
  <si>
    <t>DESCUENTO POR FALTA</t>
  </si>
  <si>
    <t>DESCUENTO POR TARDANZA</t>
  </si>
  <si>
    <t>A</t>
  </si>
  <si>
    <t>IMPUESTO</t>
  </si>
  <si>
    <t>MINUTOS</t>
  </si>
  <si>
    <t>PERMISO</t>
  </si>
  <si>
    <t>DESCONTAR</t>
  </si>
  <si>
    <t xml:space="preserve">SUELDO </t>
  </si>
  <si>
    <t>PLANILLA</t>
  </si>
  <si>
    <t>TASA</t>
  </si>
  <si>
    <t>PERIODO</t>
  </si>
  <si>
    <t>NETA</t>
  </si>
  <si>
    <t>SOPORTE TECNICO Y MANTENIMINENTO</t>
  </si>
  <si>
    <t>COORDINADOR COMERC IAL</t>
  </si>
  <si>
    <t>70036224</t>
  </si>
  <si>
    <t>ASISTENTE LOGISTICO</t>
  </si>
  <si>
    <t>RECEPCIONISTA</t>
  </si>
  <si>
    <t>LUGO YAGUARACUTO JORGE DEYVIS</t>
  </si>
  <si>
    <t>003488571</t>
  </si>
  <si>
    <t>RAMOS ESPEJO JHONN MIGUEL</t>
  </si>
  <si>
    <t>SUPERVISOR DE ALMACEN</t>
  </si>
  <si>
    <t>ASISTENTE VENTAS</t>
  </si>
  <si>
    <t>PRODUCT MANAGER</t>
  </si>
  <si>
    <t>CORREIA DUARTE ALEXANDER</t>
  </si>
  <si>
    <t>001216312</t>
  </si>
  <si>
    <t xml:space="preserve"> 06802763 </t>
  </si>
  <si>
    <t>TORRES VELA JOE RAMIRO</t>
  </si>
  <si>
    <t>CHOFER</t>
  </si>
  <si>
    <t>TECNICO ELECTRICISTA</t>
  </si>
  <si>
    <t xml:space="preserve">AREVALO VELA CESAR ANTONIO </t>
  </si>
  <si>
    <t>SPECIES S.A.C.</t>
  </si>
  <si>
    <t>Nº 20550057451</t>
  </si>
  <si>
    <t>PLANILLA DE REMUNERACIONES MES DE JULIO DEL AÑO 2024</t>
  </si>
  <si>
    <t>(Se considero de adelanto (S/1149)</t>
  </si>
  <si>
    <t>SE PAGO</t>
  </si>
  <si>
    <t>SE DEBIO DE PAGAR</t>
  </si>
  <si>
    <t>NOMBRES</t>
  </si>
  <si>
    <t>CANASTA</t>
  </si>
  <si>
    <t>IMP.RTA.5</t>
  </si>
  <si>
    <t>ADELAN</t>
  </si>
  <si>
    <t>GRATIF</t>
  </si>
  <si>
    <t>PREST</t>
  </si>
  <si>
    <t>DESCUENTO</t>
  </si>
  <si>
    <t>DSCTO</t>
  </si>
  <si>
    <t>MATERNO</t>
  </si>
  <si>
    <t>PRIMER</t>
  </si>
  <si>
    <t>SEGUNDO</t>
  </si>
  <si>
    <t>CUPSS</t>
  </si>
  <si>
    <t>AUTOGENERADO</t>
  </si>
  <si>
    <t>AREA</t>
  </si>
  <si>
    <t>BONIF.</t>
  </si>
  <si>
    <t>OTROS INGRESOS NO COMPU</t>
  </si>
  <si>
    <t>NAVIDEÑA</t>
  </si>
  <si>
    <t>APORTE OBLIG.</t>
  </si>
  <si>
    <t>PRIMA SEGURO</t>
  </si>
  <si>
    <t>JUDICIAL</t>
  </si>
  <si>
    <t xml:space="preserve">PAGO </t>
  </si>
  <si>
    <t>LAB</t>
  </si>
  <si>
    <t>SALIDA</t>
  </si>
  <si>
    <t>1ER</t>
  </si>
  <si>
    <t>BRETONECHE</t>
  </si>
  <si>
    <t>DIAPIS</t>
  </si>
  <si>
    <t>ANA</t>
  </si>
  <si>
    <t>LUCIA</t>
  </si>
  <si>
    <t>636620ABDTP8</t>
  </si>
  <si>
    <t>RESTAURANT</t>
  </si>
  <si>
    <t>MAMANI</t>
  </si>
  <si>
    <t>HUAMANI</t>
  </si>
  <si>
    <t>YAMIR</t>
  </si>
  <si>
    <t>JOSE</t>
  </si>
  <si>
    <t>621701YMHAM9</t>
  </si>
  <si>
    <t>44895694</t>
  </si>
  <si>
    <t>ok</t>
  </si>
  <si>
    <t>VICENTE</t>
  </si>
  <si>
    <t>BLAS</t>
  </si>
  <si>
    <t>CALIXTO</t>
  </si>
  <si>
    <t>CONDUCTOR</t>
  </si>
  <si>
    <t>(Descontar en julio)</t>
  </si>
  <si>
    <t>PINILLOS</t>
  </si>
  <si>
    <t>HIDALGO</t>
  </si>
  <si>
    <t>MARYORI</t>
  </si>
  <si>
    <t>XIMENA</t>
  </si>
  <si>
    <t>670730MPHIA2</t>
  </si>
  <si>
    <t>GUILLEN</t>
  </si>
  <si>
    <t>CERECEDA</t>
  </si>
  <si>
    <t>KATHERINN</t>
  </si>
  <si>
    <t>ELIZABETH</t>
  </si>
  <si>
    <t xml:space="preserve">INTEGRA </t>
  </si>
  <si>
    <t>641760KGCLE7</t>
  </si>
  <si>
    <t xml:space="preserve">CONTABILIDAD </t>
  </si>
  <si>
    <t>ASIST.CONTABLE</t>
  </si>
  <si>
    <t>SALAS</t>
  </si>
  <si>
    <t>SORIA</t>
  </si>
  <si>
    <t>OMAR</t>
  </si>
  <si>
    <t>ANDRES</t>
  </si>
  <si>
    <t>638061OSSAI5</t>
  </si>
  <si>
    <t>MANYARI</t>
  </si>
  <si>
    <t>MATIAS</t>
  </si>
  <si>
    <t>ANTONIO</t>
  </si>
  <si>
    <t>686101MEMRY1</t>
  </si>
  <si>
    <t>MESERO</t>
  </si>
  <si>
    <t>no pago de feriado dia 09.06</t>
  </si>
  <si>
    <t>MIGUEL</t>
  </si>
  <si>
    <t>ANGEL</t>
  </si>
  <si>
    <t>676151MPHIA6</t>
  </si>
  <si>
    <t>OPERARIO DE LIMPIEZA</t>
  </si>
  <si>
    <t>5TO</t>
  </si>
  <si>
    <t>CHUNGA</t>
  </si>
  <si>
    <t>VILLAR</t>
  </si>
  <si>
    <t>PEDRO</t>
  </si>
  <si>
    <t>GIOMAR</t>
  </si>
  <si>
    <t>631631PCVNL0</t>
  </si>
  <si>
    <t>46704451</t>
  </si>
  <si>
    <t>ROOFTOP</t>
  </si>
  <si>
    <t>CARRASQUEL</t>
  </si>
  <si>
    <t>HERNANDEZ</t>
  </si>
  <si>
    <t>ANGIRBER</t>
  </si>
  <si>
    <t>GABRIEL</t>
  </si>
  <si>
    <t>646151ACHRN5</t>
  </si>
  <si>
    <t>004696624</t>
  </si>
  <si>
    <t>SALON</t>
  </si>
  <si>
    <t>JEFE DE BARRA</t>
  </si>
  <si>
    <t>08751792</t>
  </si>
  <si>
    <t>RIVERO</t>
  </si>
  <si>
    <t>GACON</t>
  </si>
  <si>
    <t>VICTOR</t>
  </si>
  <si>
    <t xml:space="preserve">ONP </t>
  </si>
  <si>
    <t>09979245</t>
  </si>
  <si>
    <t>ADMINISTRADOR</t>
  </si>
  <si>
    <t>BARTESAGHI</t>
  </si>
  <si>
    <t>MALAGA</t>
  </si>
  <si>
    <t>RENATO</t>
  </si>
  <si>
    <t>664941RBMTA8</t>
  </si>
  <si>
    <t>71455402</t>
  </si>
  <si>
    <t>CERRON</t>
  </si>
  <si>
    <t>ANTO</t>
  </si>
  <si>
    <t>ALVARO</t>
  </si>
  <si>
    <t>MARCELO</t>
  </si>
  <si>
    <t>669981ACARO4</t>
  </si>
  <si>
    <t>74221679</t>
  </si>
  <si>
    <t>PA</t>
  </si>
  <si>
    <t>MOYA</t>
  </si>
  <si>
    <t>FERNANDO</t>
  </si>
  <si>
    <t>PACHACAMAC</t>
  </si>
  <si>
    <t>EMPLEADO</t>
  </si>
  <si>
    <t>(Feriado del 07.06.24</t>
  </si>
  <si>
    <t>MAR</t>
  </si>
  <si>
    <t>TELLO</t>
  </si>
  <si>
    <t>DARIO</t>
  </si>
  <si>
    <t>MARIPOSARIO</t>
  </si>
  <si>
    <t>SERVICIO DE PERSONAL</t>
  </si>
  <si>
    <t>PSM</t>
  </si>
  <si>
    <t>RODRIGUEZ</t>
  </si>
  <si>
    <t>CHIMPAY</t>
  </si>
  <si>
    <t>CARMEN</t>
  </si>
  <si>
    <t>ISABEL</t>
  </si>
  <si>
    <t>627030CRCRM5</t>
  </si>
  <si>
    <t>CONTABILIDAD</t>
  </si>
  <si>
    <t>ANALIST.CONTABLE</t>
  </si>
  <si>
    <t xml:space="preserve">ZAMORA </t>
  </si>
  <si>
    <t>VELASQUEZ</t>
  </si>
  <si>
    <t xml:space="preserve">ELVIS </t>
  </si>
  <si>
    <t>IVAN</t>
  </si>
  <si>
    <t>652131EZVOA7</t>
  </si>
  <si>
    <t>AUX. CONTABLE</t>
  </si>
  <si>
    <t>ALLCA</t>
  </si>
  <si>
    <t>PABLO</t>
  </si>
  <si>
    <t>DIEGO</t>
  </si>
  <si>
    <t>674491PAMCT2</t>
  </si>
  <si>
    <t>ACOSTA</t>
  </si>
  <si>
    <t>DAMIAN</t>
  </si>
  <si>
    <t>ROBERT</t>
  </si>
  <si>
    <t>ALEXANDER</t>
  </si>
  <si>
    <t>652851RADSI0</t>
  </si>
  <si>
    <t xml:space="preserve">RESTAURANTE </t>
  </si>
  <si>
    <t xml:space="preserve">COCINERO </t>
  </si>
  <si>
    <t>TICACALA</t>
  </si>
  <si>
    <t>HUETE</t>
  </si>
  <si>
    <t>CRISTEL</t>
  </si>
  <si>
    <t>JAZMIN</t>
  </si>
  <si>
    <t>678370CTHAT4</t>
  </si>
  <si>
    <t>COMECA</t>
  </si>
  <si>
    <t>SALAZAR</t>
  </si>
  <si>
    <t>DILAN</t>
  </si>
  <si>
    <t>ANDRIU</t>
  </si>
  <si>
    <t>681573DCSEA4</t>
  </si>
  <si>
    <t>SOTELO</t>
  </si>
  <si>
    <t>LEON</t>
  </si>
  <si>
    <t>640451MSLEN2</t>
  </si>
  <si>
    <t>TALAVERA</t>
  </si>
  <si>
    <t>ABANTO</t>
  </si>
  <si>
    <t xml:space="preserve">MIRIAN </t>
  </si>
  <si>
    <t>AIDA</t>
  </si>
  <si>
    <t>596540MTAAN8</t>
  </si>
  <si>
    <t>CAFETERIA</t>
  </si>
  <si>
    <t>CUBA</t>
  </si>
  <si>
    <t xml:space="preserve">PORTUGAL </t>
  </si>
  <si>
    <t xml:space="preserve">TANIA </t>
  </si>
  <si>
    <t xml:space="preserve">NATIVIDAD </t>
  </si>
  <si>
    <t>643110TCPAT6</t>
  </si>
  <si>
    <t>CHEF PASTELERA</t>
  </si>
  <si>
    <t>ARBULU</t>
  </si>
  <si>
    <t>NAYELI</t>
  </si>
  <si>
    <t>670820NMATU7</t>
  </si>
  <si>
    <t>MESERA</t>
  </si>
  <si>
    <t>TARAP</t>
  </si>
  <si>
    <t>PIZANGO</t>
  </si>
  <si>
    <t>LUMBA</t>
  </si>
  <si>
    <t>JHONELLIN</t>
  </si>
  <si>
    <t>587111RPLAB6</t>
  </si>
  <si>
    <t>TARAPOTO</t>
  </si>
  <si>
    <t>SERVICIO DEL PERSONAL</t>
  </si>
  <si>
    <t xml:space="preserve">MONTO </t>
  </si>
  <si>
    <t>RPSM</t>
  </si>
  <si>
    <t xml:space="preserve">PACHACAMAC / TARAPOTO/ MARIPOSARIO  </t>
  </si>
  <si>
    <t xml:space="preserve">LM 1ER PISO </t>
  </si>
  <si>
    <t>LM 5TO PISO</t>
  </si>
  <si>
    <t>TOTAL A PAGAR</t>
  </si>
  <si>
    <t>ESSALUD 9%</t>
  </si>
  <si>
    <t>BONIFICACION 9%</t>
  </si>
  <si>
    <t>ANUAL</t>
  </si>
  <si>
    <t>JEFA DE BARRA</t>
  </si>
  <si>
    <r>
      <t xml:space="preserve">DANIEL BENITES SEBAN  </t>
    </r>
    <r>
      <rPr>
        <sz val="11"/>
        <color rgb="FFFF0000"/>
        <rFont val="Calibri"/>
        <family val="2"/>
        <scheme val="minor"/>
      </rPr>
      <t>(*RGL)</t>
    </r>
  </si>
  <si>
    <t>PERIODOS : NOV-ABRIL/ MAYO -OCTUBRE</t>
  </si>
  <si>
    <t>CÁLCULO</t>
  </si>
  <si>
    <t>01/6</t>
  </si>
  <si>
    <t>DE GRATIFICA</t>
  </si>
  <si>
    <t xml:space="preserve">CTS </t>
  </si>
  <si>
    <t>JULIO-DIC</t>
  </si>
  <si>
    <t>VACAIONES</t>
  </si>
  <si>
    <t>1ER PISO</t>
  </si>
  <si>
    <t>APORTACIONES</t>
  </si>
  <si>
    <t>COSTO</t>
  </si>
  <si>
    <t>PAGO QUINCENAL MARZO</t>
  </si>
  <si>
    <t>PAGO MENSUAL MARZO</t>
  </si>
  <si>
    <t>VARIACION</t>
  </si>
  <si>
    <t xml:space="preserve">GRATIFICACION </t>
  </si>
  <si>
    <t>ANFITRION</t>
  </si>
  <si>
    <t xml:space="preserve"> </t>
  </si>
  <si>
    <t>5TO PISO</t>
  </si>
  <si>
    <t xml:space="preserve">CHEF </t>
  </si>
  <si>
    <r>
      <t xml:space="preserve">BENITES SEBAN DANIEL </t>
    </r>
    <r>
      <rPr>
        <sz val="11"/>
        <color rgb="FFFF0000"/>
        <rFont val="Calibri"/>
        <family val="2"/>
        <scheme val="minor"/>
      </rPr>
      <t>(*RGL)</t>
    </r>
  </si>
  <si>
    <t>BARMAN JUNIOR</t>
  </si>
  <si>
    <t>TOTAL DEL COSTO</t>
  </si>
  <si>
    <t>TARDAN</t>
  </si>
  <si>
    <t>ZAS</t>
  </si>
  <si>
    <t>PLAN ESENCIAL</t>
  </si>
  <si>
    <t>PLAN PLUS</t>
  </si>
  <si>
    <t>LLBBSS</t>
  </si>
  <si>
    <t>YSABEL</t>
  </si>
  <si>
    <t>RICARDO</t>
  </si>
  <si>
    <t>INTERBANK</t>
  </si>
  <si>
    <t>TOTAL FACTURACION</t>
  </si>
  <si>
    <t>POR</t>
  </si>
  <si>
    <t>REEMB</t>
  </si>
  <si>
    <r>
      <t>Al mes de devengue 2026-04 </t>
    </r>
    <r>
      <rPr>
        <b/>
        <vertAlign val="superscript"/>
        <sz val="11"/>
        <color rgb="FF044F85"/>
        <rFont val="Trebuchet MS"/>
        <family val="2"/>
      </rPr>
      <t>1/</t>
    </r>
  </si>
  <si>
    <t>12 598,91</t>
  </si>
  <si>
    <t>INTERB</t>
  </si>
  <si>
    <t>MARIA PAULA</t>
  </si>
  <si>
    <t>BALLESTEROS</t>
  </si>
  <si>
    <t>ASISTENTE DE PROYECTOS</t>
  </si>
  <si>
    <t>ALARCON OLIVERA AMBAR TIFFANY</t>
  </si>
  <si>
    <t>-</t>
  </si>
  <si>
    <t>bbva</t>
  </si>
  <si>
    <t>BURGA MUÑOZ HELDER ALEXANDER</t>
  </si>
  <si>
    <t>RR.HH</t>
  </si>
  <si>
    <t>RIVERA CORRALES JUAN EDUARDO</t>
  </si>
  <si>
    <t>MELO HUAMAN CARLOS MANUEL</t>
  </si>
  <si>
    <t>FARFAN LAUREL CIELO CARMIN</t>
  </si>
  <si>
    <t>ORTIZ PAREDES CESAR PAUL</t>
  </si>
  <si>
    <t>ASISTENTE DE RR.HH</t>
  </si>
  <si>
    <t>ASIGNACION
 FAMILIAR</t>
  </si>
  <si>
    <t>Sueldo</t>
  </si>
  <si>
    <t>Dia</t>
  </si>
  <si>
    <t>hora</t>
  </si>
  <si>
    <t>Total</t>
  </si>
  <si>
    <t>FERIADO/ DOMINICAL</t>
  </si>
  <si>
    <t>JEAN PAUL OCAMPO ORTEGA</t>
  </si>
  <si>
    <t>ANDERSON OLIVOS SAAVEDRA</t>
  </si>
  <si>
    <t>RONAL SILVA SANTISTEBAN</t>
  </si>
  <si>
    <t>JIMMY HIPOLITO</t>
  </si>
  <si>
    <t>LUIS ZEVALLOS DELGADO</t>
  </si>
  <si>
    <t>HORAS 
25%</t>
  </si>
  <si>
    <t>HORAS
35%</t>
  </si>
  <si>
    <t>PAGO 25%</t>
  </si>
  <si>
    <t>PAGO 35%</t>
  </si>
  <si>
    <t>PAGO 100%</t>
  </si>
  <si>
    <t>AUXILIAR DE SOPORTE TECNICO</t>
  </si>
  <si>
    <t>CALCULO QUINTA CATEGORIA DEL IMPUESTO A LA RENTA - 2026</t>
  </si>
  <si>
    <t>GIUSSEPPE</t>
  </si>
  <si>
    <t>RICRA</t>
  </si>
  <si>
    <t>FERIADO/DESCANSO</t>
  </si>
  <si>
    <r>
      <t>Al mes de devengue 2026-07 </t>
    </r>
    <r>
      <rPr>
        <b/>
        <vertAlign val="superscript"/>
        <sz val="11"/>
        <color rgb="FF044F85"/>
        <rFont val="Trebuchet MS"/>
        <family val="2"/>
      </rPr>
      <t>1/</t>
    </r>
  </si>
  <si>
    <t>12 672,65</t>
  </si>
  <si>
    <t>DESCANSO</t>
  </si>
  <si>
    <t>INDE.</t>
  </si>
  <si>
    <t>PAREDES CHAMOCHUMBI ANA GABRIEL</t>
  </si>
  <si>
    <t>RXH</t>
  </si>
  <si>
    <t>PLANILLA DE REMUNERACIONES MES DE JULIO 2026</t>
  </si>
  <si>
    <t>AUXILIAR ADMINISTRATIVO</t>
  </si>
  <si>
    <t>GRATI</t>
  </si>
  <si>
    <t>DIA</t>
  </si>
  <si>
    <t>INDUSTRIAL PROCESS</t>
  </si>
  <si>
    <t>COMPROBANTE</t>
  </si>
  <si>
    <t>Sub-Diario: P</t>
  </si>
  <si>
    <t>Moneda: MN</t>
  </si>
  <si>
    <t>Comprobante: 030001</t>
  </si>
  <si>
    <t>Conversion: S</t>
  </si>
  <si>
    <t>Concepto: PROVISION PLANILLA MES ABRIL 2023</t>
  </si>
  <si>
    <t>Tipo de Cambio: 3.829</t>
  </si>
  <si>
    <t xml:space="preserve">Usuario: </t>
  </si>
  <si>
    <t>LTP</t>
  </si>
  <si>
    <t>IMPORTES</t>
  </si>
  <si>
    <t>Cuenta</t>
  </si>
  <si>
    <t>Descripción Cuenta</t>
  </si>
  <si>
    <t>Anexo</t>
  </si>
  <si>
    <t>Descripcion Anexo</t>
  </si>
  <si>
    <t>CC</t>
  </si>
  <si>
    <t>Debe</t>
  </si>
  <si>
    <t>Haber</t>
  </si>
  <si>
    <t>TD</t>
  </si>
  <si>
    <t>Nro. Doc.</t>
  </si>
  <si>
    <t>Fecha</t>
  </si>
  <si>
    <t>Glosa</t>
  </si>
  <si>
    <t>62101001</t>
  </si>
  <si>
    <t>SUELDOS</t>
  </si>
  <si>
    <t>00</t>
  </si>
  <si>
    <t>003-2025</t>
  </si>
  <si>
    <t>PROVISION PLANILLA MES MARZO 2025</t>
  </si>
  <si>
    <t>62201001</t>
  </si>
  <si>
    <t>ASIGNACION FAMILIAR</t>
  </si>
  <si>
    <t>62201007</t>
  </si>
  <si>
    <t>PLANILLA MOVILIDAD</t>
  </si>
  <si>
    <t>62701001</t>
  </si>
  <si>
    <t>REGIMEN DE PRESTACIONES DE SALUD</t>
  </si>
  <si>
    <t>62101002</t>
  </si>
  <si>
    <t>VENTAS</t>
  </si>
  <si>
    <t>62201002</t>
  </si>
  <si>
    <t>62102002</t>
  </si>
  <si>
    <t>COMISIONES DEL PERIODO</t>
  </si>
  <si>
    <t>62701002</t>
  </si>
  <si>
    <t>62101004</t>
  </si>
  <si>
    <t>62201008</t>
  </si>
  <si>
    <t>14111001</t>
  </si>
  <si>
    <t>PRESTAMOS DE PERSONAL EMPLEADOS M.N.</t>
  </si>
  <si>
    <t>44030334</t>
  </si>
  <si>
    <t>14496</t>
  </si>
  <si>
    <t>012-2024</t>
  </si>
  <si>
    <t>14121001</t>
  </si>
  <si>
    <t>ADELANTO DE REMUNERACION DE PERSONAL M.N</t>
  </si>
  <si>
    <t>10305226</t>
  </si>
  <si>
    <t>09594953</t>
  </si>
  <si>
    <t>41675364</t>
  </si>
  <si>
    <t>44425022</t>
  </si>
  <si>
    <t>43172155</t>
  </si>
  <si>
    <t>45538866</t>
  </si>
  <si>
    <t>71127068</t>
  </si>
  <si>
    <t>46497553</t>
  </si>
  <si>
    <t>25849757</t>
  </si>
  <si>
    <t>42953954</t>
  </si>
  <si>
    <t>45654429</t>
  </si>
  <si>
    <t>73952223</t>
  </si>
  <si>
    <t>46452115</t>
  </si>
  <si>
    <t xml:space="preserve"> TUCTO PEREZ CESAR ANTONIO</t>
  </si>
  <si>
    <t xml:space="preserve"> AREVALO VELA CESAR ANTONIO</t>
  </si>
  <si>
    <t>06802763</t>
  </si>
  <si>
    <t>48461873</t>
  </si>
  <si>
    <t xml:space="preserve">14191001      </t>
  </si>
  <si>
    <t>OTROS CUENTAS POR COBRAR AL PERSONAL</t>
  </si>
  <si>
    <t>20332970411</t>
  </si>
  <si>
    <t>PACIFICO COMPAÑÍA DE SEGUROS</t>
  </si>
  <si>
    <t>01</t>
  </si>
  <si>
    <t>F090-118980</t>
  </si>
  <si>
    <t>F072-5022558</t>
  </si>
  <si>
    <t>F077-384221</t>
  </si>
  <si>
    <t>F072-5022561</t>
  </si>
  <si>
    <t>CONSIDERAR RECIBO ENTEL</t>
  </si>
  <si>
    <t>011-2024</t>
  </si>
  <si>
    <t>40171003</t>
  </si>
  <si>
    <t xml:space="preserve">RENTA DE QUINTA CATEGORIA </t>
  </si>
  <si>
    <t>20131312955</t>
  </si>
  <si>
    <t>SUNAT</t>
  </si>
  <si>
    <t>40311001</t>
  </si>
  <si>
    <t xml:space="preserve">40321001      </t>
  </si>
  <si>
    <t>41701001</t>
  </si>
  <si>
    <t>ADMIN DE FONDOS DE PENN - PRIMA</t>
  </si>
  <si>
    <t>20510398158</t>
  </si>
  <si>
    <t>41701002</t>
  </si>
  <si>
    <t>ADMIN DE FONDOS PENS - INTEGRA</t>
  </si>
  <si>
    <t>20157036794</t>
  </si>
  <si>
    <t>41701003</t>
  </si>
  <si>
    <t>ADMIN DE FONDOS DE PENN - PROFUTURO</t>
  </si>
  <si>
    <t>20142829551</t>
  </si>
  <si>
    <t>41701004</t>
  </si>
  <si>
    <t>ADMIN DE FONDOS PENS - HABITAH</t>
  </si>
  <si>
    <t>20551464971</t>
  </si>
  <si>
    <t>HABITAH</t>
  </si>
  <si>
    <t xml:space="preserve">41101001      </t>
  </si>
  <si>
    <t>75101001</t>
  </si>
  <si>
    <t>INGRESOS EN BENEFICIO DEL TRABAJADOR</t>
  </si>
  <si>
    <t>20514706302</t>
  </si>
  <si>
    <t>41105001</t>
  </si>
  <si>
    <t>VACACIONES POR PAGAR</t>
  </si>
  <si>
    <t>Total:</t>
  </si>
  <si>
    <t>JAVIER</t>
  </si>
  <si>
    <t>SUBSIDIO</t>
  </si>
  <si>
    <t>SUELDO</t>
  </si>
  <si>
    <t>SUELDOS + ASIGNACION FAMILIAR</t>
  </si>
  <si>
    <t>DIARIO</t>
  </si>
  <si>
    <t>DESCANSO MEDICO</t>
  </si>
  <si>
    <t>REMUNERACIÓN</t>
  </si>
  <si>
    <t>ASIGNACIÓN FAMILIAR</t>
  </si>
  <si>
    <t>REMUNERACIÓN
 BASICA</t>
  </si>
  <si>
    <t>ASIGNACION
FAMILIAR</t>
  </si>
  <si>
    <t>FIN DE DESCANSO</t>
  </si>
  <si>
    <t>TOTAL DE REMUNERACION</t>
  </si>
  <si>
    <t>DIAS DEL AÑO</t>
  </si>
  <si>
    <t>ASEGURADO</t>
  </si>
  <si>
    <t>SUBSIDIO DIARIO</t>
  </si>
  <si>
    <t>DIAS A SUBSIDIAR</t>
  </si>
  <si>
    <t xml:space="preserve">TOTAL DE SUBSICIO POR ENFERMEDAD </t>
  </si>
  <si>
    <t>INICIO DE SUBSIDIO</t>
  </si>
  <si>
    <r>
      <t>Al mes de devengue 2026-08 </t>
    </r>
    <r>
      <rPr>
        <b/>
        <vertAlign val="superscript"/>
        <sz val="11"/>
        <color rgb="FF044F85"/>
        <rFont val="Trebuchet MS"/>
        <family val="2"/>
      </rPr>
      <t>1/</t>
    </r>
  </si>
  <si>
    <t xml:space="preserve">	ARAGON LOPEZ EDUARDO ALEJANDRO</t>
  </si>
  <si>
    <t>PALOMINO DELGADO CESAR JAIRO</t>
  </si>
  <si>
    <t>Gabriela</t>
  </si>
  <si>
    <t>001105790250627369</t>
  </si>
  <si>
    <t>Bryan</t>
  </si>
  <si>
    <t>001105790234579494</t>
  </si>
  <si>
    <t>MRK</t>
  </si>
  <si>
    <t>INGENIERIO DE PROYECTOS</t>
  </si>
  <si>
    <t>publicidad</t>
  </si>
  <si>
    <t>FRANCO LOPEZ EMERSON JOEL</t>
  </si>
  <si>
    <t>GUZMAN LIVIA ALFREDO SANTIAGO</t>
  </si>
  <si>
    <t>COORDINADOR DE ALMACÉN</t>
  </si>
  <si>
    <t>COMPENSACIÓN</t>
  </si>
  <si>
    <t>TUCTO</t>
  </si>
  <si>
    <t>YUPANQUI</t>
  </si>
  <si>
    <t>LANDER</t>
  </si>
  <si>
    <t>OLIVOS</t>
  </si>
  <si>
    <t>JEAN PAUL</t>
  </si>
  <si>
    <t>OCAMPO</t>
  </si>
  <si>
    <t xml:space="preserve">HECTOR </t>
  </si>
  <si>
    <t>MANUEL</t>
  </si>
  <si>
    <t>CASTILLO</t>
  </si>
  <si>
    <t>SE DESCUENTA UNA CUOTA EN GRATIFICACIÓN</t>
  </si>
  <si>
    <t>OBS</t>
  </si>
  <si>
    <t>FIN DE CUOTAS</t>
  </si>
  <si>
    <t>INICIO DE CUOTAS</t>
  </si>
  <si>
    <t>N° DE CUOTAS</t>
  </si>
  <si>
    <t>VALOR DE CUOTA</t>
  </si>
  <si>
    <t>MONTO</t>
  </si>
  <si>
    <t>FECHA DE PRESATMO</t>
  </si>
  <si>
    <t>DNI</t>
  </si>
  <si>
    <t>NOMBRES Y APELLIDOS</t>
  </si>
  <si>
    <t>COMPENSACIÓN DE VACACIONES</t>
  </si>
  <si>
    <t>ANALISTA CONTABLE</t>
  </si>
  <si>
    <t>JULIO
DESCONTAR</t>
  </si>
  <si>
    <t>TOTAL DE
DESCUENTO</t>
  </si>
  <si>
    <t>JUNIO
A FAVOR</t>
  </si>
  <si>
    <t>19119202409072</t>
  </si>
  <si>
    <t>19119202411074</t>
  </si>
  <si>
    <t>LIQ FIORELLA</t>
  </si>
  <si>
    <t>5ta de vacaciones</t>
  </si>
  <si>
    <t>INGRESO REAL DE ANA PAREDES</t>
  </si>
  <si>
    <t>ESSALUD EMERSON Y CESAR</t>
  </si>
  <si>
    <t>VACACIONES OLIVOS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</si>
</sst>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000000000"/>
    <numFmt numFmtId="167" formatCode="0000"/>
    <numFmt numFmtId="168" formatCode="00000000"/>
    <numFmt numFmtId="169" formatCode="0.0"/>
    <numFmt numFmtId="170" formatCode="_ * #,##0_ ;_ * \-#,##0_ ;_ * &quot;-&quot;??_ ;_ @_ "/>
    <numFmt numFmtId="171" formatCode="&quot;S/&quot;#,##0"/>
    <numFmt numFmtId="172" formatCode="dd\-mm\-yy"/>
    <numFmt numFmtId="173" formatCode="&quot;S/.&quot;#,##0.00"/>
    <numFmt numFmtId="174" formatCode="_-[$S/-280A]\ * #,##0.00_-;\-[$S/-280A]\ * #,##0.00_-;_-[$S/-280A]\ * &quot;-&quot;??_-;_-@_-"/>
    <numFmt numFmtId="175" formatCode="&quot;S/. &quot;#,##0.00"/>
    <numFmt numFmtId="176" formatCode="&quot;S/.&quot;\ #,##0.00"/>
    <numFmt numFmtId="177" formatCode="dd\-mm\-yy;@"/>
    <numFmt numFmtId="178" formatCode="_-* #,##0.00\ _€_-;\-* #,##0.00\ _€_-;_-* &quot;-&quot;??\ _€_-;_-@_-"/>
    <numFmt numFmtId="179" formatCode="_ * #,##0.0_ ;_ * \-#,##0.0_ ;_ * &quot;-&quot;??_ ;_ @_ "/>
    <numFmt numFmtId="180" formatCode="#,##0.0_ ;\-#,##0.0\ "/>
    <numFmt numFmtId="181" formatCode="yyyy\-mm\-dd;@"/>
  </numFmts>
  <fonts count="1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5"/>
      <name val="Calibri"/>
      <family val="2"/>
    </font>
    <font>
      <sz val="10"/>
      <name val="Calibri"/>
      <family val="2"/>
      <scheme val="minor"/>
    </font>
    <font>
      <sz val="9"/>
      <name val="Arial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sz val="10"/>
      <color rgb="FF002060"/>
      <name val="Calibri"/>
      <family val="2"/>
    </font>
    <font>
      <b/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70C0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3"/>
      <name val="Calibri"/>
      <family val="2"/>
      <scheme val="minor"/>
    </font>
    <font>
      <b/>
      <sz val="13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8" tint="-0.249977111117893"/>
      <name val="Calibri"/>
      <family val="2"/>
    </font>
    <font>
      <b/>
      <sz val="10"/>
      <color rgb="FFFFC000"/>
      <name val="Calibri"/>
      <family val="2"/>
    </font>
    <font>
      <sz val="8"/>
      <name val="Calibri"/>
      <family val="2"/>
      <scheme val="minor"/>
    </font>
    <font>
      <b/>
      <sz val="10"/>
      <color rgb="FF0070C0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0070C0"/>
      <name val="Calibri"/>
      <family val="2"/>
    </font>
    <font>
      <b/>
      <sz val="10"/>
      <color theme="8" tint="-0.249977111117893"/>
      <name val="Calibri"/>
      <family val="2"/>
    </font>
    <font>
      <sz val="16"/>
      <name val="Calibri"/>
      <family val="2"/>
    </font>
    <font>
      <sz val="18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0"/>
      <color theme="5" tint="-0.249977111117893"/>
      <name val="Calibri"/>
      <family val="2"/>
    </font>
    <font>
      <b/>
      <sz val="10"/>
      <color rgb="FF00B050"/>
      <name val="Calibri"/>
      <family val="2"/>
    </font>
    <font>
      <sz val="10"/>
      <color rgb="FF7D1EB2"/>
      <name val="Calibri"/>
      <family val="2"/>
    </font>
    <font>
      <sz val="10"/>
      <color rgb="FF7D1EB2"/>
      <name val="Calibri"/>
      <family val="2"/>
      <scheme val="minor"/>
    </font>
    <font>
      <b/>
      <sz val="10"/>
      <color rgb="FF7D1EB2"/>
      <name val="Calibri"/>
      <family val="2"/>
    </font>
    <font>
      <sz val="10"/>
      <color theme="5" tint="-0.249977111117893"/>
      <name val="Calibri"/>
      <family val="2"/>
    </font>
    <font>
      <sz val="10"/>
      <name val="Formata Regular"/>
    </font>
    <font>
      <sz val="10"/>
      <name val="Formata Regular"/>
      <family val="2"/>
    </font>
    <font>
      <sz val="10"/>
      <name val="Century Gothic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8"/>
      <color rgb="FF688EB7"/>
      <name val="Trebuchet MS"/>
      <family val="2"/>
    </font>
    <font>
      <b/>
      <sz val="7"/>
      <color rgb="FF688EB7"/>
      <name val="Trebuchet MS"/>
      <family val="2"/>
    </font>
    <font>
      <b/>
      <vertAlign val="superscript"/>
      <sz val="7"/>
      <color rgb="FF688EB7"/>
      <name val="Trebuchet MS"/>
      <family val="2"/>
    </font>
    <font>
      <sz val="7"/>
      <color rgb="FF457AB2"/>
      <name val="Arial"/>
      <family val="2"/>
    </font>
    <font>
      <sz val="8"/>
      <color rgb="FF696969"/>
      <name val="Trebuchet MS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</font>
    <font>
      <sz val="8"/>
      <name val="Arial"/>
      <family val="2"/>
    </font>
    <font>
      <sz val="9"/>
      <color indexed="1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9"/>
      <name val="Ebrima"/>
    </font>
    <font>
      <sz val="9"/>
      <name val="Ebrima"/>
    </font>
    <font>
      <b/>
      <sz val="8"/>
      <name val="Ebrima"/>
    </font>
    <font>
      <b/>
      <sz val="10"/>
      <color theme="1"/>
      <name val="Calibri"/>
      <family val="2"/>
      <scheme val="minor"/>
    </font>
    <font>
      <b/>
      <sz val="9"/>
      <color rgb="FF00B050"/>
      <name val="Ebrima"/>
    </font>
    <font>
      <b/>
      <sz val="8"/>
      <color rgb="FFFF0000"/>
      <name val="Ebrima"/>
    </font>
    <font>
      <b/>
      <u/>
      <sz val="9"/>
      <name val="Arial"/>
      <family val="2"/>
    </font>
    <font>
      <sz val="9"/>
      <color rgb="FFEE0000"/>
      <name val="Arial"/>
      <family val="2"/>
    </font>
    <font>
      <b/>
      <sz val="9"/>
      <color rgb="FFEE0000"/>
      <name val="Arial"/>
      <family val="2"/>
    </font>
    <font>
      <b/>
      <sz val="11"/>
      <color rgb="FF044F85"/>
      <name val="Merriweather-Bold"/>
    </font>
    <font>
      <sz val="14"/>
      <color rgb="FF000000"/>
      <name val="Times New Roman"/>
      <family val="1"/>
    </font>
    <font>
      <b/>
      <sz val="11"/>
      <color rgb="FF044F85"/>
      <name val="Trebuchet MS"/>
      <family val="2"/>
    </font>
    <font>
      <b/>
      <vertAlign val="superscript"/>
      <sz val="11"/>
      <color rgb="FF044F85"/>
      <name val="Trebuchet MS"/>
      <family val="2"/>
    </font>
    <font>
      <b/>
      <sz val="12"/>
      <color rgb="FFFFFFFF"/>
      <name val="OpenSans-Bold"/>
    </font>
    <font>
      <b/>
      <sz val="7.5"/>
      <color rgb="FFFFFFFF"/>
      <name val="OpenSans-SemiBold"/>
    </font>
    <font>
      <b/>
      <vertAlign val="superscript"/>
      <sz val="12"/>
      <color rgb="FFFFFFFF"/>
      <name val="OpenSans-Bold"/>
    </font>
    <font>
      <sz val="11"/>
      <color rgb="FF585B63"/>
      <name val="OpenSans-Regular"/>
    </font>
    <font>
      <sz val="8"/>
      <color rgb="FF696969"/>
      <name val="OpenSans-Regular"/>
    </font>
    <font>
      <b/>
      <sz val="11"/>
      <color rgb="FFFF0000"/>
      <name val="OpenSans-Regular"/>
    </font>
    <font>
      <b/>
      <sz val="9"/>
      <color rgb="FFC00000"/>
      <name val="Ebrima"/>
    </font>
    <font>
      <b/>
      <sz val="11"/>
      <color rgb="FFFF0000"/>
      <name val="Arial"/>
      <family val="2"/>
    </font>
    <font>
      <sz val="11"/>
      <color rgb="FF0070C0"/>
      <name val="Arial"/>
      <family val="2"/>
    </font>
    <font>
      <sz val="11"/>
      <color rgb="FF0070C0"/>
      <name val="Calibri"/>
      <family val="2"/>
    </font>
    <font>
      <b/>
      <sz val="9"/>
      <color rgb="FFC00000"/>
      <name val="Arial"/>
      <family val="2"/>
    </font>
    <font>
      <b/>
      <sz val="11"/>
      <color rgb="FF585B63"/>
      <name val="OpenSans-Regular"/>
    </font>
    <font>
      <u val="doubleAccounting"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b/>
      <sz val="8"/>
      <color indexed="8"/>
      <name val="Calibri"/>
      <family val="2"/>
    </font>
    <font>
      <sz val="14"/>
      <color rgb="FF585B63"/>
      <name val="OpenSans-Regular"/>
    </font>
    <font>
      <sz val="9"/>
      <color theme="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CCEC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theme="5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rgb="FFFFFF00"/>
        <bgColor indexed="26"/>
      </patternFill>
    </fill>
    <fill>
      <patternFill patternType="solid">
        <fgColor rgb="FFFF0000"/>
        <bgColor indexed="26"/>
      </patternFill>
    </fill>
    <fill>
      <patternFill patternType="solid">
        <fgColor theme="0"/>
        <bgColor indexed="15"/>
      </patternFill>
    </fill>
    <fill>
      <patternFill patternType="solid">
        <fgColor rgb="FF00B0F0"/>
        <bgColor indexed="15"/>
      </patternFill>
    </fill>
    <fill>
      <patternFill patternType="solid">
        <fgColor rgb="FF00B0F0"/>
        <bgColor indexed="26"/>
      </patternFill>
    </fill>
    <fill>
      <patternFill patternType="solid">
        <fgColor theme="9" tint="0.39997558519241921"/>
        <bgColor indexed="26"/>
      </patternFill>
    </fill>
    <fill>
      <patternFill patternType="solid">
        <fgColor theme="7" tint="0.79998168889431442"/>
        <b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686868"/>
        <bgColor indexed="64"/>
      </patternFill>
    </fill>
    <fill>
      <patternFill patternType="solid">
        <fgColor rgb="FF00369D"/>
        <bgColor indexed="64"/>
      </patternFill>
    </fill>
    <fill>
      <patternFill patternType="solid">
        <fgColor rgb="FF1FC3B3"/>
        <bgColor indexed="64"/>
      </patternFill>
    </fill>
    <fill>
      <patternFill patternType="solid">
        <fgColor rgb="FFBEBAB9"/>
        <bgColor indexed="64"/>
      </patternFill>
    </fill>
    <fill>
      <patternFill patternType="solid">
        <fgColor rgb="FFE5F5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E5ECF4"/>
      </right>
      <top/>
      <bottom style="medium">
        <color rgb="FFE5ECF4"/>
      </bottom>
      <diagonal/>
    </border>
    <border>
      <left/>
      <right style="medium">
        <color rgb="FFE5ECF4"/>
      </right>
      <top/>
      <bottom/>
      <diagonal/>
    </border>
    <border>
      <left style="medium">
        <color rgb="FFE5ECF4"/>
      </left>
      <right/>
      <top style="medium">
        <color rgb="FFE5ECF4"/>
      </top>
      <bottom/>
      <diagonal/>
    </border>
    <border>
      <left/>
      <right/>
      <top style="medium">
        <color rgb="FFE5ECF4"/>
      </top>
      <bottom/>
      <diagonal/>
    </border>
    <border>
      <left/>
      <right style="medium">
        <color rgb="FFE5ECF4"/>
      </right>
      <top style="medium">
        <color rgb="FFE5ECF4"/>
      </top>
      <bottom/>
      <diagonal/>
    </border>
    <border>
      <left style="medium">
        <color rgb="FFE5ECF4"/>
      </left>
      <right style="medium">
        <color rgb="FFE5ECF4"/>
      </right>
      <top/>
      <bottom/>
      <diagonal/>
    </border>
    <border>
      <left style="medium">
        <color rgb="FFE5ECF4"/>
      </left>
      <right style="medium">
        <color rgb="FFE5ECF4"/>
      </right>
      <top/>
      <bottom style="medium">
        <color rgb="FFE5ECF4"/>
      </bottom>
      <diagonal/>
    </border>
    <border>
      <left style="medium">
        <color rgb="FFE5ECF4"/>
      </left>
      <right/>
      <top/>
      <bottom/>
      <diagonal/>
    </border>
    <border>
      <left style="medium">
        <color rgb="FFE5ECF4"/>
      </left>
      <right/>
      <top/>
      <bottom style="medium">
        <color rgb="FFE5ECF4"/>
      </bottom>
      <diagonal/>
    </border>
    <border>
      <left/>
      <right/>
      <top/>
      <bottom style="medium">
        <color rgb="FFE5ECF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rgb="FFDFDFDF"/>
      </left>
      <right style="medium">
        <color rgb="FFFFFFFF"/>
      </right>
      <top style="medium">
        <color rgb="FFDFDFDF"/>
      </top>
      <bottom/>
      <diagonal/>
    </border>
    <border>
      <left style="medium">
        <color rgb="FFDFDFDF"/>
      </left>
      <right style="medium">
        <color rgb="FFFFFFFF"/>
      </right>
      <top/>
      <bottom/>
      <diagonal/>
    </border>
    <border>
      <left style="medium">
        <color rgb="FFDFDFDF"/>
      </left>
      <right style="medium">
        <color rgb="FFFFFFFF"/>
      </right>
      <top/>
      <bottom style="medium">
        <color rgb="FFDFDFDF"/>
      </bottom>
      <diagonal/>
    </border>
    <border>
      <left style="medium">
        <color rgb="FFDFDFD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DFDFDF"/>
      </left>
      <right style="medium">
        <color rgb="FFDFDFDF"/>
      </right>
      <top style="medium">
        <color rgb="FFDFDFDF"/>
      </top>
      <bottom style="medium">
        <color rgb="FFDFDFDF"/>
      </bottom>
      <diagonal/>
    </border>
    <border>
      <left style="medium">
        <color rgb="FFDFDFDF"/>
      </left>
      <right style="medium">
        <color rgb="FFDFDFDF"/>
      </right>
      <top style="medium">
        <color rgb="FFDFDFDF"/>
      </top>
      <bottom/>
      <diagonal/>
    </border>
    <border>
      <left style="medium">
        <color rgb="FFDFDFDF"/>
      </left>
      <right style="medium">
        <color rgb="FFDFDFDF"/>
      </right>
      <top/>
      <bottom/>
      <diagonal/>
    </border>
    <border>
      <left style="medium">
        <color rgb="FFDFDFDF"/>
      </left>
      <right style="medium">
        <color rgb="FFDFDFDF"/>
      </right>
      <top/>
      <bottom style="medium">
        <color rgb="FFDFDFDF"/>
      </bottom>
      <diagonal/>
    </border>
    <border>
      <left style="medium">
        <color rgb="FFDFDFDF"/>
      </left>
      <right/>
      <top style="medium">
        <color rgb="FFDFDFDF"/>
      </top>
      <bottom style="medium">
        <color rgb="FFDFDFDF"/>
      </bottom>
      <diagonal/>
    </border>
    <border>
      <left/>
      <right/>
      <top style="medium">
        <color rgb="FFDFDFDF"/>
      </top>
      <bottom style="medium">
        <color rgb="FFDFDFDF"/>
      </bottom>
      <diagonal/>
    </border>
    <border>
      <left/>
      <right style="medium">
        <color rgb="FFDFDFDF"/>
      </right>
      <top style="medium">
        <color rgb="FFDFDFDF"/>
      </top>
      <bottom style="medium">
        <color rgb="FFDFDFD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DFDFDF"/>
      </left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7">
    <xf numFmtId="0" fontId="0" fillId="0" borderId="0"/>
    <xf numFmtId="9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4" fillId="0" borderId="0"/>
    <xf numFmtId="0" fontId="4" fillId="0" borderId="0"/>
    <xf numFmtId="164" fontId="23" fillId="0" borderId="0" applyFont="0" applyFill="0" applyBorder="0" applyAlignment="0" applyProtection="0"/>
    <xf numFmtId="0" fontId="23" fillId="0" borderId="0"/>
    <xf numFmtId="164" fontId="1" fillId="0" borderId="0" applyFont="0" applyFill="0" applyBorder="0" applyAlignment="0" applyProtection="0"/>
    <xf numFmtId="0" fontId="55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1616">
    <xf numFmtId="0" fontId="0" fillId="0" borderId="0" xfId="0"/>
    <xf numFmtId="0" fontId="5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6" fillId="0" borderId="0" xfId="2" applyFont="1" applyAlignment="1">
      <alignment horizontal="center"/>
    </xf>
    <xf numFmtId="0" fontId="7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5" fillId="0" borderId="0" xfId="2" applyFont="1"/>
    <xf numFmtId="0" fontId="8" fillId="0" borderId="0" xfId="0" applyFont="1" applyAlignment="1">
      <alignment horizontal="left"/>
    </xf>
    <xf numFmtId="0" fontId="6" fillId="0" borderId="0" xfId="2" applyFont="1"/>
    <xf numFmtId="4" fontId="6" fillId="0" borderId="0" xfId="2" applyNumberFormat="1" applyFont="1"/>
    <xf numFmtId="10" fontId="6" fillId="0" borderId="0" xfId="2" applyNumberFormat="1" applyFont="1"/>
    <xf numFmtId="0" fontId="9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4" fontId="5" fillId="0" borderId="0" xfId="2" applyNumberFormat="1" applyFont="1"/>
    <xf numFmtId="10" fontId="5" fillId="0" borderId="0" xfId="2" applyNumberFormat="1" applyFont="1"/>
    <xf numFmtId="0" fontId="5" fillId="0" borderId="6" xfId="2" applyFont="1" applyBorder="1" applyAlignment="1">
      <alignment horizontal="center"/>
    </xf>
    <xf numFmtId="0" fontId="5" fillId="0" borderId="6" xfId="2" applyFont="1" applyBorder="1"/>
    <xf numFmtId="14" fontId="5" fillId="0" borderId="6" xfId="5" applyNumberFormat="1" applyFont="1" applyFill="1" applyBorder="1" applyAlignment="1" applyProtection="1">
      <alignment horizontal="center"/>
      <protection locked="0"/>
    </xf>
    <xf numFmtId="14" fontId="5" fillId="0" borderId="6" xfId="5" applyNumberFormat="1" applyFont="1" applyFill="1" applyBorder="1" applyAlignment="1" applyProtection="1">
      <alignment horizontal="left"/>
      <protection locked="0"/>
    </xf>
    <xf numFmtId="167" fontId="5" fillId="0" borderId="6" xfId="5" applyNumberFormat="1" applyFont="1" applyFill="1" applyBorder="1" applyAlignment="1" applyProtection="1">
      <alignment horizontal="left"/>
      <protection locked="0"/>
    </xf>
    <xf numFmtId="4" fontId="5" fillId="0" borderId="6" xfId="2" applyNumberFormat="1" applyFont="1" applyBorder="1"/>
    <xf numFmtId="4" fontId="12" fillId="0" borderId="6" xfId="2" applyNumberFormat="1" applyFont="1" applyBorder="1"/>
    <xf numFmtId="9" fontId="5" fillId="0" borderId="6" xfId="2" applyNumberFormat="1" applyFont="1" applyBorder="1" applyAlignment="1">
      <alignment horizontal="center"/>
    </xf>
    <xf numFmtId="10" fontId="5" fillId="0" borderId="6" xfId="2" applyNumberFormat="1" applyFont="1" applyBorder="1"/>
    <xf numFmtId="1" fontId="5" fillId="0" borderId="6" xfId="2" applyNumberFormat="1" applyFont="1" applyBorder="1"/>
    <xf numFmtId="49" fontId="5" fillId="0" borderId="6" xfId="2" applyNumberFormat="1" applyFont="1" applyBorder="1" applyAlignment="1">
      <alignment horizontal="center"/>
    </xf>
    <xf numFmtId="4" fontId="6" fillId="0" borderId="9" xfId="2" applyNumberFormat="1" applyFont="1" applyBorder="1"/>
    <xf numFmtId="0" fontId="12" fillId="0" borderId="0" xfId="2" applyFont="1" applyAlignment="1">
      <alignment horizontal="center"/>
    </xf>
    <xf numFmtId="0" fontId="12" fillId="0" borderId="6" xfId="2" applyFont="1" applyBorder="1" applyAlignment="1">
      <alignment horizontal="center"/>
    </xf>
    <xf numFmtId="0" fontId="12" fillId="0" borderId="6" xfId="2" applyFont="1" applyBorder="1"/>
    <xf numFmtId="166" fontId="12" fillId="0" borderId="6" xfId="2" applyNumberFormat="1" applyFont="1" applyBorder="1" applyAlignment="1">
      <alignment horizontal="center"/>
    </xf>
    <xf numFmtId="14" fontId="12" fillId="0" borderId="6" xfId="5" applyNumberFormat="1" applyFont="1" applyFill="1" applyBorder="1" applyAlignment="1" applyProtection="1">
      <alignment horizontal="center"/>
      <protection locked="0"/>
    </xf>
    <xf numFmtId="14" fontId="12" fillId="0" borderId="6" xfId="5" applyNumberFormat="1" applyFont="1" applyFill="1" applyBorder="1" applyAlignment="1" applyProtection="1">
      <alignment horizontal="left"/>
      <protection locked="0"/>
    </xf>
    <xf numFmtId="167" fontId="12" fillId="0" borderId="6" xfId="5" applyNumberFormat="1" applyFont="1" applyFill="1" applyBorder="1" applyAlignment="1" applyProtection="1">
      <alignment horizontal="left"/>
      <protection locked="0"/>
    </xf>
    <xf numFmtId="164" fontId="12" fillId="0" borderId="6" xfId="3" applyFont="1" applyFill="1" applyBorder="1"/>
    <xf numFmtId="9" fontId="12" fillId="0" borderId="6" xfId="2" applyNumberFormat="1" applyFont="1" applyBorder="1" applyAlignment="1">
      <alignment horizontal="center"/>
    </xf>
    <xf numFmtId="10" fontId="12" fillId="0" borderId="6" xfId="2" applyNumberFormat="1" applyFont="1" applyBorder="1"/>
    <xf numFmtId="1" fontId="12" fillId="0" borderId="6" xfId="2" applyNumberFormat="1" applyFont="1" applyBorder="1"/>
    <xf numFmtId="0" fontId="12" fillId="0" borderId="0" xfId="2" applyFont="1"/>
    <xf numFmtId="168" fontId="5" fillId="0" borderId="6" xfId="2" applyNumberFormat="1" applyFont="1" applyBorder="1" applyAlignment="1">
      <alignment horizontal="center"/>
    </xf>
    <xf numFmtId="164" fontId="5" fillId="0" borderId="0" xfId="3" applyFont="1" applyFill="1"/>
    <xf numFmtId="164" fontId="5" fillId="0" borderId="6" xfId="3" applyFont="1" applyFill="1" applyBorder="1"/>
    <xf numFmtId="4" fontId="5" fillId="0" borderId="6" xfId="2" applyNumberFormat="1" applyFont="1" applyBorder="1" applyAlignment="1">
      <alignment horizontal="right"/>
    </xf>
    <xf numFmtId="4" fontId="15" fillId="0" borderId="6" xfId="2" applyNumberFormat="1" applyFont="1" applyBorder="1"/>
    <xf numFmtId="4" fontId="5" fillId="0" borderId="8" xfId="2" applyNumberFormat="1" applyFont="1" applyBorder="1"/>
    <xf numFmtId="9" fontId="5" fillId="0" borderId="8" xfId="2" applyNumberFormat="1" applyFont="1" applyBorder="1" applyAlignment="1">
      <alignment horizontal="center"/>
    </xf>
    <xf numFmtId="10" fontId="5" fillId="0" borderId="8" xfId="2" applyNumberFormat="1" applyFont="1" applyBorder="1"/>
    <xf numFmtId="4" fontId="6" fillId="0" borderId="6" xfId="2" applyNumberFormat="1" applyFont="1" applyBorder="1"/>
    <xf numFmtId="4" fontId="12" fillId="0" borderId="8" xfId="2" applyNumberFormat="1" applyFont="1" applyBorder="1"/>
    <xf numFmtId="0" fontId="6" fillId="0" borderId="6" xfId="2" applyFont="1" applyBorder="1" applyAlignment="1">
      <alignment horizontal="center"/>
    </xf>
    <xf numFmtId="4" fontId="5" fillId="0" borderId="10" xfId="2" applyNumberFormat="1" applyFont="1" applyBorder="1"/>
    <xf numFmtId="4" fontId="5" fillId="0" borderId="11" xfId="2" applyNumberFormat="1" applyFont="1" applyBorder="1"/>
    <xf numFmtId="0" fontId="5" fillId="0" borderId="8" xfId="2" applyFont="1" applyBorder="1" applyAlignment="1">
      <alignment horizontal="center"/>
    </xf>
    <xf numFmtId="0" fontId="5" fillId="0" borderId="8" xfId="2" applyFont="1" applyBorder="1"/>
    <xf numFmtId="168" fontId="5" fillId="0" borderId="8" xfId="2" applyNumberFormat="1" applyFont="1" applyBorder="1" applyAlignment="1">
      <alignment horizontal="center"/>
    </xf>
    <xf numFmtId="14" fontId="5" fillId="0" borderId="8" xfId="5" applyNumberFormat="1" applyFont="1" applyFill="1" applyBorder="1" applyAlignment="1" applyProtection="1">
      <alignment horizontal="center"/>
      <protection locked="0"/>
    </xf>
    <xf numFmtId="14" fontId="5" fillId="0" borderId="8" xfId="5" applyNumberFormat="1" applyFont="1" applyFill="1" applyBorder="1" applyAlignment="1" applyProtection="1">
      <alignment horizontal="left"/>
      <protection locked="0"/>
    </xf>
    <xf numFmtId="1" fontId="6" fillId="0" borderId="12" xfId="2" applyNumberFormat="1" applyFont="1" applyBorder="1"/>
    <xf numFmtId="4" fontId="6" fillId="0" borderId="9" xfId="2" applyNumberFormat="1" applyFont="1" applyBorder="1" applyAlignment="1">
      <alignment horizontal="center"/>
    </xf>
    <xf numFmtId="4" fontId="5" fillId="0" borderId="1" xfId="2" applyNumberFormat="1" applyFont="1" applyBorder="1"/>
    <xf numFmtId="4" fontId="6" fillId="0" borderId="8" xfId="2" applyNumberFormat="1" applyFont="1" applyBorder="1"/>
    <xf numFmtId="0" fontId="21" fillId="0" borderId="0" xfId="0" applyFont="1" applyAlignment="1">
      <alignment horizontal="center" vertical="center"/>
    </xf>
    <xf numFmtId="14" fontId="22" fillId="0" borderId="13" xfId="0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4" fontId="24" fillId="3" borderId="0" xfId="8" quotePrefix="1" applyNumberFormat="1" applyFont="1" applyFill="1" applyBorder="1" applyAlignment="1">
      <alignment horizontal="center" vertical="center"/>
    </xf>
    <xf numFmtId="0" fontId="24" fillId="3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0" fontId="26" fillId="3" borderId="0" xfId="0" applyFont="1" applyFill="1" applyAlignment="1">
      <alignment vertical="center"/>
    </xf>
    <xf numFmtId="10" fontId="27" fillId="3" borderId="0" xfId="0" applyNumberFormat="1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4" fontId="21" fillId="0" borderId="0" xfId="8" quotePrefix="1" applyNumberFormat="1" applyFont="1" applyFill="1" applyBorder="1" applyAlignment="1">
      <alignment horizontal="center" vertical="center"/>
    </xf>
    <xf numFmtId="10" fontId="3" fillId="0" borderId="0" xfId="1" applyNumberFormat="1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" fontId="22" fillId="4" borderId="1" xfId="0" applyNumberFormat="1" applyFont="1" applyFill="1" applyBorder="1" applyAlignment="1">
      <alignment horizontal="center" vertical="center" wrapText="1"/>
    </xf>
    <xf numFmtId="1" fontId="22" fillId="4" borderId="6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" fontId="22" fillId="4" borderId="8" xfId="0" applyNumberFormat="1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0" fontId="21" fillId="0" borderId="9" xfId="9" applyFont="1" applyBorder="1" applyAlignment="1">
      <alignment horizontal="left" vertical="center"/>
    </xf>
    <xf numFmtId="164" fontId="22" fillId="0" borderId="9" xfId="8" applyFont="1" applyFill="1" applyBorder="1" applyAlignment="1">
      <alignment horizontal="center" vertical="center"/>
    </xf>
    <xf numFmtId="164" fontId="21" fillId="0" borderId="9" xfId="8" applyFont="1" applyFill="1" applyBorder="1" applyAlignment="1">
      <alignment horizontal="center" vertical="center"/>
    </xf>
    <xf numFmtId="3" fontId="21" fillId="0" borderId="9" xfId="8" applyNumberFormat="1" applyFont="1" applyFill="1" applyBorder="1" applyAlignment="1">
      <alignment horizontal="center" vertical="center"/>
    </xf>
    <xf numFmtId="4" fontId="21" fillId="0" borderId="9" xfId="0" applyNumberFormat="1" applyFont="1" applyBorder="1" applyAlignment="1">
      <alignment horizontal="center" vertical="center"/>
    </xf>
    <xf numFmtId="4" fontId="21" fillId="0" borderId="2" xfId="0" applyNumberFormat="1" applyFont="1" applyBorder="1" applyAlignment="1">
      <alignment horizontal="center" vertical="center"/>
    </xf>
    <xf numFmtId="4" fontId="21" fillId="0" borderId="8" xfId="0" applyNumberFormat="1" applyFont="1" applyBorder="1" applyAlignment="1">
      <alignment horizontal="center" vertical="center"/>
    </xf>
    <xf numFmtId="4" fontId="30" fillId="0" borderId="15" xfId="0" applyNumberFormat="1" applyFont="1" applyBorder="1" applyAlignment="1">
      <alignment horizontal="center" vertical="center"/>
    </xf>
    <xf numFmtId="4" fontId="21" fillId="0" borderId="4" xfId="0" applyNumberFormat="1" applyFont="1" applyBorder="1" applyAlignment="1">
      <alignment horizontal="center" vertical="center"/>
    </xf>
    <xf numFmtId="4" fontId="22" fillId="0" borderId="9" xfId="0" applyNumberFormat="1" applyFont="1" applyBorder="1" applyAlignment="1">
      <alignment horizontal="center" vertical="center"/>
    </xf>
    <xf numFmtId="4" fontId="22" fillId="0" borderId="2" xfId="0" applyNumberFormat="1" applyFont="1" applyBorder="1" applyAlignment="1">
      <alignment horizontal="center" vertical="center"/>
    </xf>
    <xf numFmtId="0" fontId="21" fillId="0" borderId="1" xfId="9" applyFont="1" applyBorder="1" applyAlignment="1">
      <alignment horizontal="left"/>
    </xf>
    <xf numFmtId="0" fontId="21" fillId="0" borderId="9" xfId="9" applyFont="1" applyBorder="1" applyAlignment="1">
      <alignment horizontal="left" wrapText="1"/>
    </xf>
    <xf numFmtId="164" fontId="22" fillId="0" borderId="8" xfId="8" applyFont="1" applyFill="1" applyBorder="1" applyAlignment="1">
      <alignment horizontal="center" vertical="center"/>
    </xf>
    <xf numFmtId="4" fontId="21" fillId="0" borderId="9" xfId="8" applyNumberFormat="1" applyFont="1" applyFill="1" applyBorder="1" applyAlignment="1">
      <alignment horizontal="center" vertical="center"/>
    </xf>
    <xf numFmtId="4" fontId="21" fillId="0" borderId="0" xfId="0" applyNumberFormat="1" applyFont="1" applyAlignment="1">
      <alignment vertical="center"/>
    </xf>
    <xf numFmtId="0" fontId="21" fillId="0" borderId="2" xfId="9" applyFont="1" applyBorder="1" applyAlignment="1">
      <alignment horizontal="left"/>
    </xf>
    <xf numFmtId="0" fontId="21" fillId="0" borderId="9" xfId="9" applyFont="1" applyBorder="1" applyAlignment="1">
      <alignment horizontal="left"/>
    </xf>
    <xf numFmtId="4" fontId="30" fillId="0" borderId="16" xfId="0" applyNumberFormat="1" applyFont="1" applyBorder="1" applyAlignment="1">
      <alignment horizontal="center" vertical="center"/>
    </xf>
    <xf numFmtId="4" fontId="22" fillId="0" borderId="4" xfId="0" applyNumberFormat="1" applyFont="1" applyBorder="1" applyAlignment="1">
      <alignment horizontal="center" vertical="center"/>
    </xf>
    <xf numFmtId="0" fontId="21" fillId="0" borderId="17" xfId="9" applyFont="1" applyBorder="1" applyAlignment="1">
      <alignment horizontal="left"/>
    </xf>
    <xf numFmtId="164" fontId="22" fillId="0" borderId="6" xfId="8" applyFont="1" applyFill="1" applyBorder="1" applyAlignment="1">
      <alignment horizontal="center" vertical="center"/>
    </xf>
    <xf numFmtId="164" fontId="21" fillId="0" borderId="6" xfId="8" applyFont="1" applyFill="1" applyBorder="1" applyAlignment="1">
      <alignment horizontal="center" vertical="center"/>
    </xf>
    <xf numFmtId="4" fontId="21" fillId="0" borderId="6" xfId="8" applyNumberFormat="1" applyFont="1" applyFill="1" applyBorder="1" applyAlignment="1">
      <alignment horizontal="center" vertical="center"/>
    </xf>
    <xf numFmtId="4" fontId="21" fillId="0" borderId="6" xfId="0" applyNumberFormat="1" applyFont="1" applyBorder="1" applyAlignment="1">
      <alignment horizontal="center" vertical="center"/>
    </xf>
    <xf numFmtId="4" fontId="21" fillId="0" borderId="1" xfId="0" applyNumberFormat="1" applyFont="1" applyBorder="1" applyAlignment="1">
      <alignment horizontal="center" vertical="center"/>
    </xf>
    <xf numFmtId="4" fontId="21" fillId="0" borderId="17" xfId="0" applyNumberFormat="1" applyFont="1" applyBorder="1" applyAlignment="1">
      <alignment horizontal="center" vertical="center"/>
    </xf>
    <xf numFmtId="4" fontId="21" fillId="0" borderId="5" xfId="0" applyNumberFormat="1" applyFont="1" applyBorder="1" applyAlignment="1">
      <alignment horizontal="center" vertical="center"/>
    </xf>
    <xf numFmtId="4" fontId="22" fillId="0" borderId="1" xfId="0" applyNumberFormat="1" applyFont="1" applyBorder="1" applyAlignment="1">
      <alignment horizontal="center" vertical="center"/>
    </xf>
    <xf numFmtId="4" fontId="22" fillId="0" borderId="17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" borderId="18" xfId="0" applyFont="1" applyFill="1" applyBorder="1" applyAlignment="1">
      <alignment vertical="center"/>
    </xf>
    <xf numFmtId="0" fontId="22" fillId="2" borderId="19" xfId="0" applyFont="1" applyFill="1" applyBorder="1" applyAlignment="1">
      <alignment horizontal="right" vertical="center"/>
    </xf>
    <xf numFmtId="3" fontId="22" fillId="2" borderId="20" xfId="0" applyNumberFormat="1" applyFont="1" applyFill="1" applyBorder="1" applyAlignment="1">
      <alignment horizontal="center" vertical="center"/>
    </xf>
    <xf numFmtId="3" fontId="30" fillId="2" borderId="20" xfId="0" applyNumberFormat="1" applyFont="1" applyFill="1" applyBorder="1" applyAlignment="1">
      <alignment horizontal="center" vertical="center"/>
    </xf>
    <xf numFmtId="4" fontId="22" fillId="2" borderId="20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3" fontId="21" fillId="0" borderId="0" xfId="0" applyNumberFormat="1" applyFont="1" applyAlignment="1">
      <alignment horizontal="center" vertical="center"/>
    </xf>
    <xf numFmtId="0" fontId="21" fillId="0" borderId="1" xfId="9" applyFont="1" applyBorder="1" applyAlignment="1">
      <alignment horizontal="left" wrapText="1"/>
    </xf>
    <xf numFmtId="2" fontId="21" fillId="0" borderId="0" xfId="0" applyNumberFormat="1" applyFont="1" applyAlignment="1">
      <alignment vertical="center"/>
    </xf>
    <xf numFmtId="10" fontId="1" fillId="0" borderId="0" xfId="1" applyNumberFormat="1" applyFont="1" applyFill="1" applyAlignment="1">
      <alignment horizontal="center" vertical="center"/>
    </xf>
    <xf numFmtId="2" fontId="29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7" borderId="18" xfId="0" applyFont="1" applyFill="1" applyBorder="1" applyAlignment="1">
      <alignment vertical="center"/>
    </xf>
    <xf numFmtId="0" fontId="22" fillId="7" borderId="19" xfId="0" applyFont="1" applyFill="1" applyBorder="1" applyAlignment="1">
      <alignment horizontal="right" vertical="center"/>
    </xf>
    <xf numFmtId="170" fontId="22" fillId="7" borderId="20" xfId="10" applyNumberFormat="1" applyFont="1" applyFill="1" applyBorder="1" applyAlignment="1">
      <alignment horizontal="center" vertical="center"/>
    </xf>
    <xf numFmtId="3" fontId="22" fillId="7" borderId="20" xfId="0" applyNumberFormat="1" applyFont="1" applyFill="1" applyBorder="1" applyAlignment="1">
      <alignment horizontal="center" vertical="center"/>
    </xf>
    <xf numFmtId="0" fontId="22" fillId="6" borderId="9" xfId="0" applyFont="1" applyFill="1" applyBorder="1" applyAlignment="1">
      <alignment horizontal="center" vertical="center"/>
    </xf>
    <xf numFmtId="1" fontId="22" fillId="6" borderId="9" xfId="0" applyNumberFormat="1" applyFont="1" applyFill="1" applyBorder="1" applyAlignment="1">
      <alignment horizontal="center" vertical="center" wrapText="1"/>
    </xf>
    <xf numFmtId="164" fontId="33" fillId="0" borderId="9" xfId="8" applyFont="1" applyFill="1" applyBorder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/>
    </xf>
    <xf numFmtId="2" fontId="21" fillId="0" borderId="9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3" fontId="22" fillId="7" borderId="18" xfId="0" applyNumberFormat="1" applyFont="1" applyFill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0" borderId="2" xfId="0" applyFont="1" applyBorder="1" applyAlignment="1">
      <alignment vertical="center"/>
    </xf>
    <xf numFmtId="0" fontId="0" fillId="0" borderId="9" xfId="0" applyBorder="1"/>
    <xf numFmtId="4" fontId="0" fillId="0" borderId="9" xfId="0" applyNumberFormat="1" applyBorder="1" applyAlignment="1">
      <alignment horizontal="center"/>
    </xf>
    <xf numFmtId="49" fontId="22" fillId="6" borderId="9" xfId="0" applyNumberFormat="1" applyFont="1" applyFill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9" fontId="22" fillId="6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13" fillId="0" borderId="0" xfId="2" applyFont="1" applyAlignment="1">
      <alignment wrapText="1"/>
    </xf>
    <xf numFmtId="0" fontId="22" fillId="7" borderId="20" xfId="0" applyFont="1" applyFill="1" applyBorder="1" applyAlignment="1">
      <alignment horizontal="right" vertical="center"/>
    </xf>
    <xf numFmtId="4" fontId="0" fillId="8" borderId="2" xfId="0" applyNumberFormat="1" applyFill="1" applyBorder="1" applyAlignment="1">
      <alignment horizontal="center"/>
    </xf>
    <xf numFmtId="4" fontId="0" fillId="8" borderId="9" xfId="0" applyNumberFormat="1" applyFill="1" applyBorder="1" applyAlignment="1">
      <alignment horizontal="center"/>
    </xf>
    <xf numFmtId="171" fontId="22" fillId="7" borderId="20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20" xfId="0" applyBorder="1"/>
    <xf numFmtId="164" fontId="0" fillId="0" borderId="9" xfId="10" applyFont="1" applyBorder="1"/>
    <xf numFmtId="164" fontId="0" fillId="0" borderId="9" xfId="0" applyNumberFormat="1" applyBorder="1"/>
    <xf numFmtId="164" fontId="20" fillId="0" borderId="8" xfId="8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" xfId="9" applyFont="1" applyBorder="1" applyAlignment="1">
      <alignment horizontal="left"/>
    </xf>
    <xf numFmtId="0" fontId="20" fillId="0" borderId="9" xfId="9" applyFont="1" applyBorder="1" applyAlignment="1">
      <alignment horizontal="left" wrapText="1"/>
    </xf>
    <xf numFmtId="164" fontId="20" fillId="0" borderId="9" xfId="8" applyFont="1" applyFill="1" applyBorder="1" applyAlignment="1">
      <alignment horizontal="center" vertical="center"/>
    </xf>
    <xf numFmtId="4" fontId="20" fillId="0" borderId="9" xfId="8" applyNumberFormat="1" applyFont="1" applyFill="1" applyBorder="1" applyAlignment="1">
      <alignment horizontal="center" vertical="center"/>
    </xf>
    <xf numFmtId="4" fontId="20" fillId="0" borderId="2" xfId="0" applyNumberFormat="1" applyFont="1" applyBorder="1" applyAlignment="1">
      <alignment horizontal="center"/>
    </xf>
    <xf numFmtId="4" fontId="20" fillId="0" borderId="9" xfId="0" applyNumberFormat="1" applyFont="1" applyBorder="1" applyAlignment="1">
      <alignment horizontal="center" vertical="center"/>
    </xf>
    <xf numFmtId="4" fontId="20" fillId="0" borderId="9" xfId="0" applyNumberFormat="1" applyFont="1" applyBorder="1" applyAlignment="1">
      <alignment horizontal="center"/>
    </xf>
    <xf numFmtId="4" fontId="20" fillId="8" borderId="2" xfId="0" applyNumberFormat="1" applyFont="1" applyFill="1" applyBorder="1" applyAlignment="1">
      <alignment horizontal="center"/>
    </xf>
    <xf numFmtId="0" fontId="20" fillId="0" borderId="0" xfId="0" applyFont="1"/>
    <xf numFmtId="164" fontId="20" fillId="0" borderId="9" xfId="10" applyFont="1" applyBorder="1"/>
    <xf numFmtId="0" fontId="20" fillId="0" borderId="9" xfId="0" applyFont="1" applyBorder="1"/>
    <xf numFmtId="164" fontId="20" fillId="0" borderId="9" xfId="0" applyNumberFormat="1" applyFont="1" applyBorder="1"/>
    <xf numFmtId="0" fontId="20" fillId="0" borderId="9" xfId="0" applyFont="1" applyBorder="1" applyAlignment="1">
      <alignment horizontal="left" vertical="center"/>
    </xf>
    <xf numFmtId="4" fontId="20" fillId="8" borderId="9" xfId="0" applyNumberFormat="1" applyFont="1" applyFill="1" applyBorder="1" applyAlignment="1">
      <alignment horizontal="center"/>
    </xf>
    <xf numFmtId="164" fontId="1" fillId="0" borderId="9" xfId="10" applyFont="1" applyBorder="1"/>
    <xf numFmtId="0" fontId="5" fillId="0" borderId="9" xfId="2" applyFont="1" applyBorder="1" applyAlignment="1">
      <alignment horizontal="center" wrapText="1"/>
    </xf>
    <xf numFmtId="0" fontId="19" fillId="0" borderId="9" xfId="2" applyFont="1" applyBorder="1" applyAlignment="1">
      <alignment horizontal="center" wrapText="1"/>
    </xf>
    <xf numFmtId="0" fontId="5" fillId="0" borderId="9" xfId="2" applyFont="1" applyBorder="1" applyAlignment="1">
      <alignment wrapText="1"/>
    </xf>
    <xf numFmtId="4" fontId="6" fillId="0" borderId="9" xfId="2" applyNumberFormat="1" applyFont="1" applyBorder="1" applyAlignment="1">
      <alignment wrapText="1"/>
    </xf>
    <xf numFmtId="0" fontId="6" fillId="0" borderId="9" xfId="2" applyFont="1" applyBorder="1" applyAlignment="1">
      <alignment wrapText="1"/>
    </xf>
    <xf numFmtId="4" fontId="37" fillId="0" borderId="9" xfId="2" applyNumberFormat="1" applyFont="1" applyBorder="1" applyAlignment="1">
      <alignment horizontal="center" wrapText="1"/>
    </xf>
    <xf numFmtId="0" fontId="22" fillId="7" borderId="0" xfId="0" applyFont="1" applyFill="1" applyAlignment="1">
      <alignment vertical="center"/>
    </xf>
    <xf numFmtId="0" fontId="22" fillId="7" borderId="0" xfId="0" applyFont="1" applyFill="1" applyAlignment="1">
      <alignment horizontal="right" vertical="center"/>
    </xf>
    <xf numFmtId="170" fontId="22" fillId="7" borderId="0" xfId="10" applyNumberFormat="1" applyFont="1" applyFill="1" applyBorder="1" applyAlignment="1">
      <alignment horizontal="center" vertical="center"/>
    </xf>
    <xf numFmtId="3" fontId="22" fillId="7" borderId="0" xfId="0" applyNumberFormat="1" applyFont="1" applyFill="1" applyAlignment="1">
      <alignment horizontal="center" vertical="center"/>
    </xf>
    <xf numFmtId="14" fontId="5" fillId="0" borderId="0" xfId="5" applyNumberFormat="1" applyFont="1" applyFill="1" applyBorder="1" applyAlignment="1" applyProtection="1">
      <alignment horizontal="center"/>
      <protection locked="0"/>
    </xf>
    <xf numFmtId="14" fontId="5" fillId="0" borderId="0" xfId="5" applyNumberFormat="1" applyFont="1" applyFill="1" applyBorder="1" applyAlignment="1" applyProtection="1">
      <alignment horizontal="left"/>
      <protection locked="0"/>
    </xf>
    <xf numFmtId="164" fontId="5" fillId="0" borderId="0" xfId="3" applyFont="1" applyFill="1" applyAlignment="1">
      <alignment horizontal="center"/>
    </xf>
    <xf numFmtId="9" fontId="6" fillId="0" borderId="8" xfId="4" applyFont="1" applyFill="1" applyBorder="1" applyAlignment="1">
      <alignment horizontal="center"/>
    </xf>
    <xf numFmtId="0" fontId="35" fillId="0" borderId="0" xfId="2" applyFont="1" applyAlignment="1">
      <alignment horizontal="center"/>
    </xf>
    <xf numFmtId="4" fontId="37" fillId="0" borderId="0" xfId="2" applyNumberFormat="1" applyFont="1"/>
    <xf numFmtId="4" fontId="35" fillId="0" borderId="0" xfId="2" applyNumberFormat="1" applyFont="1"/>
    <xf numFmtId="0" fontId="6" fillId="0" borderId="1" xfId="2" applyFont="1" applyBorder="1" applyAlignment="1">
      <alignment horizontal="center"/>
    </xf>
    <xf numFmtId="4" fontId="6" fillId="0" borderId="1" xfId="2" applyNumberFormat="1" applyFont="1" applyBorder="1" applyAlignment="1">
      <alignment horizontal="center"/>
    </xf>
    <xf numFmtId="10" fontId="37" fillId="0" borderId="5" xfId="2" applyNumberFormat="1" applyFont="1" applyBorder="1" applyAlignment="1">
      <alignment horizontal="center"/>
    </xf>
    <xf numFmtId="10" fontId="6" fillId="0" borderId="5" xfId="2" applyNumberFormat="1" applyFont="1" applyBorder="1" applyAlignment="1">
      <alignment horizontal="center"/>
    </xf>
    <xf numFmtId="4" fontId="6" fillId="0" borderId="5" xfId="2" applyNumberFormat="1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5" xfId="2" applyFont="1" applyBorder="1" applyAlignment="1">
      <alignment horizontal="left"/>
    </xf>
    <xf numFmtId="4" fontId="5" fillId="0" borderId="1" xfId="2" applyNumberFormat="1" applyFont="1" applyBorder="1" applyAlignment="1">
      <alignment horizontal="center"/>
    </xf>
    <xf numFmtId="4" fontId="6" fillId="0" borderId="6" xfId="2" applyNumberFormat="1" applyFont="1" applyBorder="1" applyAlignment="1">
      <alignment horizontal="center"/>
    </xf>
    <xf numFmtId="4" fontId="37" fillId="0" borderId="6" xfId="2" applyNumberFormat="1" applyFont="1" applyBorder="1" applyAlignment="1">
      <alignment horizontal="center"/>
    </xf>
    <xf numFmtId="4" fontId="6" fillId="0" borderId="7" xfId="2" applyNumberFormat="1" applyFont="1" applyBorder="1" applyAlignment="1">
      <alignment horizontal="center"/>
    </xf>
    <xf numFmtId="0" fontId="37" fillId="0" borderId="6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6" fillId="0" borderId="8" xfId="2" applyFont="1" applyBorder="1" applyAlignment="1">
      <alignment horizontal="left"/>
    </xf>
    <xf numFmtId="4" fontId="6" fillId="0" borderId="8" xfId="2" applyNumberFormat="1" applyFont="1" applyBorder="1" applyAlignment="1">
      <alignment horizontal="center"/>
    </xf>
    <xf numFmtId="4" fontId="5" fillId="0" borderId="8" xfId="2" applyNumberFormat="1" applyFont="1" applyBorder="1" applyAlignment="1">
      <alignment horizontal="center"/>
    </xf>
    <xf numFmtId="4" fontId="37" fillId="0" borderId="8" xfId="2" applyNumberFormat="1" applyFont="1" applyBorder="1" applyAlignment="1">
      <alignment horizontal="center"/>
    </xf>
    <xf numFmtId="4" fontId="35" fillId="0" borderId="6" xfId="2" applyNumberFormat="1" applyFont="1" applyBorder="1"/>
    <xf numFmtId="4" fontId="12" fillId="0" borderId="21" xfId="2" applyNumberFormat="1" applyFont="1" applyBorder="1"/>
    <xf numFmtId="4" fontId="12" fillId="0" borderId="7" xfId="2" applyNumberFormat="1" applyFont="1" applyBorder="1"/>
    <xf numFmtId="4" fontId="37" fillId="0" borderId="6" xfId="2" applyNumberFormat="1" applyFont="1" applyBorder="1"/>
    <xf numFmtId="14" fontId="35" fillId="0" borderId="6" xfId="5" applyNumberFormat="1" applyFont="1" applyFill="1" applyBorder="1" applyAlignment="1" applyProtection="1">
      <alignment horizontal="center"/>
      <protection locked="0"/>
    </xf>
    <xf numFmtId="14" fontId="35" fillId="0" borderId="6" xfId="5" applyNumberFormat="1" applyFont="1" applyFill="1" applyBorder="1" applyAlignment="1" applyProtection="1">
      <alignment horizontal="left"/>
      <protection locked="0"/>
    </xf>
    <xf numFmtId="0" fontId="35" fillId="0" borderId="0" xfId="2" applyFont="1"/>
    <xf numFmtId="167" fontId="5" fillId="0" borderId="21" xfId="5" applyNumberFormat="1" applyFont="1" applyFill="1" applyBorder="1" applyAlignment="1" applyProtection="1">
      <alignment horizontal="left"/>
      <protection locked="0"/>
    </xf>
    <xf numFmtId="168" fontId="5" fillId="0" borderId="0" xfId="2" applyNumberFormat="1" applyFont="1" applyAlignment="1">
      <alignment horizontal="center"/>
    </xf>
    <xf numFmtId="1" fontId="6" fillId="0" borderId="0" xfId="2" applyNumberFormat="1" applyFont="1"/>
    <xf numFmtId="0" fontId="1" fillId="0" borderId="0" xfId="0" applyFont="1"/>
    <xf numFmtId="4" fontId="39" fillId="0" borderId="6" xfId="2" applyNumberFormat="1" applyFont="1" applyBorder="1"/>
    <xf numFmtId="0" fontId="10" fillId="0" borderId="0" xfId="0" applyFont="1" applyAlignment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6" fillId="0" borderId="6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14" fillId="0" borderId="0" xfId="2" applyFont="1" applyAlignment="1">
      <alignment vertical="center"/>
    </xf>
    <xf numFmtId="0" fontId="5" fillId="0" borderId="6" xfId="2" applyFont="1" applyBorder="1" applyAlignment="1">
      <alignment vertical="center"/>
    </xf>
    <xf numFmtId="167" fontId="35" fillId="0" borderId="21" xfId="5" applyNumberFormat="1" applyFont="1" applyFill="1" applyBorder="1" applyAlignment="1" applyProtection="1">
      <alignment horizontal="left"/>
      <protection locked="0"/>
    </xf>
    <xf numFmtId="0" fontId="35" fillId="9" borderId="6" xfId="2" applyFont="1" applyFill="1" applyBorder="1"/>
    <xf numFmtId="0" fontId="5" fillId="9" borderId="6" xfId="2" applyFont="1" applyFill="1" applyBorder="1"/>
    <xf numFmtId="0" fontId="10" fillId="9" borderId="0" xfId="2" applyFont="1" applyFill="1" applyAlignment="1">
      <alignment vertical="center"/>
    </xf>
    <xf numFmtId="0" fontId="5" fillId="9" borderId="6" xfId="2" applyFont="1" applyFill="1" applyBorder="1" applyAlignment="1">
      <alignment horizontal="center"/>
    </xf>
    <xf numFmtId="49" fontId="5" fillId="9" borderId="6" xfId="2" applyNumberFormat="1" applyFont="1" applyFill="1" applyBorder="1" applyAlignment="1">
      <alignment horizontal="center"/>
    </xf>
    <xf numFmtId="14" fontId="5" fillId="9" borderId="6" xfId="5" applyNumberFormat="1" applyFont="1" applyFill="1" applyBorder="1" applyAlignment="1" applyProtection="1">
      <alignment horizontal="center"/>
      <protection locked="0"/>
    </xf>
    <xf numFmtId="14" fontId="5" fillId="9" borderId="6" xfId="5" applyNumberFormat="1" applyFont="1" applyFill="1" applyBorder="1" applyAlignment="1" applyProtection="1">
      <alignment horizontal="left"/>
      <protection locked="0"/>
    </xf>
    <xf numFmtId="167" fontId="5" fillId="9" borderId="6" xfId="5" applyNumberFormat="1" applyFont="1" applyFill="1" applyBorder="1" applyAlignment="1" applyProtection="1">
      <alignment horizontal="left"/>
      <protection locked="0"/>
    </xf>
    <xf numFmtId="4" fontId="5" fillId="9" borderId="6" xfId="2" applyNumberFormat="1" applyFont="1" applyFill="1" applyBorder="1"/>
    <xf numFmtId="4" fontId="39" fillId="9" borderId="6" xfId="2" applyNumberFormat="1" applyFont="1" applyFill="1" applyBorder="1"/>
    <xf numFmtId="9" fontId="12" fillId="9" borderId="6" xfId="2" applyNumberFormat="1" applyFont="1" applyFill="1" applyBorder="1" applyAlignment="1">
      <alignment horizontal="center"/>
    </xf>
    <xf numFmtId="4" fontId="12" fillId="9" borderId="6" xfId="2" applyNumberFormat="1" applyFont="1" applyFill="1" applyBorder="1"/>
    <xf numFmtId="10" fontId="5" fillId="9" borderId="6" xfId="2" applyNumberFormat="1" applyFont="1" applyFill="1" applyBorder="1"/>
    <xf numFmtId="4" fontId="35" fillId="9" borderId="6" xfId="2" applyNumberFormat="1" applyFont="1" applyFill="1" applyBorder="1"/>
    <xf numFmtId="4" fontId="12" fillId="9" borderId="21" xfId="2" applyNumberFormat="1" applyFont="1" applyFill="1" applyBorder="1"/>
    <xf numFmtId="4" fontId="5" fillId="9" borderId="7" xfId="2" applyNumberFormat="1" applyFont="1" applyFill="1" applyBorder="1"/>
    <xf numFmtId="4" fontId="0" fillId="9" borderId="9" xfId="0" applyNumberFormat="1" applyFill="1" applyBorder="1"/>
    <xf numFmtId="0" fontId="5" fillId="9" borderId="0" xfId="2" applyFont="1" applyFill="1" applyAlignment="1">
      <alignment horizontal="center"/>
    </xf>
    <xf numFmtId="4" fontId="6" fillId="0" borderId="26" xfId="2" applyNumberFormat="1" applyFont="1" applyBorder="1"/>
    <xf numFmtId="4" fontId="6" fillId="0" borderId="28" xfId="2" applyNumberFormat="1" applyFont="1" applyBorder="1"/>
    <xf numFmtId="0" fontId="35" fillId="0" borderId="6" xfId="2" applyFont="1" applyBorder="1"/>
    <xf numFmtId="1" fontId="38" fillId="0" borderId="6" xfId="2" applyNumberFormat="1" applyFont="1" applyBorder="1"/>
    <xf numFmtId="4" fontId="5" fillId="0" borderId="21" xfId="2" applyNumberFormat="1" applyFont="1" applyBorder="1"/>
    <xf numFmtId="4" fontId="5" fillId="0" borderId="7" xfId="2" applyNumberFormat="1" applyFont="1" applyBorder="1"/>
    <xf numFmtId="0" fontId="35" fillId="0" borderId="6" xfId="2" applyFont="1" applyBorder="1" applyAlignment="1">
      <alignment horizontal="center"/>
    </xf>
    <xf numFmtId="0" fontId="36" fillId="0" borderId="0" xfId="2" applyFont="1" applyAlignment="1">
      <alignment vertical="center"/>
    </xf>
    <xf numFmtId="168" fontId="35" fillId="0" borderId="6" xfId="2" applyNumberFormat="1" applyFont="1" applyBorder="1" applyAlignment="1">
      <alignment horizontal="center"/>
    </xf>
    <xf numFmtId="9" fontId="35" fillId="0" borderId="6" xfId="2" applyNumberFormat="1" applyFont="1" applyBorder="1" applyAlignment="1">
      <alignment horizontal="center"/>
    </xf>
    <xf numFmtId="9" fontId="5" fillId="0" borderId="0" xfId="2" applyNumberFormat="1" applyFont="1" applyAlignment="1">
      <alignment horizontal="center"/>
    </xf>
    <xf numFmtId="1" fontId="5" fillId="0" borderId="1" xfId="2" applyNumberFormat="1" applyFont="1" applyBorder="1"/>
    <xf numFmtId="4" fontId="35" fillId="0" borderId="8" xfId="2" applyNumberFormat="1" applyFont="1" applyBorder="1"/>
    <xf numFmtId="0" fontId="5" fillId="0" borderId="8" xfId="2" applyFont="1" applyBorder="1" applyAlignment="1">
      <alignment vertical="center"/>
    </xf>
    <xf numFmtId="0" fontId="10" fillId="9" borderId="6" xfId="0" applyFont="1" applyFill="1" applyBorder="1" applyAlignment="1">
      <alignment vertical="center"/>
    </xf>
    <xf numFmtId="168" fontId="5" fillId="9" borderId="6" xfId="2" applyNumberFormat="1" applyFont="1" applyFill="1" applyBorder="1" applyAlignment="1">
      <alignment horizontal="center"/>
    </xf>
    <xf numFmtId="4" fontId="6" fillId="9" borderId="6" xfId="2" applyNumberFormat="1" applyFont="1" applyFill="1" applyBorder="1"/>
    <xf numFmtId="9" fontId="5" fillId="9" borderId="6" xfId="2" applyNumberFormat="1" applyFont="1" applyFill="1" applyBorder="1" applyAlignment="1">
      <alignment horizontal="center"/>
    </xf>
    <xf numFmtId="1" fontId="5" fillId="9" borderId="6" xfId="2" applyNumberFormat="1" applyFont="1" applyFill="1" applyBorder="1"/>
    <xf numFmtId="0" fontId="5" fillId="9" borderId="0" xfId="2" applyFont="1" applyFill="1"/>
    <xf numFmtId="4" fontId="6" fillId="9" borderId="0" xfId="2" applyNumberFormat="1" applyFont="1" applyFill="1"/>
    <xf numFmtId="4" fontId="5" fillId="9" borderId="0" xfId="2" applyNumberFormat="1" applyFont="1" applyFill="1"/>
    <xf numFmtId="0" fontId="0" fillId="9" borderId="0" xfId="0" applyFill="1"/>
    <xf numFmtId="0" fontId="6" fillId="10" borderId="9" xfId="2" applyFont="1" applyFill="1" applyBorder="1" applyAlignment="1">
      <alignment horizontal="center"/>
    </xf>
    <xf numFmtId="0" fontId="33" fillId="10" borderId="9" xfId="0" applyFont="1" applyFill="1" applyBorder="1"/>
    <xf numFmtId="4" fontId="33" fillId="10" borderId="9" xfId="0" applyNumberFormat="1" applyFont="1" applyFill="1" applyBorder="1"/>
    <xf numFmtId="0" fontId="5" fillId="4" borderId="0" xfId="2" applyFont="1" applyFill="1" applyAlignment="1">
      <alignment horizontal="center"/>
    </xf>
    <xf numFmtId="0" fontId="0" fillId="4" borderId="0" xfId="0" applyFill="1"/>
    <xf numFmtId="164" fontId="5" fillId="9" borderId="6" xfId="3" applyFont="1" applyFill="1" applyBorder="1"/>
    <xf numFmtId="0" fontId="5" fillId="9" borderId="0" xfId="2" applyFont="1" applyFill="1" applyAlignment="1">
      <alignment vertical="center"/>
    </xf>
    <xf numFmtId="4" fontId="5" fillId="9" borderId="21" xfId="2" applyNumberFormat="1" applyFont="1" applyFill="1" applyBorder="1"/>
    <xf numFmtId="9" fontId="5" fillId="0" borderId="7" xfId="2" applyNumberFormat="1" applyFont="1" applyBorder="1" applyAlignment="1">
      <alignment horizontal="center"/>
    </xf>
    <xf numFmtId="1" fontId="12" fillId="0" borderId="32" xfId="2" applyNumberFormat="1" applyFont="1" applyBorder="1"/>
    <xf numFmtId="0" fontId="5" fillId="0" borderId="0" xfId="2" applyFont="1" applyAlignment="1">
      <alignment horizontal="left" vertical="center" wrapText="1"/>
    </xf>
    <xf numFmtId="1" fontId="6" fillId="0" borderId="29" xfId="2" applyNumberFormat="1" applyFont="1" applyBorder="1"/>
    <xf numFmtId="1" fontId="12" fillId="0" borderId="31" xfId="2" applyNumberFormat="1" applyFont="1" applyBorder="1"/>
    <xf numFmtId="1" fontId="5" fillId="0" borderId="25" xfId="2" applyNumberFormat="1" applyFont="1" applyBorder="1"/>
    <xf numFmtId="0" fontId="5" fillId="0" borderId="6" xfId="2" applyFont="1" applyBorder="1" applyAlignment="1">
      <alignment horizontal="right"/>
    </xf>
    <xf numFmtId="4" fontId="5" fillId="0" borderId="27" xfId="2" applyNumberFormat="1" applyFont="1" applyBorder="1"/>
    <xf numFmtId="0" fontId="41" fillId="0" borderId="0" xfId="2" applyFont="1" applyAlignment="1">
      <alignment horizontal="center"/>
    </xf>
    <xf numFmtId="0" fontId="41" fillId="0" borderId="6" xfId="2" applyFont="1" applyBorder="1" applyAlignment="1">
      <alignment horizontal="center"/>
    </xf>
    <xf numFmtId="0" fontId="41" fillId="0" borderId="6" xfId="2" applyFont="1" applyBorder="1"/>
    <xf numFmtId="0" fontId="42" fillId="0" borderId="0" xfId="2" applyFont="1" applyAlignment="1">
      <alignment vertical="center"/>
    </xf>
    <xf numFmtId="49" fontId="41" fillId="0" borderId="6" xfId="2" applyNumberFormat="1" applyFont="1" applyBorder="1" applyAlignment="1">
      <alignment horizontal="center"/>
    </xf>
    <xf numFmtId="14" fontId="41" fillId="0" borderId="6" xfId="5" applyNumberFormat="1" applyFont="1" applyFill="1" applyBorder="1" applyAlignment="1" applyProtection="1">
      <alignment horizontal="center"/>
      <protection locked="0"/>
    </xf>
    <xf numFmtId="14" fontId="41" fillId="0" borderId="6" xfId="5" applyNumberFormat="1" applyFont="1" applyFill="1" applyBorder="1" applyAlignment="1" applyProtection="1">
      <alignment horizontal="left"/>
      <protection locked="0"/>
    </xf>
    <xf numFmtId="167" fontId="41" fillId="0" borderId="6" xfId="5" applyNumberFormat="1" applyFont="1" applyFill="1" applyBorder="1" applyAlignment="1" applyProtection="1">
      <alignment horizontal="left"/>
      <protection locked="0"/>
    </xf>
    <xf numFmtId="4" fontId="41" fillId="0" borderId="6" xfId="2" applyNumberFormat="1" applyFont="1" applyBorder="1"/>
    <xf numFmtId="9" fontId="41" fillId="0" borderId="6" xfId="2" applyNumberFormat="1" applyFont="1" applyBorder="1" applyAlignment="1">
      <alignment horizontal="center"/>
    </xf>
    <xf numFmtId="10" fontId="41" fillId="0" borderId="6" xfId="2" applyNumberFormat="1" applyFont="1" applyBorder="1"/>
    <xf numFmtId="4" fontId="43" fillId="0" borderId="0" xfId="2" applyNumberFormat="1" applyFont="1"/>
    <xf numFmtId="0" fontId="41" fillId="0" borderId="0" xfId="2" applyFont="1"/>
    <xf numFmtId="0" fontId="41" fillId="9" borderId="6" xfId="2" applyFont="1" applyFill="1" applyBorder="1"/>
    <xf numFmtId="0" fontId="42" fillId="9" borderId="0" xfId="2" applyFont="1" applyFill="1" applyAlignment="1">
      <alignment vertical="center"/>
    </xf>
    <xf numFmtId="0" fontId="41" fillId="9" borderId="6" xfId="2" applyFont="1" applyFill="1" applyBorder="1" applyAlignment="1">
      <alignment horizontal="center"/>
    </xf>
    <xf numFmtId="49" fontId="41" fillId="9" borderId="6" xfId="2" applyNumberFormat="1" applyFont="1" applyFill="1" applyBorder="1" applyAlignment="1">
      <alignment horizontal="center"/>
    </xf>
    <xf numFmtId="14" fontId="41" fillId="9" borderId="6" xfId="5" applyNumberFormat="1" applyFont="1" applyFill="1" applyBorder="1" applyAlignment="1" applyProtection="1">
      <alignment horizontal="center"/>
      <protection locked="0"/>
    </xf>
    <xf numFmtId="14" fontId="41" fillId="9" borderId="6" xfId="5" applyNumberFormat="1" applyFont="1" applyFill="1" applyBorder="1" applyAlignment="1" applyProtection="1">
      <alignment horizontal="left"/>
      <protection locked="0"/>
    </xf>
    <xf numFmtId="167" fontId="41" fillId="9" borderId="6" xfId="5" applyNumberFormat="1" applyFont="1" applyFill="1" applyBorder="1" applyAlignment="1" applyProtection="1">
      <alignment horizontal="left"/>
      <protection locked="0"/>
    </xf>
    <xf numFmtId="4" fontId="41" fillId="9" borderId="6" xfId="2" applyNumberFormat="1" applyFont="1" applyFill="1" applyBorder="1"/>
    <xf numFmtId="4" fontId="44" fillId="9" borderId="6" xfId="2" applyNumberFormat="1" applyFont="1" applyFill="1" applyBorder="1"/>
    <xf numFmtId="9" fontId="41" fillId="9" borderId="6" xfId="2" applyNumberFormat="1" applyFont="1" applyFill="1" applyBorder="1" applyAlignment="1">
      <alignment horizontal="center"/>
    </xf>
    <xf numFmtId="10" fontId="41" fillId="9" borderId="6" xfId="2" applyNumberFormat="1" applyFont="1" applyFill="1" applyBorder="1"/>
    <xf numFmtId="4" fontId="41" fillId="9" borderId="7" xfId="2" applyNumberFormat="1" applyFont="1" applyFill="1" applyBorder="1"/>
    <xf numFmtId="0" fontId="45" fillId="0" borderId="9" xfId="2" applyFont="1" applyBorder="1"/>
    <xf numFmtId="0" fontId="45" fillId="9" borderId="9" xfId="2" applyFont="1" applyFill="1" applyBorder="1"/>
    <xf numFmtId="0" fontId="46" fillId="2" borderId="9" xfId="0" applyFont="1" applyFill="1" applyBorder="1"/>
    <xf numFmtId="0" fontId="33" fillId="2" borderId="9" xfId="0" applyFont="1" applyFill="1" applyBorder="1" applyAlignment="1">
      <alignment horizontal="center"/>
    </xf>
    <xf numFmtId="0" fontId="6" fillId="2" borderId="9" xfId="2" applyFont="1" applyFill="1" applyBorder="1" applyAlignment="1">
      <alignment horizontal="center"/>
    </xf>
    <xf numFmtId="0" fontId="5" fillId="0" borderId="6" xfId="2" applyFont="1" applyBorder="1" applyAlignment="1">
      <alignment horizontal="left"/>
    </xf>
    <xf numFmtId="3" fontId="5" fillId="0" borderId="6" xfId="2" applyNumberFormat="1" applyFont="1" applyBorder="1"/>
    <xf numFmtId="14" fontId="5" fillId="0" borderId="21" xfId="5" applyNumberFormat="1" applyFont="1" applyFill="1" applyBorder="1" applyAlignment="1" applyProtection="1">
      <alignment horizontal="left"/>
      <protection locked="0"/>
    </xf>
    <xf numFmtId="3" fontId="5" fillId="0" borderId="30" xfId="2" applyNumberFormat="1" applyFont="1" applyBorder="1"/>
    <xf numFmtId="164" fontId="35" fillId="0" borderId="6" xfId="3" applyFont="1" applyFill="1" applyBorder="1"/>
    <xf numFmtId="4" fontId="6" fillId="0" borderId="4" xfId="2" applyNumberFormat="1" applyFont="1" applyBorder="1"/>
    <xf numFmtId="0" fontId="6" fillId="13" borderId="19" xfId="2" applyFont="1" applyFill="1" applyBorder="1" applyAlignment="1">
      <alignment horizontal="center"/>
    </xf>
    <xf numFmtId="0" fontId="6" fillId="13" borderId="23" xfId="2" applyFont="1" applyFill="1" applyBorder="1" applyAlignment="1">
      <alignment horizontal="center"/>
    </xf>
    <xf numFmtId="0" fontId="6" fillId="13" borderId="23" xfId="2" applyFont="1" applyFill="1" applyBorder="1"/>
    <xf numFmtId="0" fontId="16" fillId="13" borderId="19" xfId="2" applyFont="1" applyFill="1" applyBorder="1" applyAlignment="1">
      <alignment vertical="center"/>
    </xf>
    <xf numFmtId="166" fontId="6" fillId="13" borderId="23" xfId="2" applyNumberFormat="1" applyFont="1" applyFill="1" applyBorder="1" applyAlignment="1">
      <alignment horizontal="center"/>
    </xf>
    <xf numFmtId="14" fontId="6" fillId="13" borderId="23" xfId="5" applyNumberFormat="1" applyFont="1" applyFill="1" applyBorder="1" applyAlignment="1" applyProtection="1">
      <alignment horizontal="center"/>
      <protection locked="0"/>
    </xf>
    <xf numFmtId="167" fontId="6" fillId="13" borderId="23" xfId="5" applyNumberFormat="1" applyFont="1" applyFill="1" applyBorder="1" applyAlignment="1" applyProtection="1">
      <alignment horizontal="left"/>
      <protection locked="0"/>
    </xf>
    <xf numFmtId="4" fontId="6" fillId="13" borderId="23" xfId="2" applyNumberFormat="1" applyFont="1" applyFill="1" applyBorder="1"/>
    <xf numFmtId="4" fontId="6" fillId="13" borderId="25" xfId="2" applyNumberFormat="1" applyFont="1" applyFill="1" applyBorder="1"/>
    <xf numFmtId="0" fontId="6" fillId="13" borderId="18" xfId="2" applyFont="1" applyFill="1" applyBorder="1" applyAlignment="1">
      <alignment horizontal="center"/>
    </xf>
    <xf numFmtId="14" fontId="6" fillId="13" borderId="23" xfId="5" applyNumberFormat="1" applyFont="1" applyFill="1" applyBorder="1" applyAlignment="1" applyProtection="1">
      <alignment horizontal="left"/>
      <protection locked="0"/>
    </xf>
    <xf numFmtId="0" fontId="16" fillId="13" borderId="19" xfId="0" applyFont="1" applyFill="1" applyBorder="1" applyAlignment="1">
      <alignment vertical="center"/>
    </xf>
    <xf numFmtId="168" fontId="6" fillId="13" borderId="23" xfId="2" applyNumberFormat="1" applyFont="1" applyFill="1" applyBorder="1" applyAlignment="1">
      <alignment horizontal="center"/>
    </xf>
    <xf numFmtId="4" fontId="6" fillId="13" borderId="24" xfId="2" applyNumberFormat="1" applyFont="1" applyFill="1" applyBorder="1"/>
    <xf numFmtId="4" fontId="6" fillId="13" borderId="22" xfId="2" applyNumberFormat="1" applyFont="1" applyFill="1" applyBorder="1"/>
    <xf numFmtId="4" fontId="6" fillId="13" borderId="19" xfId="2" applyNumberFormat="1" applyFont="1" applyFill="1" applyBorder="1"/>
    <xf numFmtId="4" fontId="6" fillId="13" borderId="26" xfId="2" applyNumberFormat="1" applyFont="1" applyFill="1" applyBorder="1"/>
    <xf numFmtId="9" fontId="6" fillId="13" borderId="22" xfId="2" applyNumberFormat="1" applyFont="1" applyFill="1" applyBorder="1" applyAlignment="1">
      <alignment horizontal="center"/>
    </xf>
    <xf numFmtId="10" fontId="6" fillId="13" borderId="23" xfId="2" applyNumberFormat="1" applyFont="1" applyFill="1" applyBorder="1"/>
    <xf numFmtId="4" fontId="37" fillId="13" borderId="23" xfId="2" applyNumberFormat="1" applyFont="1" applyFill="1" applyBorder="1"/>
    <xf numFmtId="4" fontId="6" fillId="13" borderId="30" xfId="2" applyNumberFormat="1" applyFont="1" applyFill="1" applyBorder="1"/>
    <xf numFmtId="9" fontId="6" fillId="13" borderId="19" xfId="2" applyNumberFormat="1" applyFont="1" applyFill="1" applyBorder="1" applyAlignment="1">
      <alignment horizontal="center"/>
    </xf>
    <xf numFmtId="167" fontId="6" fillId="13" borderId="24" xfId="5" applyNumberFormat="1" applyFont="1" applyFill="1" applyBorder="1" applyAlignment="1" applyProtection="1">
      <alignment horizontal="left"/>
      <protection locked="0"/>
    </xf>
    <xf numFmtId="4" fontId="6" fillId="13" borderId="33" xfId="2" applyNumberFormat="1" applyFont="1" applyFill="1" applyBorder="1"/>
    <xf numFmtId="4" fontId="6" fillId="13" borderId="27" xfId="2" applyNumberFormat="1" applyFont="1" applyFill="1" applyBorder="1"/>
    <xf numFmtId="9" fontId="6" fillId="13" borderId="27" xfId="2" applyNumberFormat="1" applyFont="1" applyFill="1" applyBorder="1" applyAlignment="1">
      <alignment horizontal="center"/>
    </xf>
    <xf numFmtId="10" fontId="6" fillId="13" borderId="27" xfId="2" applyNumberFormat="1" applyFont="1" applyFill="1" applyBorder="1"/>
    <xf numFmtId="4" fontId="5" fillId="0" borderId="38" xfId="2" applyNumberFormat="1" applyFont="1" applyBorder="1"/>
    <xf numFmtId="0" fontId="6" fillId="13" borderId="33" xfId="2" applyFont="1" applyFill="1" applyBorder="1" applyAlignment="1">
      <alignment horizontal="center"/>
    </xf>
    <xf numFmtId="0" fontId="6" fillId="13" borderId="39" xfId="2" applyFont="1" applyFill="1" applyBorder="1" applyAlignment="1">
      <alignment horizontal="center"/>
    </xf>
    <xf numFmtId="0" fontId="6" fillId="13" borderId="27" xfId="2" applyFont="1" applyFill="1" applyBorder="1" applyAlignment="1">
      <alignment horizontal="center"/>
    </xf>
    <xf numFmtId="0" fontId="6" fillId="13" borderId="27" xfId="2" applyFont="1" applyFill="1" applyBorder="1"/>
    <xf numFmtId="0" fontId="16" fillId="13" borderId="39" xfId="2" applyFont="1" applyFill="1" applyBorder="1" applyAlignment="1">
      <alignment vertical="center"/>
    </xf>
    <xf numFmtId="168" fontId="6" fillId="13" borderId="27" xfId="2" applyNumberFormat="1" applyFont="1" applyFill="1" applyBorder="1" applyAlignment="1">
      <alignment horizontal="center"/>
    </xf>
    <xf numFmtId="14" fontId="6" fillId="13" borderId="27" xfId="5" applyNumberFormat="1" applyFont="1" applyFill="1" applyBorder="1" applyAlignment="1" applyProtection="1">
      <alignment horizontal="center"/>
      <protection locked="0"/>
    </xf>
    <xf numFmtId="14" fontId="6" fillId="13" borderId="27" xfId="5" applyNumberFormat="1" applyFont="1" applyFill="1" applyBorder="1" applyAlignment="1" applyProtection="1">
      <alignment horizontal="left"/>
      <protection locked="0"/>
    </xf>
    <xf numFmtId="167" fontId="6" fillId="13" borderId="35" xfId="5" applyNumberFormat="1" applyFont="1" applyFill="1" applyBorder="1" applyAlignment="1" applyProtection="1">
      <alignment horizontal="left"/>
      <protection locked="0"/>
    </xf>
    <xf numFmtId="4" fontId="6" fillId="13" borderId="29" xfId="2" applyNumberFormat="1" applyFont="1" applyFill="1" applyBorder="1"/>
    <xf numFmtId="0" fontId="6" fillId="13" borderId="34" xfId="2" applyFont="1" applyFill="1" applyBorder="1" applyAlignment="1">
      <alignment horizontal="center"/>
    </xf>
    <xf numFmtId="0" fontId="6" fillId="13" borderId="40" xfId="2" applyFont="1" applyFill="1" applyBorder="1" applyAlignment="1">
      <alignment horizontal="center"/>
    </xf>
    <xf numFmtId="0" fontId="6" fillId="13" borderId="30" xfId="2" applyFont="1" applyFill="1" applyBorder="1" applyAlignment="1">
      <alignment horizontal="center"/>
    </xf>
    <xf numFmtId="0" fontId="6" fillId="13" borderId="30" xfId="2" applyFont="1" applyFill="1" applyBorder="1"/>
    <xf numFmtId="0" fontId="16" fillId="13" borderId="40" xfId="2" applyFont="1" applyFill="1" applyBorder="1" applyAlignment="1">
      <alignment vertical="center"/>
    </xf>
    <xf numFmtId="168" fontId="6" fillId="13" borderId="30" xfId="2" applyNumberFormat="1" applyFont="1" applyFill="1" applyBorder="1" applyAlignment="1">
      <alignment horizontal="center"/>
    </xf>
    <xf numFmtId="14" fontId="6" fillId="13" borderId="30" xfId="5" applyNumberFormat="1" applyFont="1" applyFill="1" applyBorder="1" applyAlignment="1" applyProtection="1">
      <alignment horizontal="center"/>
      <protection locked="0"/>
    </xf>
    <xf numFmtId="14" fontId="6" fillId="13" borderId="30" xfId="5" applyNumberFormat="1" applyFont="1" applyFill="1" applyBorder="1" applyAlignment="1" applyProtection="1">
      <alignment horizontal="left"/>
      <protection locked="0"/>
    </xf>
    <xf numFmtId="167" fontId="6" fillId="13" borderId="41" xfId="5" applyNumberFormat="1" applyFont="1" applyFill="1" applyBorder="1" applyAlignment="1" applyProtection="1">
      <alignment horizontal="left"/>
      <protection locked="0"/>
    </xf>
    <xf numFmtId="4" fontId="6" fillId="13" borderId="34" xfId="2" applyNumberFormat="1" applyFont="1" applyFill="1" applyBorder="1"/>
    <xf numFmtId="4" fontId="13" fillId="13" borderId="30" xfId="2" applyNumberFormat="1" applyFont="1" applyFill="1" applyBorder="1"/>
    <xf numFmtId="164" fontId="6" fillId="13" borderId="30" xfId="3" applyFont="1" applyFill="1" applyBorder="1"/>
    <xf numFmtId="9" fontId="6" fillId="13" borderId="30" xfId="2" applyNumberFormat="1" applyFont="1" applyFill="1" applyBorder="1" applyAlignment="1">
      <alignment horizontal="center"/>
    </xf>
    <xf numFmtId="10" fontId="6" fillId="13" borderId="30" xfId="2" applyNumberFormat="1" applyFont="1" applyFill="1" applyBorder="1"/>
    <xf numFmtId="4" fontId="37" fillId="13" borderId="30" xfId="2" applyNumberFormat="1" applyFont="1" applyFill="1" applyBorder="1"/>
    <xf numFmtId="4" fontId="6" fillId="13" borderId="31" xfId="2" applyNumberFormat="1" applyFont="1" applyFill="1" applyBorder="1"/>
    <xf numFmtId="4" fontId="6" fillId="0" borderId="11" xfId="2" applyNumberFormat="1" applyFont="1" applyBorder="1"/>
    <xf numFmtId="4" fontId="6" fillId="11" borderId="23" xfId="2" applyNumberFormat="1" applyFont="1" applyFill="1" applyBorder="1"/>
    <xf numFmtId="4" fontId="37" fillId="11" borderId="23" xfId="2" applyNumberFormat="1" applyFont="1" applyFill="1" applyBorder="1"/>
    <xf numFmtId="4" fontId="6" fillId="11" borderId="25" xfId="2" applyNumberFormat="1" applyFont="1" applyFill="1" applyBorder="1"/>
    <xf numFmtId="0" fontId="6" fillId="11" borderId="18" xfId="2" applyFont="1" applyFill="1" applyBorder="1" applyAlignment="1">
      <alignment horizontal="center"/>
    </xf>
    <xf numFmtId="0" fontId="6" fillId="11" borderId="19" xfId="2" applyFont="1" applyFill="1" applyBorder="1" applyAlignment="1">
      <alignment horizontal="center"/>
    </xf>
    <xf numFmtId="0" fontId="6" fillId="11" borderId="23" xfId="2" applyFont="1" applyFill="1" applyBorder="1" applyAlignment="1">
      <alignment horizontal="center"/>
    </xf>
    <xf numFmtId="0" fontId="6" fillId="11" borderId="23" xfId="2" applyFont="1" applyFill="1" applyBorder="1"/>
    <xf numFmtId="0" fontId="6" fillId="11" borderId="23" xfId="2" applyFont="1" applyFill="1" applyBorder="1" applyAlignment="1">
      <alignment vertical="center"/>
    </xf>
    <xf numFmtId="168" fontId="6" fillId="11" borderId="23" xfId="2" applyNumberFormat="1" applyFont="1" applyFill="1" applyBorder="1" applyAlignment="1">
      <alignment horizontal="center"/>
    </xf>
    <xf numFmtId="14" fontId="6" fillId="11" borderId="23" xfId="5" applyNumberFormat="1" applyFont="1" applyFill="1" applyBorder="1" applyAlignment="1" applyProtection="1">
      <alignment horizontal="center"/>
      <protection locked="0"/>
    </xf>
    <xf numFmtId="14" fontId="6" fillId="11" borderId="23" xfId="5" applyNumberFormat="1" applyFont="1" applyFill="1" applyBorder="1" applyAlignment="1" applyProtection="1">
      <alignment horizontal="left"/>
      <protection locked="0"/>
    </xf>
    <xf numFmtId="167" fontId="6" fillId="11" borderId="23" xfId="5" applyNumberFormat="1" applyFont="1" applyFill="1" applyBorder="1" applyAlignment="1" applyProtection="1">
      <alignment horizontal="left"/>
      <protection locked="0"/>
    </xf>
    <xf numFmtId="0" fontId="6" fillId="13" borderId="23" xfId="2" applyFont="1" applyFill="1" applyBorder="1" applyAlignment="1">
      <alignment vertical="center"/>
    </xf>
    <xf numFmtId="9" fontId="6" fillId="13" borderId="23" xfId="2" applyNumberFormat="1" applyFont="1" applyFill="1" applyBorder="1" applyAlignment="1">
      <alignment horizontal="center"/>
    </xf>
    <xf numFmtId="4" fontId="6" fillId="0" borderId="42" xfId="2" applyNumberFormat="1" applyFont="1" applyBorder="1"/>
    <xf numFmtId="4" fontId="47" fillId="12" borderId="22" xfId="2" applyNumberFormat="1" applyFont="1" applyFill="1" applyBorder="1"/>
    <xf numFmtId="4" fontId="47" fillId="12" borderId="23" xfId="2" applyNumberFormat="1" applyFont="1" applyFill="1" applyBorder="1"/>
    <xf numFmtId="4" fontId="48" fillId="12" borderId="23" xfId="2" applyNumberFormat="1" applyFont="1" applyFill="1" applyBorder="1"/>
    <xf numFmtId="4" fontId="47" fillId="12" borderId="30" xfId="2" applyNumberFormat="1" applyFont="1" applyFill="1" applyBorder="1"/>
    <xf numFmtId="4" fontId="47" fillId="12" borderId="31" xfId="2" applyNumberFormat="1" applyFont="1" applyFill="1" applyBorder="1"/>
    <xf numFmtId="9" fontId="5" fillId="0" borderId="27" xfId="2" applyNumberFormat="1" applyFont="1" applyBorder="1" applyAlignment="1">
      <alignment horizontal="center"/>
    </xf>
    <xf numFmtId="4" fontId="5" fillId="0" borderId="28" xfId="2" applyNumberFormat="1" applyFont="1" applyBorder="1"/>
    <xf numFmtId="164" fontId="12" fillId="0" borderId="0" xfId="3" applyFont="1" applyFill="1" applyAlignment="1">
      <alignment horizontal="left"/>
    </xf>
    <xf numFmtId="164" fontId="5" fillId="0" borderId="7" xfId="3" applyFont="1" applyFill="1" applyBorder="1"/>
    <xf numFmtId="164" fontId="6" fillId="0" borderId="0" xfId="3" applyFont="1" applyFill="1" applyAlignment="1">
      <alignment horizontal="left"/>
    </xf>
    <xf numFmtId="0" fontId="49" fillId="0" borderId="0" xfId="2" applyFont="1" applyAlignment="1">
      <alignment horizontal="center"/>
    </xf>
    <xf numFmtId="0" fontId="49" fillId="0" borderId="6" xfId="2" applyFont="1" applyBorder="1" applyAlignment="1">
      <alignment horizontal="center"/>
    </xf>
    <xf numFmtId="0" fontId="49" fillId="0" borderId="6" xfId="2" applyFont="1" applyBorder="1"/>
    <xf numFmtId="0" fontId="49" fillId="0" borderId="0" xfId="2" applyFont="1" applyAlignment="1">
      <alignment horizontal="left" vertical="center" wrapText="1"/>
    </xf>
    <xf numFmtId="168" fontId="49" fillId="0" borderId="6" xfId="2" applyNumberFormat="1" applyFont="1" applyBorder="1" applyAlignment="1">
      <alignment horizontal="center"/>
    </xf>
    <xf numFmtId="14" fontId="49" fillId="0" borderId="6" xfId="5" applyNumberFormat="1" applyFont="1" applyFill="1" applyBorder="1" applyAlignment="1" applyProtection="1">
      <alignment horizontal="center"/>
      <protection locked="0"/>
    </xf>
    <xf numFmtId="14" fontId="49" fillId="0" borderId="6" xfId="5" applyNumberFormat="1" applyFont="1" applyFill="1" applyBorder="1" applyAlignment="1" applyProtection="1">
      <alignment horizontal="left"/>
      <protection locked="0"/>
    </xf>
    <xf numFmtId="167" fontId="49" fillId="0" borderId="21" xfId="5" applyNumberFormat="1" applyFont="1" applyFill="1" applyBorder="1" applyAlignment="1" applyProtection="1">
      <alignment horizontal="left"/>
      <protection locked="0"/>
    </xf>
    <xf numFmtId="4" fontId="49" fillId="0" borderId="6" xfId="2" applyNumberFormat="1" applyFont="1" applyBorder="1"/>
    <xf numFmtId="4" fontId="49" fillId="0" borderId="0" xfId="2" applyNumberFormat="1" applyFont="1"/>
    <xf numFmtId="4" fontId="49" fillId="0" borderId="7" xfId="2" applyNumberFormat="1" applyFont="1" applyBorder="1"/>
    <xf numFmtId="164" fontId="49" fillId="0" borderId="6" xfId="3" applyFont="1" applyFill="1" applyBorder="1"/>
    <xf numFmtId="4" fontId="49" fillId="0" borderId="21" xfId="2" applyNumberFormat="1" applyFont="1" applyBorder="1"/>
    <xf numFmtId="9" fontId="49" fillId="0" borderId="7" xfId="2" applyNumberFormat="1" applyFont="1" applyBorder="1" applyAlignment="1">
      <alignment horizontal="center"/>
    </xf>
    <xf numFmtId="10" fontId="49" fillId="0" borderId="6" xfId="2" applyNumberFormat="1" applyFont="1" applyBorder="1"/>
    <xf numFmtId="9" fontId="49" fillId="0" borderId="6" xfId="2" applyNumberFormat="1" applyFont="1" applyBorder="1" applyAlignment="1">
      <alignment horizontal="center"/>
    </xf>
    <xf numFmtId="164" fontId="49" fillId="0" borderId="0" xfId="3" applyFont="1" applyFill="1" applyAlignment="1">
      <alignment horizontal="left"/>
    </xf>
    <xf numFmtId="0" fontId="49" fillId="0" borderId="0" xfId="2" applyFont="1"/>
    <xf numFmtId="4" fontId="50" fillId="0" borderId="6" xfId="2" applyNumberFormat="1" applyFont="1" applyBorder="1"/>
    <xf numFmtId="0" fontId="51" fillId="0" borderId="0" xfId="2" applyFont="1" applyAlignment="1">
      <alignment horizontal="center"/>
    </xf>
    <xf numFmtId="0" fontId="51" fillId="0" borderId="6" xfId="2" applyFont="1" applyBorder="1" applyAlignment="1">
      <alignment horizontal="center"/>
    </xf>
    <xf numFmtId="0" fontId="51" fillId="0" borderId="6" xfId="2" applyFont="1" applyBorder="1"/>
    <xf numFmtId="0" fontId="52" fillId="0" borderId="0" xfId="2" applyFont="1" applyAlignment="1">
      <alignment vertical="center"/>
    </xf>
    <xf numFmtId="166" fontId="51" fillId="0" borderId="6" xfId="2" applyNumberFormat="1" applyFont="1" applyBorder="1" applyAlignment="1">
      <alignment horizontal="center"/>
    </xf>
    <xf numFmtId="14" fontId="51" fillId="0" borderId="6" xfId="5" applyNumberFormat="1" applyFont="1" applyFill="1" applyBorder="1" applyAlignment="1" applyProtection="1">
      <alignment horizontal="center"/>
      <protection locked="0"/>
    </xf>
    <xf numFmtId="14" fontId="51" fillId="0" borderId="6" xfId="5" applyNumberFormat="1" applyFont="1" applyFill="1" applyBorder="1" applyAlignment="1" applyProtection="1">
      <alignment horizontal="left"/>
      <protection locked="0"/>
    </xf>
    <xf numFmtId="167" fontId="51" fillId="0" borderId="6" xfId="5" applyNumberFormat="1" applyFont="1" applyFill="1" applyBorder="1" applyAlignment="1" applyProtection="1">
      <alignment horizontal="left"/>
      <protection locked="0"/>
    </xf>
    <xf numFmtId="4" fontId="51" fillId="0" borderId="6" xfId="2" applyNumberFormat="1" applyFont="1" applyBorder="1"/>
    <xf numFmtId="4" fontId="53" fillId="0" borderId="6" xfId="2" applyNumberFormat="1" applyFont="1" applyBorder="1"/>
    <xf numFmtId="9" fontId="51" fillId="0" borderId="6" xfId="2" applyNumberFormat="1" applyFont="1" applyBorder="1" applyAlignment="1">
      <alignment horizontal="center"/>
    </xf>
    <xf numFmtId="10" fontId="51" fillId="0" borderId="6" xfId="2" applyNumberFormat="1" applyFont="1" applyBorder="1"/>
    <xf numFmtId="1" fontId="51" fillId="0" borderId="6" xfId="2" applyNumberFormat="1" applyFont="1" applyBorder="1"/>
    <xf numFmtId="4" fontId="51" fillId="0" borderId="0" xfId="2" applyNumberFormat="1" applyFont="1"/>
    <xf numFmtId="0" fontId="51" fillId="0" borderId="0" xfId="2" applyFont="1"/>
    <xf numFmtId="0" fontId="51" fillId="9" borderId="6" xfId="2" applyFont="1" applyFill="1" applyBorder="1"/>
    <xf numFmtId="0" fontId="51" fillId="9" borderId="0" xfId="2" applyFont="1" applyFill="1" applyAlignment="1">
      <alignment vertical="center"/>
    </xf>
    <xf numFmtId="0" fontId="51" fillId="9" borderId="6" xfId="2" applyFont="1" applyFill="1" applyBorder="1" applyAlignment="1">
      <alignment horizontal="center"/>
    </xf>
    <xf numFmtId="49" fontId="51" fillId="9" borderId="6" xfId="2" applyNumberFormat="1" applyFont="1" applyFill="1" applyBorder="1" applyAlignment="1">
      <alignment horizontal="center"/>
    </xf>
    <xf numFmtId="14" fontId="51" fillId="9" borderId="6" xfId="5" applyNumberFormat="1" applyFont="1" applyFill="1" applyBorder="1" applyAlignment="1" applyProtection="1">
      <alignment horizontal="center"/>
      <protection locked="0"/>
    </xf>
    <xf numFmtId="14" fontId="51" fillId="9" borderId="6" xfId="5" applyNumberFormat="1" applyFont="1" applyFill="1" applyBorder="1" applyAlignment="1" applyProtection="1">
      <alignment horizontal="left"/>
      <protection locked="0"/>
    </xf>
    <xf numFmtId="167" fontId="51" fillId="9" borderId="6" xfId="5" applyNumberFormat="1" applyFont="1" applyFill="1" applyBorder="1" applyAlignment="1" applyProtection="1">
      <alignment horizontal="left"/>
      <protection locked="0"/>
    </xf>
    <xf numFmtId="4" fontId="51" fillId="9" borderId="6" xfId="2" applyNumberFormat="1" applyFont="1" applyFill="1" applyBorder="1"/>
    <xf numFmtId="164" fontId="51" fillId="9" borderId="6" xfId="3" applyFont="1" applyFill="1" applyBorder="1"/>
    <xf numFmtId="9" fontId="51" fillId="9" borderId="6" xfId="2" applyNumberFormat="1" applyFont="1" applyFill="1" applyBorder="1" applyAlignment="1">
      <alignment horizontal="center"/>
    </xf>
    <xf numFmtId="10" fontId="51" fillId="9" borderId="6" xfId="2" applyNumberFormat="1" applyFont="1" applyFill="1" applyBorder="1"/>
    <xf numFmtId="4" fontId="51" fillId="9" borderId="21" xfId="2" applyNumberFormat="1" applyFont="1" applyFill="1" applyBorder="1"/>
    <xf numFmtId="4" fontId="51" fillId="9" borderId="7" xfId="2" applyNumberFormat="1" applyFont="1" applyFill="1" applyBorder="1"/>
    <xf numFmtId="168" fontId="51" fillId="0" borderId="6" xfId="2" applyNumberFormat="1" applyFont="1" applyBorder="1" applyAlignment="1">
      <alignment horizontal="center"/>
    </xf>
    <xf numFmtId="167" fontId="51" fillId="0" borderId="21" xfId="5" applyNumberFormat="1" applyFont="1" applyFill="1" applyBorder="1" applyAlignment="1" applyProtection="1">
      <alignment horizontal="left"/>
      <protection locked="0"/>
    </xf>
    <xf numFmtId="4" fontId="51" fillId="0" borderId="21" xfId="2" applyNumberFormat="1" applyFont="1" applyBorder="1"/>
    <xf numFmtId="9" fontId="51" fillId="0" borderId="0" xfId="2" applyNumberFormat="1" applyFont="1" applyAlignment="1">
      <alignment horizontal="center"/>
    </xf>
    <xf numFmtId="10" fontId="51" fillId="0" borderId="0" xfId="2" applyNumberFormat="1" applyFont="1"/>
    <xf numFmtId="164" fontId="5" fillId="0" borderId="0" xfId="3" applyFont="1" applyFill="1" applyAlignment="1">
      <alignment horizontal="left"/>
    </xf>
    <xf numFmtId="164" fontId="41" fillId="0" borderId="0" xfId="3" applyFont="1" applyFill="1" applyAlignment="1">
      <alignment horizontal="left"/>
    </xf>
    <xf numFmtId="164" fontId="51" fillId="0" borderId="0" xfId="3" applyFont="1" applyFill="1" applyAlignment="1">
      <alignment horizontal="left"/>
    </xf>
    <xf numFmtId="164" fontId="5" fillId="9" borderId="0" xfId="3" applyFont="1" applyFill="1" applyAlignment="1">
      <alignment horizontal="left"/>
    </xf>
    <xf numFmtId="164" fontId="35" fillId="0" borderId="0" xfId="3" applyFont="1" applyFill="1" applyAlignment="1">
      <alignment horizontal="left"/>
    </xf>
    <xf numFmtId="0" fontId="0" fillId="0" borderId="0" xfId="0" applyAlignment="1">
      <alignment horizontal="left"/>
    </xf>
    <xf numFmtId="0" fontId="50" fillId="0" borderId="0" xfId="2" applyFont="1" applyAlignment="1">
      <alignment horizontal="center"/>
    </xf>
    <xf numFmtId="0" fontId="50" fillId="0" borderId="6" xfId="2" applyFont="1" applyBorder="1" applyAlignment="1">
      <alignment horizontal="center"/>
    </xf>
    <xf numFmtId="0" fontId="50" fillId="0" borderId="6" xfId="2" applyFont="1" applyBorder="1"/>
    <xf numFmtId="0" fontId="50" fillId="0" borderId="0" xfId="2" applyFont="1" applyAlignment="1">
      <alignment horizontal="left" vertical="center" wrapText="1"/>
    </xf>
    <xf numFmtId="168" fontId="50" fillId="0" borderId="6" xfId="2" applyNumberFormat="1" applyFont="1" applyBorder="1" applyAlignment="1">
      <alignment horizontal="center"/>
    </xf>
    <xf numFmtId="14" fontId="50" fillId="0" borderId="6" xfId="5" applyNumberFormat="1" applyFont="1" applyFill="1" applyBorder="1" applyAlignment="1" applyProtection="1">
      <alignment horizontal="center"/>
      <protection locked="0"/>
    </xf>
    <xf numFmtId="14" fontId="50" fillId="0" borderId="6" xfId="5" applyNumberFormat="1" applyFont="1" applyFill="1" applyBorder="1" applyAlignment="1" applyProtection="1">
      <alignment horizontal="left"/>
      <protection locked="0"/>
    </xf>
    <xf numFmtId="167" fontId="50" fillId="0" borderId="21" xfId="5" applyNumberFormat="1" applyFont="1" applyFill="1" applyBorder="1" applyAlignment="1" applyProtection="1">
      <alignment horizontal="left"/>
      <protection locked="0"/>
    </xf>
    <xf numFmtId="4" fontId="50" fillId="0" borderId="0" xfId="2" applyNumberFormat="1" applyFont="1"/>
    <xf numFmtId="4" fontId="50" fillId="0" borderId="7" xfId="2" applyNumberFormat="1" applyFont="1" applyBorder="1"/>
    <xf numFmtId="164" fontId="50" fillId="0" borderId="6" xfId="3" applyFont="1" applyFill="1" applyBorder="1"/>
    <xf numFmtId="4" fontId="50" fillId="0" borderId="21" xfId="2" applyNumberFormat="1" applyFont="1" applyBorder="1"/>
    <xf numFmtId="9" fontId="50" fillId="0" borderId="7" xfId="2" applyNumberFormat="1" applyFont="1" applyBorder="1" applyAlignment="1">
      <alignment horizontal="center"/>
    </xf>
    <xf numFmtId="10" fontId="50" fillId="0" borderId="6" xfId="2" applyNumberFormat="1" applyFont="1" applyBorder="1"/>
    <xf numFmtId="9" fontId="50" fillId="0" borderId="6" xfId="2" applyNumberFormat="1" applyFont="1" applyBorder="1" applyAlignment="1">
      <alignment horizontal="center"/>
    </xf>
    <xf numFmtId="164" fontId="50" fillId="0" borderId="0" xfId="3" applyFont="1" applyFill="1" applyAlignment="1">
      <alignment horizontal="left"/>
    </xf>
    <xf numFmtId="0" fontId="50" fillId="0" borderId="0" xfId="2" applyFont="1"/>
    <xf numFmtId="0" fontId="35" fillId="0" borderId="0" xfId="2" applyFont="1" applyAlignment="1">
      <alignment vertical="center"/>
    </xf>
    <xf numFmtId="49" fontId="35" fillId="0" borderId="6" xfId="2" applyNumberFormat="1" applyFont="1" applyBorder="1" applyAlignment="1">
      <alignment horizontal="center"/>
    </xf>
    <xf numFmtId="167" fontId="35" fillId="0" borderId="6" xfId="5" applyNumberFormat="1" applyFont="1" applyFill="1" applyBorder="1" applyAlignment="1" applyProtection="1">
      <alignment horizontal="left"/>
      <protection locked="0"/>
    </xf>
    <xf numFmtId="10" fontId="35" fillId="0" borderId="6" xfId="2" applyNumberFormat="1" applyFont="1" applyBorder="1"/>
    <xf numFmtId="4" fontId="35" fillId="0" borderId="7" xfId="2" applyNumberFormat="1" applyFont="1" applyBorder="1"/>
    <xf numFmtId="1" fontId="35" fillId="0" borderId="6" xfId="2" applyNumberFormat="1" applyFont="1" applyBorder="1"/>
    <xf numFmtId="164" fontId="35" fillId="9" borderId="0" xfId="3" applyFont="1" applyFill="1" applyAlignment="1">
      <alignment horizontal="left"/>
    </xf>
    <xf numFmtId="164" fontId="35" fillId="0" borderId="21" xfId="3" applyFont="1" applyFill="1" applyBorder="1" applyAlignment="1">
      <alignment horizontal="left"/>
    </xf>
    <xf numFmtId="4" fontId="5" fillId="10" borderId="6" xfId="2" applyNumberFormat="1" applyFont="1" applyFill="1" applyBorder="1"/>
    <xf numFmtId="4" fontId="41" fillId="10" borderId="6" xfId="2" applyNumberFormat="1" applyFont="1" applyFill="1" applyBorder="1"/>
    <xf numFmtId="4" fontId="51" fillId="10" borderId="6" xfId="2" applyNumberFormat="1" applyFont="1" applyFill="1" applyBorder="1"/>
    <xf numFmtId="4" fontId="49" fillId="10" borderId="6" xfId="2" applyNumberFormat="1" applyFont="1" applyFill="1" applyBorder="1"/>
    <xf numFmtId="4" fontId="50" fillId="10" borderId="6" xfId="2" applyNumberFormat="1" applyFont="1" applyFill="1" applyBorder="1"/>
    <xf numFmtId="4" fontId="6" fillId="10" borderId="1" xfId="2" applyNumberFormat="1" applyFont="1" applyFill="1" applyBorder="1" applyAlignment="1">
      <alignment horizontal="center"/>
    </xf>
    <xf numFmtId="4" fontId="6" fillId="10" borderId="6" xfId="2" applyNumberFormat="1" applyFont="1" applyFill="1" applyBorder="1" applyAlignment="1">
      <alignment horizontal="center"/>
    </xf>
    <xf numFmtId="0" fontId="6" fillId="10" borderId="6" xfId="2" applyFont="1" applyFill="1" applyBorder="1" applyAlignment="1">
      <alignment horizontal="center"/>
    </xf>
    <xf numFmtId="4" fontId="6" fillId="10" borderId="8" xfId="2" applyNumberFormat="1" applyFont="1" applyFill="1" applyBorder="1" applyAlignment="1">
      <alignment horizontal="center"/>
    </xf>
    <xf numFmtId="4" fontId="12" fillId="10" borderId="6" xfId="2" applyNumberFormat="1" applyFont="1" applyFill="1" applyBorder="1"/>
    <xf numFmtId="4" fontId="35" fillId="10" borderId="6" xfId="2" applyNumberFormat="1" applyFont="1" applyFill="1" applyBorder="1"/>
    <xf numFmtId="4" fontId="6" fillId="10" borderId="6" xfId="2" applyNumberFormat="1" applyFont="1" applyFill="1" applyBorder="1"/>
    <xf numFmtId="4" fontId="5" fillId="10" borderId="7" xfId="2" applyNumberFormat="1" applyFont="1" applyFill="1" applyBorder="1"/>
    <xf numFmtId="4" fontId="6" fillId="10" borderId="27" xfId="2" applyNumberFormat="1" applyFont="1" applyFill="1" applyBorder="1"/>
    <xf numFmtId="4" fontId="5" fillId="10" borderId="8" xfId="2" applyNumberFormat="1" applyFont="1" applyFill="1" applyBorder="1"/>
    <xf numFmtId="4" fontId="5" fillId="10" borderId="27" xfId="2" applyNumberFormat="1" applyFont="1" applyFill="1" applyBorder="1"/>
    <xf numFmtId="4" fontId="0" fillId="0" borderId="9" xfId="0" applyNumberFormat="1" applyBorder="1"/>
    <xf numFmtId="0" fontId="41" fillId="0" borderId="0" xfId="2" applyFont="1" applyAlignment="1">
      <alignment horizontal="left"/>
    </xf>
    <xf numFmtId="0" fontId="51" fillId="0" borderId="0" xfId="2" applyFont="1" applyAlignment="1">
      <alignment horizontal="left"/>
    </xf>
    <xf numFmtId="0" fontId="49" fillId="0" borderId="0" xfId="2" applyFont="1" applyAlignment="1">
      <alignment horizontal="left"/>
    </xf>
    <xf numFmtId="0" fontId="50" fillId="0" borderId="0" xfId="2" applyFont="1" applyAlignment="1">
      <alignment horizontal="left"/>
    </xf>
    <xf numFmtId="0" fontId="12" fillId="0" borderId="0" xfId="2" applyFont="1" applyAlignment="1">
      <alignment horizontal="left"/>
    </xf>
    <xf numFmtId="0" fontId="35" fillId="0" borderId="0" xfId="2" applyFont="1" applyAlignment="1">
      <alignment horizontal="left"/>
    </xf>
    <xf numFmtId="0" fontId="5" fillId="9" borderId="0" xfId="2" applyFont="1" applyFill="1" applyAlignment="1">
      <alignment horizontal="left"/>
    </xf>
    <xf numFmtId="0" fontId="35" fillId="2" borderId="0" xfId="2" applyFont="1" applyFill="1" applyAlignment="1">
      <alignment horizontal="left"/>
    </xf>
    <xf numFmtId="0" fontId="5" fillId="14" borderId="0" xfId="2" applyFont="1" applyFill="1"/>
    <xf numFmtId="0" fontId="51" fillId="14" borderId="0" xfId="2" applyFont="1" applyFill="1"/>
    <xf numFmtId="0" fontId="12" fillId="14" borderId="0" xfId="2" applyFont="1" applyFill="1"/>
    <xf numFmtId="4" fontId="35" fillId="0" borderId="21" xfId="2" applyNumberFormat="1" applyFont="1" applyBorder="1"/>
    <xf numFmtId="4" fontId="6" fillId="0" borderId="1" xfId="2" applyNumberFormat="1" applyFont="1" applyBorder="1" applyAlignment="1">
      <alignment horizontal="left"/>
    </xf>
    <xf numFmtId="4" fontId="6" fillId="0" borderId="1" xfId="2" applyNumberFormat="1" applyFont="1" applyBorder="1"/>
    <xf numFmtId="4" fontId="6" fillId="0" borderId="6" xfId="2" applyNumberFormat="1" applyFont="1" applyBorder="1" applyAlignment="1">
      <alignment horizontal="left"/>
    </xf>
    <xf numFmtId="0" fontId="6" fillId="0" borderId="6" xfId="2" applyFont="1" applyBorder="1" applyAlignment="1">
      <alignment horizontal="left"/>
    </xf>
    <xf numFmtId="4" fontId="6" fillId="0" borderId="8" xfId="2" applyNumberFormat="1" applyFont="1" applyBorder="1" applyAlignment="1">
      <alignment horizontal="left"/>
    </xf>
    <xf numFmtId="4" fontId="6" fillId="0" borderId="12" xfId="2" applyNumberFormat="1" applyFont="1" applyBorder="1"/>
    <xf numFmtId="4" fontId="54" fillId="0" borderId="6" xfId="2" applyNumberFormat="1" applyFont="1" applyBorder="1"/>
    <xf numFmtId="0" fontId="21" fillId="9" borderId="43" xfId="11" applyFont="1" applyFill="1" applyBorder="1" applyAlignment="1">
      <alignment horizontal="right" vertical="center" wrapText="1"/>
    </xf>
    <xf numFmtId="0" fontId="57" fillId="0" borderId="43" xfId="12" applyNumberFormat="1" applyFont="1" applyFill="1" applyBorder="1" applyAlignment="1">
      <alignment horizontal="right"/>
    </xf>
    <xf numFmtId="0" fontId="21" fillId="0" borderId="43" xfId="11" applyFont="1" applyBorder="1" applyAlignment="1">
      <alignment horizontal="right"/>
    </xf>
    <xf numFmtId="0" fontId="21" fillId="9" borderId="43" xfId="11" applyFont="1" applyFill="1" applyBorder="1" applyAlignment="1">
      <alignment horizontal="right"/>
    </xf>
    <xf numFmtId="0" fontId="11" fillId="0" borderId="0" xfId="2" applyFont="1" applyAlignment="1">
      <alignment horizontal="center"/>
    </xf>
    <xf numFmtId="0" fontId="58" fillId="0" borderId="0" xfId="2" applyFont="1" applyAlignment="1">
      <alignment horizontal="center"/>
    </xf>
    <xf numFmtId="164" fontId="11" fillId="0" borderId="0" xfId="3" applyFont="1" applyFill="1" applyAlignment="1">
      <alignment horizontal="center"/>
    </xf>
    <xf numFmtId="0" fontId="11" fillId="0" borderId="0" xfId="2" applyFont="1" applyAlignment="1">
      <alignment horizontal="left"/>
    </xf>
    <xf numFmtId="0" fontId="59" fillId="0" borderId="0" xfId="2" applyFont="1" applyAlignment="1">
      <alignment horizontal="center"/>
    </xf>
    <xf numFmtId="164" fontId="11" fillId="0" borderId="0" xfId="3" applyFont="1" applyFill="1"/>
    <xf numFmtId="0" fontId="11" fillId="0" borderId="0" xfId="2" applyFont="1"/>
    <xf numFmtId="0" fontId="59" fillId="0" borderId="0" xfId="2" applyFont="1"/>
    <xf numFmtId="4" fontId="59" fillId="0" borderId="0" xfId="2" applyNumberFormat="1" applyFont="1"/>
    <xf numFmtId="10" fontId="59" fillId="0" borderId="0" xfId="2" applyNumberFormat="1" applyFont="1"/>
    <xf numFmtId="4" fontId="60" fillId="0" borderId="0" xfId="2" applyNumberFormat="1" applyFont="1"/>
    <xf numFmtId="4" fontId="11" fillId="0" borderId="0" xfId="2" applyNumberFormat="1" applyFont="1"/>
    <xf numFmtId="10" fontId="11" fillId="0" borderId="0" xfId="2" applyNumberFormat="1" applyFont="1"/>
    <xf numFmtId="4" fontId="58" fillId="0" borderId="0" xfId="2" applyNumberFormat="1" applyFont="1"/>
    <xf numFmtId="0" fontId="59" fillId="0" borderId="1" xfId="2" applyFont="1" applyBorder="1" applyAlignment="1">
      <alignment horizontal="center"/>
    </xf>
    <xf numFmtId="0" fontId="59" fillId="0" borderId="2" xfId="2" applyFont="1" applyBorder="1" applyAlignment="1">
      <alignment horizontal="center"/>
    </xf>
    <xf numFmtId="0" fontId="59" fillId="0" borderId="3" xfId="2" applyFont="1" applyBorder="1" applyAlignment="1">
      <alignment horizontal="center"/>
    </xf>
    <xf numFmtId="4" fontId="59" fillId="0" borderId="1" xfId="2" applyNumberFormat="1" applyFont="1" applyBorder="1" applyAlignment="1">
      <alignment horizontal="center"/>
    </xf>
    <xf numFmtId="4" fontId="59" fillId="0" borderId="5" xfId="2" applyNumberFormat="1" applyFont="1" applyBorder="1" applyAlignment="1">
      <alignment horizontal="center"/>
    </xf>
    <xf numFmtId="0" fontId="59" fillId="0" borderId="6" xfId="2" applyFont="1" applyBorder="1" applyAlignment="1">
      <alignment horizontal="center"/>
    </xf>
    <xf numFmtId="0" fontId="59" fillId="0" borderId="5" xfId="2" applyFont="1" applyBorder="1" applyAlignment="1">
      <alignment horizontal="center"/>
    </xf>
    <xf numFmtId="4" fontId="59" fillId="0" borderId="1" xfId="2" applyNumberFormat="1" applyFont="1" applyBorder="1" applyAlignment="1">
      <alignment horizontal="center" wrapText="1"/>
    </xf>
    <xf numFmtId="4" fontId="11" fillId="0" borderId="1" xfId="2" applyNumberFormat="1" applyFont="1" applyBorder="1" applyAlignment="1">
      <alignment horizontal="center"/>
    </xf>
    <xf numFmtId="4" fontId="59" fillId="0" borderId="6" xfId="2" applyNumberFormat="1" applyFont="1" applyBorder="1" applyAlignment="1">
      <alignment horizontal="center"/>
    </xf>
    <xf numFmtId="4" fontId="60" fillId="0" borderId="6" xfId="2" applyNumberFormat="1" applyFont="1" applyBorder="1" applyAlignment="1">
      <alignment horizontal="center"/>
    </xf>
    <xf numFmtId="4" fontId="59" fillId="0" borderId="6" xfId="2" applyNumberFormat="1" applyFont="1" applyBorder="1" applyAlignment="1">
      <alignment horizontal="center" wrapText="1"/>
    </xf>
    <xf numFmtId="4" fontId="59" fillId="0" borderId="7" xfId="2" applyNumberFormat="1" applyFont="1" applyBorder="1" applyAlignment="1">
      <alignment horizontal="center"/>
    </xf>
    <xf numFmtId="0" fontId="59" fillId="0" borderId="8" xfId="2" applyFont="1" applyBorder="1" applyAlignment="1">
      <alignment horizontal="center"/>
    </xf>
    <xf numFmtId="4" fontId="59" fillId="0" borderId="8" xfId="2" applyNumberFormat="1" applyFont="1" applyBorder="1" applyAlignment="1">
      <alignment horizontal="center"/>
    </xf>
    <xf numFmtId="9" fontId="59" fillId="0" borderId="8" xfId="4" applyFont="1" applyFill="1" applyBorder="1" applyAlignment="1">
      <alignment horizontal="center"/>
    </xf>
    <xf numFmtId="4" fontId="11" fillId="0" borderId="8" xfId="2" applyNumberFormat="1" applyFont="1" applyBorder="1" applyAlignment="1">
      <alignment horizontal="center"/>
    </xf>
    <xf numFmtId="4" fontId="59" fillId="0" borderId="9" xfId="2" applyNumberFormat="1" applyFont="1" applyBorder="1" applyAlignment="1">
      <alignment horizontal="center"/>
    </xf>
    <xf numFmtId="4" fontId="60" fillId="0" borderId="8" xfId="2" applyNumberFormat="1" applyFont="1" applyBorder="1" applyAlignment="1">
      <alignment horizontal="center"/>
    </xf>
    <xf numFmtId="4" fontId="11" fillId="0" borderId="6" xfId="2" applyNumberFormat="1" applyFont="1" applyBorder="1"/>
    <xf numFmtId="4" fontId="11" fillId="0" borderId="1" xfId="2" applyNumberFormat="1" applyFont="1" applyBorder="1"/>
    <xf numFmtId="4" fontId="11" fillId="9" borderId="6" xfId="2" applyNumberFormat="1" applyFont="1" applyFill="1" applyBorder="1"/>
    <xf numFmtId="4" fontId="11" fillId="0" borderId="0" xfId="2" applyNumberFormat="1" applyFont="1" applyAlignment="1">
      <alignment horizontal="center"/>
    </xf>
    <xf numFmtId="0" fontId="11" fillId="9" borderId="6" xfId="2" applyFont="1" applyFill="1" applyBorder="1"/>
    <xf numFmtId="4" fontId="11" fillId="9" borderId="7" xfId="2" applyNumberFormat="1" applyFont="1" applyFill="1" applyBorder="1"/>
    <xf numFmtId="0" fontId="11" fillId="0" borderId="8" xfId="2" applyFont="1" applyBorder="1"/>
    <xf numFmtId="49" fontId="11" fillId="9" borderId="8" xfId="2" applyNumberFormat="1" applyFont="1" applyFill="1" applyBorder="1" applyAlignment="1">
      <alignment horizontal="center"/>
    </xf>
    <xf numFmtId="0" fontId="11" fillId="9" borderId="8" xfId="2" applyFont="1" applyFill="1" applyBorder="1"/>
    <xf numFmtId="4" fontId="59" fillId="0" borderId="23" xfId="2" applyNumberFormat="1" applyFont="1" applyBorder="1"/>
    <xf numFmtId="4" fontId="59" fillId="0" borderId="25" xfId="2" applyNumberFormat="1" applyFont="1" applyBorder="1"/>
    <xf numFmtId="4" fontId="59" fillId="9" borderId="0" xfId="2" applyNumberFormat="1" applyFont="1" applyFill="1"/>
    <xf numFmtId="1" fontId="59" fillId="0" borderId="0" xfId="2" applyNumberFormat="1" applyFont="1"/>
    <xf numFmtId="0" fontId="58" fillId="0" borderId="0" xfId="0" applyFont="1"/>
    <xf numFmtId="4" fontId="11" fillId="9" borderId="0" xfId="2" applyNumberFormat="1" applyFont="1" applyFill="1"/>
    <xf numFmtId="4" fontId="59" fillId="0" borderId="1" xfId="2" applyNumberFormat="1" applyFont="1" applyBorder="1" applyAlignment="1">
      <alignment horizontal="left"/>
    </xf>
    <xf numFmtId="4" fontId="59" fillId="0" borderId="1" xfId="2" applyNumberFormat="1" applyFont="1" applyBorder="1"/>
    <xf numFmtId="0" fontId="11" fillId="9" borderId="0" xfId="2" applyFont="1" applyFill="1"/>
    <xf numFmtId="4" fontId="59" fillId="0" borderId="6" xfId="2" applyNumberFormat="1" applyFont="1" applyBorder="1" applyAlignment="1">
      <alignment horizontal="left"/>
    </xf>
    <xf numFmtId="4" fontId="59" fillId="0" borderId="6" xfId="2" applyNumberFormat="1" applyFont="1" applyBorder="1"/>
    <xf numFmtId="0" fontId="59" fillId="0" borderId="6" xfId="2" applyFont="1" applyBorder="1" applyAlignment="1">
      <alignment horizontal="left"/>
    </xf>
    <xf numFmtId="0" fontId="58" fillId="9" borderId="0" xfId="0" applyFont="1" applyFill="1"/>
    <xf numFmtId="0" fontId="58" fillId="0" borderId="0" xfId="0" applyFont="1" applyAlignment="1">
      <alignment horizontal="left"/>
    </xf>
    <xf numFmtId="0" fontId="60" fillId="0" borderId="0" xfId="0" applyFont="1"/>
    <xf numFmtId="4" fontId="59" fillId="0" borderId="8" xfId="2" applyNumberFormat="1" applyFont="1" applyBorder="1" applyAlignment="1">
      <alignment horizontal="left"/>
    </xf>
    <xf numFmtId="4" fontId="11" fillId="0" borderId="8" xfId="2" applyNumberFormat="1" applyFont="1" applyBorder="1"/>
    <xf numFmtId="4" fontId="59" fillId="0" borderId="8" xfId="2" applyNumberFormat="1" applyFont="1" applyBorder="1"/>
    <xf numFmtId="4" fontId="59" fillId="0" borderId="12" xfId="2" applyNumberFormat="1" applyFont="1" applyBorder="1"/>
    <xf numFmtId="49" fontId="11" fillId="9" borderId="10" xfId="2" applyNumberFormat="1" applyFont="1" applyFill="1" applyBorder="1" applyAlignment="1">
      <alignment horizontal="center"/>
    </xf>
    <xf numFmtId="0" fontId="11" fillId="9" borderId="11" xfId="2" applyFont="1" applyFill="1" applyBorder="1"/>
    <xf numFmtId="49" fontId="11" fillId="9" borderId="11" xfId="2" applyNumberFormat="1" applyFont="1" applyFill="1" applyBorder="1" applyAlignment="1">
      <alignment horizontal="center"/>
    </xf>
    <xf numFmtId="0" fontId="59" fillId="0" borderId="0" xfId="2" applyFont="1" applyAlignment="1">
      <alignment horizontal="center" wrapText="1"/>
    </xf>
    <xf numFmtId="0" fontId="59" fillId="0" borderId="21" xfId="2" applyFont="1" applyBorder="1" applyAlignment="1">
      <alignment horizontal="center"/>
    </xf>
    <xf numFmtId="0" fontId="59" fillId="0" borderId="10" xfId="2" applyFont="1" applyBorder="1" applyAlignment="1">
      <alignment horizontal="center"/>
    </xf>
    <xf numFmtId="0" fontId="59" fillId="0" borderId="6" xfId="2" applyFont="1" applyBorder="1" applyAlignment="1">
      <alignment horizontal="center" wrapText="1"/>
    </xf>
    <xf numFmtId="0" fontId="59" fillId="0" borderId="21" xfId="2" applyFont="1" applyBorder="1" applyAlignment="1">
      <alignment horizontal="center" wrapText="1"/>
    </xf>
    <xf numFmtId="0" fontId="59" fillId="0" borderId="17" xfId="2" applyFont="1" applyBorder="1" applyAlignment="1">
      <alignment horizontal="center"/>
    </xf>
    <xf numFmtId="0" fontId="59" fillId="0" borderId="45" xfId="2" applyFont="1" applyBorder="1" applyAlignment="1">
      <alignment horizontal="center"/>
    </xf>
    <xf numFmtId="0" fontId="59" fillId="0" borderId="44" xfId="2" applyFont="1" applyBorder="1" applyAlignment="1">
      <alignment horizontal="center"/>
    </xf>
    <xf numFmtId="4" fontId="59" fillId="0" borderId="6" xfId="2" applyNumberFormat="1" applyFont="1" applyBorder="1" applyAlignment="1">
      <alignment vertical="center" wrapText="1"/>
    </xf>
    <xf numFmtId="4" fontId="59" fillId="0" borderId="8" xfId="2" applyNumberFormat="1" applyFont="1" applyBorder="1" applyAlignment="1">
      <alignment vertical="center" wrapText="1"/>
    </xf>
    <xf numFmtId="0" fontId="62" fillId="15" borderId="47" xfId="0" applyFont="1" applyFill="1" applyBorder="1" applyAlignment="1">
      <alignment horizontal="center" vertical="center" wrapText="1"/>
    </xf>
    <xf numFmtId="0" fontId="62" fillId="15" borderId="46" xfId="0" applyFont="1" applyFill="1" applyBorder="1" applyAlignment="1">
      <alignment horizontal="center" vertical="center" wrapText="1"/>
    </xf>
    <xf numFmtId="0" fontId="64" fillId="16" borderId="0" xfId="0" applyFont="1" applyFill="1" applyAlignment="1">
      <alignment vertical="center" wrapText="1"/>
    </xf>
    <xf numFmtId="0" fontId="64" fillId="16" borderId="0" xfId="0" applyFont="1" applyFill="1" applyAlignment="1">
      <alignment horizontal="right" vertical="center" wrapText="1"/>
    </xf>
    <xf numFmtId="0" fontId="64" fillId="5" borderId="0" xfId="0" applyFont="1" applyFill="1" applyAlignment="1">
      <alignment vertical="center" wrapText="1"/>
    </xf>
    <xf numFmtId="0" fontId="64" fillId="5" borderId="0" xfId="0" applyFont="1" applyFill="1" applyAlignment="1">
      <alignment horizontal="right" vertical="center" wrapText="1"/>
    </xf>
    <xf numFmtId="0" fontId="64" fillId="16" borderId="53" xfId="0" applyFont="1" applyFill="1" applyBorder="1" applyAlignment="1">
      <alignment vertical="center" wrapText="1"/>
    </xf>
    <xf numFmtId="4" fontId="64" fillId="16" borderId="47" xfId="0" applyNumberFormat="1" applyFont="1" applyFill="1" applyBorder="1" applyAlignment="1">
      <alignment horizontal="right" vertical="center" wrapText="1"/>
    </xf>
    <xf numFmtId="0" fontId="64" fillId="5" borderId="53" xfId="0" applyFont="1" applyFill="1" applyBorder="1" applyAlignment="1">
      <alignment vertical="center" wrapText="1"/>
    </xf>
    <xf numFmtId="4" fontId="64" fillId="5" borderId="47" xfId="0" applyNumberFormat="1" applyFont="1" applyFill="1" applyBorder="1" applyAlignment="1">
      <alignment horizontal="right" vertical="center" wrapText="1"/>
    </xf>
    <xf numFmtId="0" fontId="64" fillId="5" borderId="54" xfId="0" applyFont="1" applyFill="1" applyBorder="1" applyAlignment="1">
      <alignment vertical="center" wrapText="1"/>
    </xf>
    <xf numFmtId="0" fontId="64" fillId="5" borderId="55" xfId="0" applyFont="1" applyFill="1" applyBorder="1" applyAlignment="1">
      <alignment vertical="center" wrapText="1"/>
    </xf>
    <xf numFmtId="0" fontId="64" fillId="5" borderId="55" xfId="0" applyFont="1" applyFill="1" applyBorder="1" applyAlignment="1">
      <alignment horizontal="right" vertical="center" wrapText="1"/>
    </xf>
    <xf numFmtId="4" fontId="64" fillId="5" borderId="46" xfId="0" applyNumberFormat="1" applyFont="1" applyFill="1" applyBorder="1" applyAlignment="1">
      <alignment horizontal="right" vertical="center" wrapText="1"/>
    </xf>
    <xf numFmtId="0" fontId="59" fillId="0" borderId="0" xfId="0" applyFont="1" applyAlignment="1">
      <alignment horizontal="left"/>
    </xf>
    <xf numFmtId="4" fontId="11" fillId="9" borderId="8" xfId="2" applyNumberFormat="1" applyFont="1" applyFill="1" applyBorder="1"/>
    <xf numFmtId="10" fontId="59" fillId="0" borderId="7" xfId="2" applyNumberFormat="1" applyFont="1" applyBorder="1" applyAlignment="1">
      <alignment horizontal="center"/>
    </xf>
    <xf numFmtId="0" fontId="60" fillId="9" borderId="0" xfId="0" applyFont="1" applyFill="1"/>
    <xf numFmtId="0" fontId="47" fillId="9" borderId="0" xfId="0" applyFont="1" applyFill="1"/>
    <xf numFmtId="164" fontId="66" fillId="9" borderId="0" xfId="10" applyFont="1" applyFill="1"/>
    <xf numFmtId="164" fontId="47" fillId="9" borderId="0" xfId="10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164" fontId="4" fillId="9" borderId="0" xfId="10" applyFont="1" applyFill="1" applyAlignment="1">
      <alignment horizontal="center"/>
    </xf>
    <xf numFmtId="164" fontId="4" fillId="9" borderId="0" xfId="10" applyFont="1" applyFill="1"/>
    <xf numFmtId="0" fontId="67" fillId="9" borderId="35" xfId="0" applyFont="1" applyFill="1" applyBorder="1" applyAlignment="1">
      <alignment horizontal="center"/>
    </xf>
    <xf numFmtId="0" fontId="67" fillId="9" borderId="57" xfId="0" applyFont="1" applyFill="1" applyBorder="1" applyAlignment="1">
      <alignment horizontal="center"/>
    </xf>
    <xf numFmtId="164" fontId="67" fillId="9" borderId="58" xfId="10" applyFont="1" applyFill="1" applyBorder="1" applyAlignment="1">
      <alignment horizontal="center"/>
    </xf>
    <xf numFmtId="164" fontId="67" fillId="9" borderId="59" xfId="10" applyFont="1" applyFill="1" applyBorder="1" applyAlignment="1">
      <alignment horizontal="center"/>
    </xf>
    <xf numFmtId="0" fontId="68" fillId="9" borderId="6" xfId="0" applyFont="1" applyFill="1" applyBorder="1"/>
    <xf numFmtId="164" fontId="68" fillId="9" borderId="6" xfId="10" applyFont="1" applyFill="1" applyBorder="1"/>
    <xf numFmtId="0" fontId="68" fillId="9" borderId="0" xfId="0" applyFont="1" applyFill="1"/>
    <xf numFmtId="164" fontId="68" fillId="9" borderId="9" xfId="10" applyFont="1" applyFill="1" applyBorder="1"/>
    <xf numFmtId="164" fontId="68" fillId="9" borderId="0" xfId="10" applyFont="1" applyFill="1"/>
    <xf numFmtId="164" fontId="69" fillId="9" borderId="0" xfId="10" applyFont="1" applyFill="1"/>
    <xf numFmtId="0" fontId="69" fillId="9" borderId="0" xfId="0" applyFont="1" applyFill="1"/>
    <xf numFmtId="164" fontId="68" fillId="9" borderId="1" xfId="10" applyFont="1" applyFill="1" applyBorder="1"/>
    <xf numFmtId="164" fontId="68" fillId="0" borderId="1" xfId="10" applyFont="1" applyFill="1" applyBorder="1"/>
    <xf numFmtId="164" fontId="68" fillId="0" borderId="9" xfId="10" applyFont="1" applyFill="1" applyBorder="1"/>
    <xf numFmtId="0" fontId="69" fillId="9" borderId="6" xfId="0" applyFont="1" applyFill="1" applyBorder="1"/>
    <xf numFmtId="0" fontId="68" fillId="9" borderId="9" xfId="0" applyFont="1" applyFill="1" applyBorder="1"/>
    <xf numFmtId="164" fontId="70" fillId="9" borderId="20" xfId="10" applyFont="1" applyFill="1" applyBorder="1"/>
    <xf numFmtId="165" fontId="68" fillId="9" borderId="20" xfId="0" applyNumberFormat="1" applyFont="1" applyFill="1" applyBorder="1"/>
    <xf numFmtId="165" fontId="68" fillId="2" borderId="20" xfId="0" applyNumberFormat="1" applyFont="1" applyFill="1" applyBorder="1"/>
    <xf numFmtId="0" fontId="68" fillId="0" borderId="9" xfId="0" applyFont="1" applyBorder="1"/>
    <xf numFmtId="0" fontId="4" fillId="0" borderId="9" xfId="0" applyFont="1" applyBorder="1"/>
    <xf numFmtId="165" fontId="68" fillId="17" borderId="20" xfId="0" applyNumberFormat="1" applyFont="1" applyFill="1" applyBorder="1"/>
    <xf numFmtId="0" fontId="68" fillId="0" borderId="0" xfId="0" applyFont="1"/>
    <xf numFmtId="164" fontId="68" fillId="0" borderId="0" xfId="10" applyFont="1"/>
    <xf numFmtId="0" fontId="68" fillId="9" borderId="45" xfId="0" applyFont="1" applyFill="1" applyBorder="1"/>
    <xf numFmtId="0" fontId="4" fillId="9" borderId="45" xfId="0" applyFont="1" applyFill="1" applyBorder="1"/>
    <xf numFmtId="165" fontId="68" fillId="9" borderId="45" xfId="0" applyNumberFormat="1" applyFont="1" applyFill="1" applyBorder="1"/>
    <xf numFmtId="164" fontId="68" fillId="9" borderId="45" xfId="10" applyFont="1" applyFill="1" applyBorder="1"/>
    <xf numFmtId="164" fontId="68" fillId="9" borderId="0" xfId="10" applyFont="1" applyFill="1" applyBorder="1"/>
    <xf numFmtId="165" fontId="68" fillId="9" borderId="0" xfId="0" applyNumberFormat="1" applyFont="1" applyFill="1"/>
    <xf numFmtId="164" fontId="68" fillId="9" borderId="7" xfId="10" applyFont="1" applyFill="1" applyBorder="1"/>
    <xf numFmtId="0" fontId="71" fillId="9" borderId="44" xfId="0" applyFont="1" applyFill="1" applyBorder="1"/>
    <xf numFmtId="0" fontId="72" fillId="9" borderId="44" xfId="0" applyFont="1" applyFill="1" applyBorder="1"/>
    <xf numFmtId="0" fontId="4" fillId="9" borderId="44" xfId="0" applyFont="1" applyFill="1" applyBorder="1"/>
    <xf numFmtId="164" fontId="67" fillId="9" borderId="44" xfId="10" applyFont="1" applyFill="1" applyBorder="1"/>
    <xf numFmtId="164" fontId="68" fillId="9" borderId="44" xfId="10" applyFont="1" applyFill="1" applyBorder="1"/>
    <xf numFmtId="164" fontId="70" fillId="9" borderId="0" xfId="10" applyFont="1" applyFill="1"/>
    <xf numFmtId="0" fontId="70" fillId="9" borderId="0" xfId="0" applyFont="1" applyFill="1"/>
    <xf numFmtId="9" fontId="4" fillId="9" borderId="1" xfId="0" applyNumberFormat="1" applyFont="1" applyFill="1" applyBorder="1"/>
    <xf numFmtId="9" fontId="4" fillId="11" borderId="1" xfId="0" applyNumberFormat="1" applyFont="1" applyFill="1" applyBorder="1"/>
    <xf numFmtId="164" fontId="67" fillId="9" borderId="1" xfId="10" applyFont="1" applyFill="1" applyBorder="1"/>
    <xf numFmtId="164" fontId="67" fillId="0" borderId="1" xfId="10" applyFont="1" applyBorder="1"/>
    <xf numFmtId="9" fontId="4" fillId="9" borderId="6" xfId="0" applyNumberFormat="1" applyFont="1" applyFill="1" applyBorder="1"/>
    <xf numFmtId="9" fontId="4" fillId="18" borderId="6" xfId="0" applyNumberFormat="1" applyFont="1" applyFill="1" applyBorder="1"/>
    <xf numFmtId="164" fontId="67" fillId="9" borderId="6" xfId="10" applyFont="1" applyFill="1" applyBorder="1"/>
    <xf numFmtId="164" fontId="67" fillId="2" borderId="6" xfId="10" applyFont="1" applyFill="1" applyBorder="1"/>
    <xf numFmtId="9" fontId="4" fillId="19" borderId="6" xfId="0" applyNumberFormat="1" applyFont="1" applyFill="1" applyBorder="1"/>
    <xf numFmtId="164" fontId="67" fillId="9" borderId="9" xfId="10" applyFont="1" applyFill="1" applyBorder="1"/>
    <xf numFmtId="9" fontId="73" fillId="9" borderId="6" xfId="0" applyNumberFormat="1" applyFont="1" applyFill="1" applyBorder="1"/>
    <xf numFmtId="164" fontId="8" fillId="9" borderId="6" xfId="10" applyFont="1" applyFill="1" applyBorder="1"/>
    <xf numFmtId="164" fontId="8" fillId="9" borderId="7" xfId="10" applyFont="1" applyFill="1" applyBorder="1"/>
    <xf numFmtId="12" fontId="4" fillId="9" borderId="6" xfId="0" applyNumberFormat="1" applyFont="1" applyFill="1" applyBorder="1"/>
    <xf numFmtId="164" fontId="74" fillId="9" borderId="7" xfId="10" applyFont="1" applyFill="1" applyBorder="1"/>
    <xf numFmtId="9" fontId="4" fillId="0" borderId="6" xfId="0" applyNumberFormat="1" applyFont="1" applyBorder="1"/>
    <xf numFmtId="164" fontId="8" fillId="0" borderId="7" xfId="10" applyFont="1" applyFill="1" applyBorder="1"/>
    <xf numFmtId="164" fontId="68" fillId="0" borderId="6" xfId="10" applyFont="1" applyFill="1" applyBorder="1"/>
    <xf numFmtId="164" fontId="67" fillId="9" borderId="7" xfId="10" applyFont="1" applyFill="1" applyBorder="1"/>
    <xf numFmtId="0" fontId="4" fillId="9" borderId="9" xfId="0" applyFont="1" applyFill="1" applyBorder="1"/>
    <xf numFmtId="164" fontId="1" fillId="9" borderId="9" xfId="10" applyFill="1" applyBorder="1"/>
    <xf numFmtId="164" fontId="73" fillId="9" borderId="9" xfId="10" applyFont="1" applyFill="1" applyBorder="1"/>
    <xf numFmtId="164" fontId="1" fillId="9" borderId="0" xfId="10" applyFill="1"/>
    <xf numFmtId="165" fontId="4" fillId="9" borderId="9" xfId="0" applyNumberFormat="1" applyFont="1" applyFill="1" applyBorder="1"/>
    <xf numFmtId="164" fontId="4" fillId="9" borderId="45" xfId="10" applyFont="1" applyFill="1" applyBorder="1"/>
    <xf numFmtId="164" fontId="76" fillId="9" borderId="0" xfId="10" applyFont="1" applyFill="1"/>
    <xf numFmtId="164" fontId="73" fillId="9" borderId="0" xfId="10" applyFont="1" applyFill="1"/>
    <xf numFmtId="164" fontId="69" fillId="9" borderId="9" xfId="10" applyFont="1" applyFill="1" applyBorder="1"/>
    <xf numFmtId="164" fontId="4" fillId="9" borderId="0" xfId="0" applyNumberFormat="1" applyFont="1" applyFill="1"/>
    <xf numFmtId="0" fontId="73" fillId="9" borderId="0" xfId="0" applyFont="1" applyFill="1"/>
    <xf numFmtId="165" fontId="73" fillId="9" borderId="0" xfId="0" applyNumberFormat="1" applyFont="1" applyFill="1"/>
    <xf numFmtId="165" fontId="4" fillId="9" borderId="0" xfId="0" applyNumberFormat="1" applyFont="1" applyFill="1"/>
    <xf numFmtId="164" fontId="75" fillId="9" borderId="0" xfId="10" applyFont="1" applyFill="1"/>
    <xf numFmtId="164" fontId="75" fillId="2" borderId="0" xfId="10" applyFont="1" applyFill="1"/>
    <xf numFmtId="0" fontId="66" fillId="9" borderId="0" xfId="0" applyFont="1" applyFill="1"/>
    <xf numFmtId="0" fontId="67" fillId="9" borderId="57" xfId="0" applyFont="1" applyFill="1" applyBorder="1"/>
    <xf numFmtId="0" fontId="67" fillId="9" borderId="63" xfId="0" applyFont="1" applyFill="1" applyBorder="1"/>
    <xf numFmtId="0" fontId="67" fillId="9" borderId="27" xfId="0" applyFont="1" applyFill="1" applyBorder="1" applyAlignment="1">
      <alignment horizontal="center"/>
    </xf>
    <xf numFmtId="0" fontId="67" fillId="9" borderId="1" xfId="0" applyFont="1" applyFill="1" applyBorder="1" applyAlignment="1">
      <alignment horizontal="center"/>
    </xf>
    <xf numFmtId="0" fontId="67" fillId="9" borderId="6" xfId="0" applyFont="1" applyFill="1" applyBorder="1" applyAlignment="1">
      <alignment horizontal="center"/>
    </xf>
    <xf numFmtId="0" fontId="67" fillId="9" borderId="21" xfId="0" applyFont="1" applyFill="1" applyBorder="1" applyAlignment="1">
      <alignment horizontal="center"/>
    </xf>
    <xf numFmtId="0" fontId="69" fillId="0" borderId="0" xfId="0" applyFont="1"/>
    <xf numFmtId="0" fontId="68" fillId="9" borderId="21" xfId="0" applyFont="1" applyFill="1" applyBorder="1"/>
    <xf numFmtId="164" fontId="68" fillId="9" borderId="30" xfId="10" applyFont="1" applyFill="1" applyBorder="1"/>
    <xf numFmtId="164" fontId="68" fillId="0" borderId="30" xfId="10" applyFont="1" applyFill="1" applyBorder="1"/>
    <xf numFmtId="0" fontId="68" fillId="9" borderId="2" xfId="0" applyFont="1" applyFill="1" applyBorder="1"/>
    <xf numFmtId="0" fontId="4" fillId="0" borderId="2" xfId="0" applyFont="1" applyBorder="1"/>
    <xf numFmtId="164" fontId="67" fillId="9" borderId="8" xfId="10" applyFont="1" applyFill="1" applyBorder="1"/>
    <xf numFmtId="164" fontId="8" fillId="9" borderId="1" xfId="10" applyFont="1" applyFill="1" applyBorder="1"/>
    <xf numFmtId="164" fontId="77" fillId="9" borderId="8" xfId="10" applyFont="1" applyFill="1" applyBorder="1"/>
    <xf numFmtId="164" fontId="77" fillId="9" borderId="7" xfId="10" applyFont="1" applyFill="1" applyBorder="1"/>
    <xf numFmtId="0" fontId="73" fillId="9" borderId="9" xfId="0" applyFont="1" applyFill="1" applyBorder="1"/>
    <xf numFmtId="2" fontId="73" fillId="9" borderId="0" xfId="0" applyNumberFormat="1" applyFont="1" applyFill="1"/>
    <xf numFmtId="165" fontId="76" fillId="9" borderId="0" xfId="0" applyNumberFormat="1" applyFont="1" applyFill="1"/>
    <xf numFmtId="0" fontId="76" fillId="9" borderId="0" xfId="0" applyFont="1" applyFill="1"/>
    <xf numFmtId="9" fontId="73" fillId="9" borderId="0" xfId="0" applyNumberFormat="1" applyFont="1" applyFill="1" applyAlignment="1">
      <alignment horizontal="left"/>
    </xf>
    <xf numFmtId="2" fontId="4" fillId="9" borderId="0" xfId="0" applyNumberFormat="1" applyFont="1" applyFill="1"/>
    <xf numFmtId="164" fontId="0" fillId="9" borderId="0" xfId="10" applyFont="1" applyFill="1"/>
    <xf numFmtId="0" fontId="11" fillId="9" borderId="0" xfId="2" applyFont="1" applyFill="1" applyAlignment="1">
      <alignment horizontal="center"/>
    </xf>
    <xf numFmtId="4" fontId="58" fillId="0" borderId="0" xfId="0" applyNumberFormat="1" applyFont="1"/>
    <xf numFmtId="0" fontId="58" fillId="9" borderId="69" xfId="0" applyFont="1" applyFill="1" applyBorder="1"/>
    <xf numFmtId="4" fontId="59" fillId="0" borderId="0" xfId="2" applyNumberFormat="1" applyFont="1" applyAlignment="1">
      <alignment horizontal="center"/>
    </xf>
    <xf numFmtId="4" fontId="59" fillId="0" borderId="23" xfId="2" applyNumberFormat="1" applyFont="1" applyBorder="1" applyAlignment="1">
      <alignment horizontal="center"/>
    </xf>
    <xf numFmtId="0" fontId="58" fillId="0" borderId="0" xfId="0" applyFont="1" applyAlignment="1">
      <alignment horizontal="center"/>
    </xf>
    <xf numFmtId="0" fontId="11" fillId="9" borderId="6" xfId="2" applyFont="1" applyFill="1" applyBorder="1" applyAlignment="1">
      <alignment horizontal="center"/>
    </xf>
    <xf numFmtId="49" fontId="11" fillId="9" borderId="21" xfId="2" applyNumberFormat="1" applyFont="1" applyFill="1" applyBorder="1" applyAlignment="1">
      <alignment horizontal="center"/>
    </xf>
    <xf numFmtId="172" fontId="11" fillId="9" borderId="5" xfId="2" applyNumberFormat="1" applyFont="1" applyFill="1" applyBorder="1" applyAlignment="1">
      <alignment horizontal="center" vertical="center" wrapText="1"/>
    </xf>
    <xf numFmtId="172" fontId="11" fillId="9" borderId="7" xfId="2" applyNumberFormat="1" applyFont="1" applyFill="1" applyBorder="1" applyAlignment="1">
      <alignment horizontal="center" vertical="center" wrapText="1"/>
    </xf>
    <xf numFmtId="172" fontId="11" fillId="9" borderId="7" xfId="2" applyNumberFormat="1" applyFont="1" applyFill="1" applyBorder="1" applyAlignment="1">
      <alignment horizontal="left" vertical="center"/>
    </xf>
    <xf numFmtId="0" fontId="11" fillId="9" borderId="7" xfId="2" applyFont="1" applyFill="1" applyBorder="1"/>
    <xf numFmtId="4" fontId="11" fillId="9" borderId="1" xfId="2" applyNumberFormat="1" applyFont="1" applyFill="1" applyBorder="1"/>
    <xf numFmtId="168" fontId="11" fillId="9" borderId="21" xfId="2" applyNumberFormat="1" applyFont="1" applyFill="1" applyBorder="1" applyAlignment="1">
      <alignment horizontal="center"/>
    </xf>
    <xf numFmtId="172" fontId="11" fillId="9" borderId="6" xfId="0" applyNumberFormat="1" applyFont="1" applyFill="1" applyBorder="1" applyAlignment="1">
      <alignment horizontal="center" vertical="center"/>
    </xf>
    <xf numFmtId="164" fontId="58" fillId="0" borderId="0" xfId="10" applyFont="1"/>
    <xf numFmtId="165" fontId="0" fillId="0" borderId="0" xfId="0" applyNumberFormat="1"/>
    <xf numFmtId="0" fontId="73" fillId="21" borderId="33" xfId="0" applyFont="1" applyFill="1" applyBorder="1" applyAlignment="1">
      <alignment horizontal="center" vertical="center"/>
    </xf>
    <xf numFmtId="0" fontId="73" fillId="21" borderId="36" xfId="0" applyFont="1" applyFill="1" applyBorder="1" applyAlignment="1">
      <alignment horizontal="center" vertical="center"/>
    </xf>
    <xf numFmtId="0" fontId="73" fillId="21" borderId="65" xfId="0" applyFont="1" applyFill="1" applyBorder="1" applyAlignment="1">
      <alignment horizontal="center" vertical="center"/>
    </xf>
    <xf numFmtId="0" fontId="73" fillId="21" borderId="66" xfId="0" applyFont="1" applyFill="1" applyBorder="1" applyAlignment="1">
      <alignment horizontal="center" vertical="center"/>
    </xf>
    <xf numFmtId="0" fontId="73" fillId="21" borderId="0" xfId="0" applyFont="1" applyFill="1" applyAlignment="1">
      <alignment horizontal="center" vertical="center"/>
    </xf>
    <xf numFmtId="164" fontId="73" fillId="17" borderId="8" xfId="10" applyFont="1" applyFill="1" applyBorder="1" applyAlignment="1">
      <alignment horizontal="center" vertical="center"/>
    </xf>
    <xf numFmtId="164" fontId="73" fillId="17" borderId="10" xfId="10" applyFont="1" applyFill="1" applyBorder="1" applyAlignment="1">
      <alignment horizontal="center" vertical="center"/>
    </xf>
    <xf numFmtId="164" fontId="0" fillId="0" borderId="0" xfId="10" applyFont="1"/>
    <xf numFmtId="164" fontId="75" fillId="0" borderId="0" xfId="10" applyFont="1"/>
    <xf numFmtId="165" fontId="4" fillId="0" borderId="0" xfId="0" applyNumberFormat="1" applyFont="1"/>
    <xf numFmtId="0" fontId="4" fillId="0" borderId="0" xfId="0" applyFont="1"/>
    <xf numFmtId="0" fontId="4" fillId="0" borderId="70" xfId="0" applyFont="1" applyBorder="1" applyAlignment="1">
      <alignment horizontal="center" vertical="center"/>
    </xf>
    <xf numFmtId="0" fontId="78" fillId="0" borderId="9" xfId="0" applyFont="1" applyBorder="1"/>
    <xf numFmtId="164" fontId="4" fillId="0" borderId="9" xfId="10" applyFont="1" applyBorder="1"/>
    <xf numFmtId="165" fontId="4" fillId="0" borderId="9" xfId="0" applyNumberFormat="1" applyFont="1" applyBorder="1"/>
    <xf numFmtId="165" fontId="4" fillId="0" borderId="2" xfId="0" applyNumberFormat="1" applyFont="1" applyBorder="1"/>
    <xf numFmtId="165" fontId="4" fillId="9" borderId="71" xfId="0" applyNumberFormat="1" applyFont="1" applyFill="1" applyBorder="1"/>
    <xf numFmtId="165" fontId="0" fillId="2" borderId="0" xfId="0" applyNumberFormat="1" applyFill="1"/>
    <xf numFmtId="164" fontId="0" fillId="2" borderId="0" xfId="10" applyFont="1" applyFill="1"/>
    <xf numFmtId="4" fontId="11" fillId="20" borderId="6" xfId="2" applyNumberFormat="1" applyFont="1" applyFill="1" applyBorder="1"/>
    <xf numFmtId="165" fontId="0" fillId="0" borderId="72" xfId="0" applyNumberFormat="1" applyBorder="1"/>
    <xf numFmtId="164" fontId="0" fillId="0" borderId="72" xfId="10" applyFont="1" applyBorder="1"/>
    <xf numFmtId="4" fontId="0" fillId="0" borderId="0" xfId="0" applyNumberFormat="1"/>
    <xf numFmtId="164" fontId="58" fillId="9" borderId="0" xfId="10" applyFont="1" applyFill="1"/>
    <xf numFmtId="164" fontId="58" fillId="9" borderId="69" xfId="10" applyFont="1" applyFill="1" applyBorder="1"/>
    <xf numFmtId="0" fontId="59" fillId="0" borderId="0" xfId="2" applyFont="1" applyAlignment="1">
      <alignment horizontal="left"/>
    </xf>
    <xf numFmtId="0" fontId="59" fillId="9" borderId="0" xfId="0" applyFont="1" applyFill="1" applyAlignment="1">
      <alignment horizontal="left"/>
    </xf>
    <xf numFmtId="0" fontId="59" fillId="9" borderId="0" xfId="2" applyFont="1" applyFill="1"/>
    <xf numFmtId="0" fontId="59" fillId="9" borderId="1" xfId="2" applyFont="1" applyFill="1" applyBorder="1" applyAlignment="1">
      <alignment horizontal="center"/>
    </xf>
    <xf numFmtId="0" fontId="59" fillId="9" borderId="2" xfId="2" applyFont="1" applyFill="1" applyBorder="1" applyAlignment="1">
      <alignment horizontal="center"/>
    </xf>
    <xf numFmtId="0" fontId="59" fillId="9" borderId="3" xfId="2" applyFont="1" applyFill="1" applyBorder="1" applyAlignment="1">
      <alignment horizontal="center"/>
    </xf>
    <xf numFmtId="0" fontId="59" fillId="9" borderId="6" xfId="2" applyFont="1" applyFill="1" applyBorder="1" applyAlignment="1">
      <alignment horizontal="center"/>
    </xf>
    <xf numFmtId="0" fontId="59" fillId="9" borderId="5" xfId="2" applyFont="1" applyFill="1" applyBorder="1" applyAlignment="1">
      <alignment horizontal="center"/>
    </xf>
    <xf numFmtId="0" fontId="59" fillId="9" borderId="21" xfId="2" applyFont="1" applyFill="1" applyBorder="1" applyAlignment="1">
      <alignment horizontal="center"/>
    </xf>
    <xf numFmtId="0" fontId="59" fillId="9" borderId="0" xfId="2" applyFont="1" applyFill="1" applyAlignment="1">
      <alignment horizontal="center"/>
    </xf>
    <xf numFmtId="0" fontId="59" fillId="9" borderId="6" xfId="2" applyFont="1" applyFill="1" applyBorder="1" applyAlignment="1">
      <alignment horizontal="center" wrapText="1"/>
    </xf>
    <xf numFmtId="0" fontId="59" fillId="9" borderId="0" xfId="2" applyFont="1" applyFill="1" applyAlignment="1">
      <alignment horizontal="center" wrapText="1"/>
    </xf>
    <xf numFmtId="0" fontId="59" fillId="9" borderId="8" xfId="2" applyFont="1" applyFill="1" applyBorder="1" applyAlignment="1">
      <alignment horizontal="center"/>
    </xf>
    <xf numFmtId="0" fontId="59" fillId="9" borderId="10" xfId="2" applyFont="1" applyFill="1" applyBorder="1" applyAlignment="1">
      <alignment horizontal="center"/>
    </xf>
    <xf numFmtId="0" fontId="59" fillId="9" borderId="44" xfId="2" applyFont="1" applyFill="1" applyBorder="1" applyAlignment="1">
      <alignment horizontal="center"/>
    </xf>
    <xf numFmtId="0" fontId="11" fillId="9" borderId="8" xfId="2" applyFont="1" applyFill="1" applyBorder="1" applyAlignment="1">
      <alignment horizontal="center"/>
    </xf>
    <xf numFmtId="4" fontId="59" fillId="9" borderId="23" xfId="2" applyNumberFormat="1" applyFont="1" applyFill="1" applyBorder="1"/>
    <xf numFmtId="4" fontId="59" fillId="9" borderId="17" xfId="2" applyNumberFormat="1" applyFont="1" applyFill="1" applyBorder="1" applyAlignment="1">
      <alignment horizontal="center"/>
    </xf>
    <xf numFmtId="4" fontId="59" fillId="9" borderId="21" xfId="2" applyNumberFormat="1" applyFont="1" applyFill="1" applyBorder="1" applyAlignment="1">
      <alignment horizontal="center"/>
    </xf>
    <xf numFmtId="4" fontId="59" fillId="9" borderId="10" xfId="2" applyNumberFormat="1" applyFont="1" applyFill="1" applyBorder="1" applyAlignment="1">
      <alignment horizontal="center"/>
    </xf>
    <xf numFmtId="0" fontId="0" fillId="9" borderId="1" xfId="0" applyFill="1" applyBorder="1"/>
    <xf numFmtId="0" fontId="4" fillId="9" borderId="8" xfId="0" applyFont="1" applyFill="1" applyBorder="1"/>
    <xf numFmtId="0" fontId="4" fillId="9" borderId="8" xfId="0" applyFont="1" applyFill="1" applyBorder="1" applyAlignment="1">
      <alignment horizontal="center"/>
    </xf>
    <xf numFmtId="0" fontId="4" fillId="9" borderId="6" xfId="0" applyFont="1" applyFill="1" applyBorder="1"/>
    <xf numFmtId="0" fontId="4" fillId="9" borderId="6" xfId="0" applyFont="1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4" fontId="0" fillId="9" borderId="1" xfId="0" applyNumberFormat="1" applyFill="1" applyBorder="1"/>
    <xf numFmtId="4" fontId="0" fillId="9" borderId="6" xfId="0" applyNumberFormat="1" applyFill="1" applyBorder="1"/>
    <xf numFmtId="0" fontId="0" fillId="9" borderId="6" xfId="0" applyFill="1" applyBorder="1"/>
    <xf numFmtId="4" fontId="0" fillId="9" borderId="8" xfId="0" applyNumberFormat="1" applyFill="1" applyBorder="1"/>
    <xf numFmtId="0" fontId="0" fillId="9" borderId="8" xfId="0" applyFill="1" applyBorder="1"/>
    <xf numFmtId="164" fontId="0" fillId="9" borderId="1" xfId="10" applyFont="1" applyFill="1" applyBorder="1"/>
    <xf numFmtId="164" fontId="4" fillId="9" borderId="6" xfId="10" applyFont="1" applyFill="1" applyBorder="1" applyAlignment="1">
      <alignment horizontal="center"/>
    </xf>
    <xf numFmtId="164" fontId="4" fillId="9" borderId="8" xfId="10" applyFont="1" applyFill="1" applyBorder="1" applyAlignment="1">
      <alignment horizontal="center"/>
    </xf>
    <xf numFmtId="164" fontId="0" fillId="9" borderId="6" xfId="10" applyFont="1" applyFill="1" applyBorder="1"/>
    <xf numFmtId="164" fontId="0" fillId="9" borderId="8" xfId="10" applyFont="1" applyFill="1" applyBorder="1"/>
    <xf numFmtId="164" fontId="32" fillId="9" borderId="1" xfId="10" applyFont="1" applyFill="1" applyBorder="1"/>
    <xf numFmtId="164" fontId="32" fillId="9" borderId="6" xfId="10" applyFont="1" applyFill="1" applyBorder="1"/>
    <xf numFmtId="172" fontId="11" fillId="9" borderId="1" xfId="0" applyNumberFormat="1" applyFont="1" applyFill="1" applyBorder="1" applyAlignment="1">
      <alignment horizontal="center" vertical="center"/>
    </xf>
    <xf numFmtId="172" fontId="11" fillId="9" borderId="6" xfId="0" applyNumberFormat="1" applyFont="1" applyFill="1" applyBorder="1" applyAlignment="1">
      <alignment horizontal="center" vertical="center" wrapText="1"/>
    </xf>
    <xf numFmtId="4" fontId="11" fillId="20" borderId="7" xfId="2" applyNumberFormat="1" applyFont="1" applyFill="1" applyBorder="1"/>
    <xf numFmtId="164" fontId="0" fillId="9" borderId="0" xfId="0" applyNumberFormat="1" applyFill="1"/>
    <xf numFmtId="4" fontId="59" fillId="0" borderId="69" xfId="0" applyNumberFormat="1" applyFont="1" applyBorder="1"/>
    <xf numFmtId="0" fontId="59" fillId="0" borderId="0" xfId="0" applyFont="1"/>
    <xf numFmtId="164" fontId="59" fillId="0" borderId="0" xfId="0" applyNumberFormat="1" applyFont="1"/>
    <xf numFmtId="164" fontId="59" fillId="0" borderId="0" xfId="10" applyFont="1" applyFill="1"/>
    <xf numFmtId="164" fontId="59" fillId="0" borderId="69" xfId="10" applyFont="1" applyFill="1" applyBorder="1"/>
    <xf numFmtId="164" fontId="11" fillId="0" borderId="6" xfId="10" applyFont="1" applyFill="1" applyBorder="1"/>
    <xf numFmtId="0" fontId="60" fillId="0" borderId="0" xfId="0" applyFont="1" applyAlignment="1">
      <alignment horizontal="center"/>
    </xf>
    <xf numFmtId="4" fontId="60" fillId="0" borderId="0" xfId="0" applyNumberFormat="1" applyFont="1"/>
    <xf numFmtId="4" fontId="59" fillId="0" borderId="24" xfId="2" applyNumberFormat="1" applyFont="1" applyBorder="1" applyAlignment="1">
      <alignment horizontal="center"/>
    </xf>
    <xf numFmtId="0" fontId="65" fillId="0" borderId="0" xfId="0" applyFont="1" applyAlignment="1">
      <alignment vertical="center" wrapText="1"/>
    </xf>
    <xf numFmtId="164" fontId="11" fillId="0" borderId="0" xfId="10" applyFont="1" applyFill="1"/>
    <xf numFmtId="0" fontId="11" fillId="0" borderId="0" xfId="0" applyFont="1"/>
    <xf numFmtId="0" fontId="11" fillId="0" borderId="69" xfId="0" applyFont="1" applyBorder="1"/>
    <xf numFmtId="164" fontId="11" fillId="0" borderId="69" xfId="10" applyFont="1" applyFill="1" applyBorder="1"/>
    <xf numFmtId="0" fontId="0" fillId="0" borderId="0" xfId="0" applyAlignment="1">
      <alignment wrapText="1"/>
    </xf>
    <xf numFmtId="0" fontId="70" fillId="9" borderId="9" xfId="0" applyFont="1" applyFill="1" applyBorder="1"/>
    <xf numFmtId="0" fontId="70" fillId="9" borderId="6" xfId="0" applyFont="1" applyFill="1" applyBorder="1"/>
    <xf numFmtId="0" fontId="68" fillId="0" borderId="6" xfId="0" applyFont="1" applyBorder="1"/>
    <xf numFmtId="4" fontId="60" fillId="0" borderId="69" xfId="0" applyNumberFormat="1" applyFont="1" applyBorder="1"/>
    <xf numFmtId="165" fontId="4" fillId="20" borderId="9" xfId="0" applyNumberFormat="1" applyFont="1" applyFill="1" applyBorder="1"/>
    <xf numFmtId="164" fontId="11" fillId="0" borderId="21" xfId="10" applyFont="1" applyFill="1" applyBorder="1"/>
    <xf numFmtId="164" fontId="11" fillId="0" borderId="9" xfId="3" applyFont="1" applyBorder="1" applyAlignment="1">
      <alignment vertical="center"/>
    </xf>
    <xf numFmtId="164" fontId="11" fillId="0" borderId="0" xfId="3" applyFont="1"/>
    <xf numFmtId="0" fontId="11" fillId="0" borderId="0" xfId="15" applyFont="1"/>
    <xf numFmtId="0" fontId="11" fillId="0" borderId="0" xfId="15" applyFont="1" applyAlignment="1">
      <alignment horizontal="center"/>
    </xf>
    <xf numFmtId="164" fontId="11" fillId="23" borderId="66" xfId="3" applyFont="1" applyFill="1" applyBorder="1" applyAlignment="1">
      <alignment horizontal="center" vertical="center"/>
    </xf>
    <xf numFmtId="164" fontId="11" fillId="24" borderId="9" xfId="3" applyFont="1" applyFill="1" applyBorder="1"/>
    <xf numFmtId="164" fontId="11" fillId="0" borderId="9" xfId="15" applyNumberFormat="1" applyFont="1" applyBorder="1"/>
    <xf numFmtId="164" fontId="11" fillId="0" borderId="0" xfId="15" applyNumberFormat="1" applyFont="1"/>
    <xf numFmtId="0" fontId="11" fillId="0" borderId="9" xfId="15" applyFont="1" applyBorder="1"/>
    <xf numFmtId="3" fontId="11" fillId="0" borderId="9" xfId="3" applyNumberFormat="1" applyFont="1" applyBorder="1" applyAlignment="1">
      <alignment horizontal="center" vertical="center"/>
    </xf>
    <xf numFmtId="164" fontId="11" fillId="23" borderId="36" xfId="3" applyFont="1" applyFill="1" applyBorder="1" applyAlignment="1">
      <alignment horizontal="center" vertical="center"/>
    </xf>
    <xf numFmtId="0" fontId="59" fillId="0" borderId="33" xfId="15" applyFont="1" applyBorder="1" applyAlignment="1">
      <alignment horizontal="center"/>
    </xf>
    <xf numFmtId="0" fontId="59" fillId="0" borderId="36" xfId="15" applyFont="1" applyBorder="1" applyAlignment="1">
      <alignment horizontal="center"/>
    </xf>
    <xf numFmtId="164" fontId="59" fillId="0" borderId="33" xfId="3" applyFont="1" applyBorder="1" applyAlignment="1">
      <alignment horizontal="center" vertical="center"/>
    </xf>
    <xf numFmtId="164" fontId="59" fillId="0" borderId="36" xfId="3" applyFont="1" applyBorder="1" applyAlignment="1">
      <alignment horizontal="center" vertical="center"/>
    </xf>
    <xf numFmtId="0" fontId="59" fillId="0" borderId="60" xfId="15" applyFont="1" applyBorder="1"/>
    <xf numFmtId="0" fontId="59" fillId="0" borderId="65" xfId="15" applyFont="1" applyBorder="1" applyAlignment="1">
      <alignment horizontal="center"/>
    </xf>
    <xf numFmtId="0" fontId="59" fillId="0" borderId="66" xfId="15" applyFont="1" applyBorder="1" applyAlignment="1">
      <alignment horizontal="center" vertical="center" wrapText="1"/>
    </xf>
    <xf numFmtId="164" fontId="59" fillId="0" borderId="60" xfId="3" applyFont="1" applyBorder="1" applyAlignment="1">
      <alignment horizontal="center" vertical="center"/>
    </xf>
    <xf numFmtId="164" fontId="59" fillId="0" borderId="67" xfId="3" applyFont="1" applyBorder="1" applyAlignment="1">
      <alignment horizontal="center" vertical="center"/>
    </xf>
    <xf numFmtId="0" fontId="59" fillId="0" borderId="66" xfId="15" applyFont="1" applyBorder="1" applyAlignment="1">
      <alignment horizontal="center"/>
    </xf>
    <xf numFmtId="164" fontId="11" fillId="9" borderId="9" xfId="3" applyFont="1" applyFill="1" applyBorder="1"/>
    <xf numFmtId="164" fontId="8" fillId="25" borderId="6" xfId="10" applyFont="1" applyFill="1" applyBorder="1"/>
    <xf numFmtId="164" fontId="8" fillId="25" borderId="7" xfId="10" applyFont="1" applyFill="1" applyBorder="1"/>
    <xf numFmtId="0" fontId="58" fillId="0" borderId="44" xfId="0" applyFont="1" applyBorder="1"/>
    <xf numFmtId="164" fontId="58" fillId="0" borderId="0" xfId="0" applyNumberFormat="1" applyFont="1"/>
    <xf numFmtId="0" fontId="82" fillId="26" borderId="0" xfId="0" applyFont="1" applyFill="1" applyAlignment="1">
      <alignment horizontal="center"/>
    </xf>
    <xf numFmtId="0" fontId="82" fillId="0" borderId="0" xfId="0" applyFont="1"/>
    <xf numFmtId="0" fontId="82" fillId="26" borderId="0" xfId="0" applyFont="1" applyFill="1"/>
    <xf numFmtId="14" fontId="82" fillId="26" borderId="3" xfId="0" applyNumberFormat="1" applyFont="1" applyFill="1" applyBorder="1"/>
    <xf numFmtId="14" fontId="82" fillId="26" borderId="0" xfId="0" applyNumberFormat="1" applyFont="1" applyFill="1"/>
    <xf numFmtId="0" fontId="82" fillId="26" borderId="3" xfId="0" applyFont="1" applyFill="1" applyBorder="1"/>
    <xf numFmtId="0" fontId="83" fillId="26" borderId="76" xfId="0" applyFont="1" applyFill="1" applyBorder="1" applyAlignment="1">
      <alignment vertical="center"/>
    </xf>
    <xf numFmtId="0" fontId="82" fillId="28" borderId="77" xfId="0" applyFont="1" applyFill="1" applyBorder="1" applyAlignment="1">
      <alignment vertical="center"/>
    </xf>
    <xf numFmtId="0" fontId="83" fillId="26" borderId="78" xfId="0" applyFont="1" applyFill="1" applyBorder="1" applyAlignment="1">
      <alignment vertical="center"/>
    </xf>
    <xf numFmtId="0" fontId="82" fillId="28" borderId="79" xfId="0" applyFont="1" applyFill="1" applyBorder="1" applyAlignment="1">
      <alignment vertical="center"/>
    </xf>
    <xf numFmtId="174" fontId="16" fillId="0" borderId="9" xfId="0" applyNumberFormat="1" applyFont="1" applyBorder="1" applyAlignment="1">
      <alignment horizontal="center" vertical="center"/>
    </xf>
    <xf numFmtId="0" fontId="83" fillId="26" borderId="80" xfId="0" applyFont="1" applyFill="1" applyBorder="1" applyAlignment="1">
      <alignment vertical="center"/>
    </xf>
    <xf numFmtId="0" fontId="82" fillId="28" borderId="81" xfId="0" applyFont="1" applyFill="1" applyBorder="1" applyAlignment="1">
      <alignment vertical="center"/>
    </xf>
    <xf numFmtId="0" fontId="83" fillId="26" borderId="82" xfId="0" applyFont="1" applyFill="1" applyBorder="1" applyAlignment="1">
      <alignment vertical="center"/>
    </xf>
    <xf numFmtId="0" fontId="82" fillId="28" borderId="83" xfId="0" applyFont="1" applyFill="1" applyBorder="1"/>
    <xf numFmtId="0" fontId="83" fillId="26" borderId="0" xfId="0" applyFont="1" applyFill="1" applyAlignment="1">
      <alignment vertical="center"/>
    </xf>
    <xf numFmtId="0" fontId="82" fillId="28" borderId="0" xfId="0" applyFont="1" applyFill="1"/>
    <xf numFmtId="0" fontId="82" fillId="26" borderId="9" xfId="0" applyFont="1" applyFill="1" applyBorder="1"/>
    <xf numFmtId="0" fontId="82" fillId="29" borderId="9" xfId="0" applyFont="1" applyFill="1" applyBorder="1"/>
    <xf numFmtId="175" fontId="84" fillId="26" borderId="79" xfId="0" applyNumberFormat="1" applyFont="1" applyFill="1" applyBorder="1" applyAlignment="1">
      <alignment horizontal="right"/>
    </xf>
    <xf numFmtId="174" fontId="85" fillId="0" borderId="9" xfId="0" applyNumberFormat="1" applyFont="1" applyBorder="1" applyAlignment="1">
      <alignment horizontal="center" vertical="center"/>
    </xf>
    <xf numFmtId="175" fontId="82" fillId="0" borderId="0" xfId="0" applyNumberFormat="1" applyFont="1"/>
    <xf numFmtId="0" fontId="83" fillId="26" borderId="79" xfId="0" applyFont="1" applyFill="1" applyBorder="1"/>
    <xf numFmtId="0" fontId="82" fillId="26" borderId="79" xfId="0" applyFont="1" applyFill="1" applyBorder="1" applyAlignment="1">
      <alignment horizontal="right"/>
    </xf>
    <xf numFmtId="175" fontId="82" fillId="26" borderId="79" xfId="0" applyNumberFormat="1" applyFont="1" applyFill="1" applyBorder="1" applyAlignment="1">
      <alignment horizontal="right"/>
    </xf>
    <xf numFmtId="175" fontId="86" fillId="26" borderId="79" xfId="0" applyNumberFormat="1" applyFont="1" applyFill="1" applyBorder="1" applyAlignment="1">
      <alignment horizontal="right"/>
    </xf>
    <xf numFmtId="175" fontId="86" fillId="26" borderId="0" xfId="0" applyNumberFormat="1" applyFont="1" applyFill="1" applyAlignment="1">
      <alignment horizontal="right"/>
    </xf>
    <xf numFmtId="175" fontId="82" fillId="30" borderId="0" xfId="0" applyNumberFormat="1" applyFont="1" applyFill="1" applyAlignment="1">
      <alignment horizontal="right"/>
    </xf>
    <xf numFmtId="176" fontId="84" fillId="31" borderId="79" xfId="0" applyNumberFormat="1" applyFont="1" applyFill="1" applyBorder="1"/>
    <xf numFmtId="176" fontId="84" fillId="31" borderId="83" xfId="0" applyNumberFormat="1" applyFont="1" applyFill="1" applyBorder="1"/>
    <xf numFmtId="175" fontId="84" fillId="32" borderId="79" xfId="0" applyNumberFormat="1" applyFont="1" applyFill="1" applyBorder="1" applyAlignment="1">
      <alignment horizontal="right"/>
    </xf>
    <xf numFmtId="176" fontId="84" fillId="35" borderId="79" xfId="0" applyNumberFormat="1" applyFont="1" applyFill="1" applyBorder="1"/>
    <xf numFmtId="0" fontId="83" fillId="26" borderId="77" xfId="0" applyFont="1" applyFill="1" applyBorder="1"/>
    <xf numFmtId="176" fontId="84" fillId="31" borderId="77" xfId="0" applyNumberFormat="1" applyFont="1" applyFill="1" applyBorder="1"/>
    <xf numFmtId="0" fontId="83" fillId="26" borderId="9" xfId="0" applyFont="1" applyFill="1" applyBorder="1"/>
    <xf numFmtId="176" fontId="84" fillId="31" borderId="9" xfId="0" applyNumberFormat="1" applyFont="1" applyFill="1" applyBorder="1"/>
    <xf numFmtId="176" fontId="84" fillId="35" borderId="77" xfId="0" applyNumberFormat="1" applyFont="1" applyFill="1" applyBorder="1"/>
    <xf numFmtId="0" fontId="83" fillId="30" borderId="0" xfId="0" applyFont="1" applyFill="1"/>
    <xf numFmtId="176" fontId="84" fillId="30" borderId="0" xfId="0" applyNumberFormat="1" applyFont="1" applyFill="1"/>
    <xf numFmtId="175" fontId="84" fillId="30" borderId="0" xfId="0" applyNumberFormat="1" applyFont="1" applyFill="1" applyAlignment="1">
      <alignment horizontal="right"/>
    </xf>
    <xf numFmtId="175" fontId="87" fillId="33" borderId="0" xfId="0" applyNumberFormat="1" applyFont="1" applyFill="1" applyAlignment="1">
      <alignment horizontal="center"/>
    </xf>
    <xf numFmtId="176" fontId="84" fillId="30" borderId="9" xfId="0" applyNumberFormat="1" applyFont="1" applyFill="1" applyBorder="1"/>
    <xf numFmtId="0" fontId="82" fillId="9" borderId="0" xfId="0" applyFont="1" applyFill="1"/>
    <xf numFmtId="0" fontId="82" fillId="0" borderId="9" xfId="0" applyFont="1" applyBorder="1"/>
    <xf numFmtId="176" fontId="84" fillId="36" borderId="9" xfId="0" applyNumberFormat="1" applyFont="1" applyFill="1" applyBorder="1"/>
    <xf numFmtId="164" fontId="82" fillId="0" borderId="0" xfId="10" applyFont="1"/>
    <xf numFmtId="164" fontId="82" fillId="0" borderId="44" xfId="10" applyFont="1" applyBorder="1"/>
    <xf numFmtId="164" fontId="82" fillId="0" borderId="69" xfId="0" applyNumberFormat="1" applyFont="1" applyBorder="1"/>
    <xf numFmtId="164" fontId="59" fillId="0" borderId="0" xfId="10" applyFont="1"/>
    <xf numFmtId="0" fontId="80" fillId="0" borderId="0" xfId="0" applyFont="1"/>
    <xf numFmtId="164" fontId="11" fillId="0" borderId="6" xfId="10" applyFont="1" applyFill="1" applyBorder="1" applyAlignment="1">
      <alignment horizontal="center"/>
    </xf>
    <xf numFmtId="164" fontId="11" fillId="0" borderId="0" xfId="10" applyFont="1"/>
    <xf numFmtId="164" fontId="11" fillId="0" borderId="0" xfId="10" applyFont="1" applyBorder="1"/>
    <xf numFmtId="0" fontId="65" fillId="0" borderId="0" xfId="0" applyFont="1" applyAlignment="1">
      <alignment vertical="center"/>
    </xf>
    <xf numFmtId="0" fontId="88" fillId="9" borderId="0" xfId="0" applyFont="1" applyFill="1" applyAlignment="1">
      <alignment vertical="center"/>
    </xf>
    <xf numFmtId="168" fontId="59" fillId="9" borderId="0" xfId="0" applyNumberFormat="1" applyFont="1" applyFill="1" applyAlignment="1">
      <alignment horizontal="center" vertical="center"/>
    </xf>
    <xf numFmtId="172" fontId="59" fillId="9" borderId="0" xfId="0" applyNumberFormat="1" applyFont="1" applyFill="1" applyAlignment="1">
      <alignment horizontal="center" vertical="center"/>
    </xf>
    <xf numFmtId="0" fontId="59" fillId="9" borderId="0" xfId="0" applyFont="1" applyFill="1" applyAlignment="1">
      <alignment horizontal="center" vertical="center"/>
    </xf>
    <xf numFmtId="0" fontId="59" fillId="9" borderId="0" xfId="0" applyFont="1" applyFill="1" applyAlignment="1">
      <alignment vertical="center"/>
    </xf>
    <xf numFmtId="173" fontId="59" fillId="9" borderId="0" xfId="0" applyNumberFormat="1" applyFont="1" applyFill="1" applyAlignment="1">
      <alignment horizontal="center" vertical="center"/>
    </xf>
    <xf numFmtId="173" fontId="59" fillId="9" borderId="0" xfId="0" applyNumberFormat="1" applyFont="1" applyFill="1" applyAlignment="1">
      <alignment horizontal="left" vertical="center"/>
    </xf>
    <xf numFmtId="0" fontId="59" fillId="9" borderId="39" xfId="0" applyFont="1" applyFill="1" applyBorder="1" applyAlignment="1">
      <alignment vertical="center"/>
    </xf>
    <xf numFmtId="173" fontId="59" fillId="9" borderId="39" xfId="0" applyNumberFormat="1" applyFont="1" applyFill="1" applyBorder="1" applyAlignment="1">
      <alignment horizontal="center" vertical="center"/>
    </xf>
    <xf numFmtId="172" fontId="59" fillId="9" borderId="39" xfId="0" applyNumberFormat="1" applyFont="1" applyFill="1" applyBorder="1" applyAlignment="1">
      <alignment horizontal="left" vertical="center"/>
    </xf>
    <xf numFmtId="0" fontId="59" fillId="9" borderId="39" xfId="0" applyFont="1" applyFill="1" applyBorder="1" applyAlignment="1">
      <alignment horizontal="center" vertical="center"/>
    </xf>
    <xf numFmtId="0" fontId="11" fillId="9" borderId="66" xfId="0" applyFont="1" applyFill="1" applyBorder="1" applyAlignment="1">
      <alignment horizontal="center" vertical="center" wrapText="1"/>
    </xf>
    <xf numFmtId="168" fontId="59" fillId="9" borderId="20" xfId="0" applyNumberFormat="1" applyFont="1" applyFill="1" applyBorder="1" applyAlignment="1">
      <alignment horizontal="center" vertical="center" wrapText="1"/>
    </xf>
    <xf numFmtId="0" fontId="59" fillId="9" borderId="20" xfId="0" applyFont="1" applyFill="1" applyBorder="1" applyAlignment="1">
      <alignment horizontal="center" vertical="center"/>
    </xf>
    <xf numFmtId="172" fontId="59" fillId="9" borderId="20" xfId="0" applyNumberFormat="1" applyFont="1" applyFill="1" applyBorder="1" applyAlignment="1">
      <alignment horizontal="center" vertical="center" wrapText="1"/>
    </xf>
    <xf numFmtId="0" fontId="59" fillId="9" borderId="20" xfId="0" applyFont="1" applyFill="1" applyBorder="1" applyAlignment="1">
      <alignment horizontal="center" vertical="center" wrapText="1"/>
    </xf>
    <xf numFmtId="0" fontId="11" fillId="9" borderId="37" xfId="0" applyFont="1" applyFill="1" applyBorder="1" applyAlignment="1">
      <alignment horizontal="center" vertical="center" wrapText="1"/>
    </xf>
    <xf numFmtId="0" fontId="11" fillId="9" borderId="66" xfId="0" applyFont="1" applyFill="1" applyBorder="1"/>
    <xf numFmtId="168" fontId="11" fillId="9" borderId="66" xfId="0" applyNumberFormat="1" applyFont="1" applyFill="1" applyBorder="1" applyAlignment="1">
      <alignment horizontal="center" vertical="center" wrapText="1"/>
    </xf>
    <xf numFmtId="172" fontId="11" fillId="9" borderId="66" xfId="0" applyNumberFormat="1" applyFont="1" applyFill="1" applyBorder="1" applyAlignment="1">
      <alignment horizontal="center" vertical="center"/>
    </xf>
    <xf numFmtId="172" fontId="11" fillId="9" borderId="66" xfId="2" applyNumberFormat="1" applyFont="1" applyFill="1" applyBorder="1" applyAlignment="1">
      <alignment horizontal="center" vertical="center" wrapText="1"/>
    </xf>
    <xf numFmtId="4" fontId="11" fillId="9" borderId="66" xfId="2" applyNumberFormat="1" applyFont="1" applyFill="1" applyBorder="1" applyAlignment="1">
      <alignment horizontal="center" vertical="center" wrapText="1"/>
    </xf>
    <xf numFmtId="0" fontId="11" fillId="0" borderId="37" xfId="0" applyFont="1" applyBorder="1"/>
    <xf numFmtId="0" fontId="11" fillId="0" borderId="37" xfId="0" applyFont="1" applyBorder="1" applyAlignment="1">
      <alignment horizontal="center" vertical="center"/>
    </xf>
    <xf numFmtId="172" fontId="11" fillId="9" borderId="37" xfId="0" applyNumberFormat="1" applyFont="1" applyFill="1" applyBorder="1" applyAlignment="1">
      <alignment horizontal="center" vertical="center"/>
    </xf>
    <xf numFmtId="172" fontId="11" fillId="9" borderId="37" xfId="2" applyNumberFormat="1" applyFont="1" applyFill="1" applyBorder="1" applyAlignment="1">
      <alignment horizontal="center" vertical="center" wrapText="1"/>
    </xf>
    <xf numFmtId="4" fontId="11" fillId="9" borderId="37" xfId="2" applyNumberFormat="1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9" borderId="0" xfId="0" applyFont="1" applyFill="1"/>
    <xf numFmtId="168" fontId="11" fillId="9" borderId="0" xfId="0" applyNumberFormat="1" applyFont="1" applyFill="1" applyAlignment="1">
      <alignment horizontal="center" vertical="center" wrapText="1"/>
    </xf>
    <xf numFmtId="172" fontId="11" fillId="9" borderId="0" xfId="0" applyNumberFormat="1" applyFont="1" applyFill="1" applyAlignment="1">
      <alignment horizontal="center" vertical="center"/>
    </xf>
    <xf numFmtId="172" fontId="11" fillId="9" borderId="0" xfId="2" applyNumberFormat="1" applyFont="1" applyFill="1" applyAlignment="1">
      <alignment horizontal="center" vertical="center" wrapText="1"/>
    </xf>
    <xf numFmtId="49" fontId="59" fillId="9" borderId="0" xfId="0" applyNumberFormat="1" applyFont="1" applyFill="1" applyAlignment="1">
      <alignment horizontal="center" vertical="center"/>
    </xf>
    <xf numFmtId="164" fontId="11" fillId="9" borderId="0" xfId="10" applyFont="1" applyFill="1"/>
    <xf numFmtId="172" fontId="81" fillId="9" borderId="0" xfId="0" applyNumberFormat="1" applyFont="1" applyFill="1" applyAlignment="1">
      <alignment horizontal="center" vertical="center"/>
    </xf>
    <xf numFmtId="0" fontId="11" fillId="9" borderId="40" xfId="0" applyFont="1" applyFill="1" applyBorder="1"/>
    <xf numFmtId="0" fontId="11" fillId="9" borderId="65" xfId="0" applyFont="1" applyFill="1" applyBorder="1"/>
    <xf numFmtId="168" fontId="11" fillId="9" borderId="36" xfId="0" applyNumberFormat="1" applyFont="1" applyFill="1" applyBorder="1" applyAlignment="1">
      <alignment horizontal="center" vertical="center" wrapText="1"/>
    </xf>
    <xf numFmtId="172" fontId="11" fillId="9" borderId="67" xfId="0" applyNumberFormat="1" applyFont="1" applyFill="1" applyBorder="1" applyAlignment="1">
      <alignment horizontal="center" vertical="center"/>
    </xf>
    <xf numFmtId="0" fontId="11" fillId="9" borderId="21" xfId="0" applyFont="1" applyFill="1" applyBorder="1"/>
    <xf numFmtId="0" fontId="11" fillId="9" borderId="66" xfId="0" applyFont="1" applyFill="1" applyBorder="1" applyAlignment="1">
      <alignment horizontal="center" vertical="center"/>
    </xf>
    <xf numFmtId="172" fontId="11" fillId="9" borderId="7" xfId="0" applyNumberFormat="1" applyFont="1" applyFill="1" applyBorder="1" applyAlignment="1">
      <alignment horizontal="center" vertical="center"/>
    </xf>
    <xf numFmtId="0" fontId="11" fillId="9" borderId="10" xfId="0" applyFont="1" applyFill="1" applyBorder="1"/>
    <xf numFmtId="0" fontId="11" fillId="9" borderId="68" xfId="0" applyFont="1" applyFill="1" applyBorder="1" applyAlignment="1">
      <alignment horizontal="center" vertical="center"/>
    </xf>
    <xf numFmtId="172" fontId="11" fillId="9" borderId="11" xfId="0" applyNumberFormat="1" applyFont="1" applyFill="1" applyBorder="1" applyAlignment="1">
      <alignment horizontal="center" vertical="center"/>
    </xf>
    <xf numFmtId="0" fontId="58" fillId="9" borderId="33" xfId="0" applyFont="1" applyFill="1" applyBorder="1"/>
    <xf numFmtId="0" fontId="58" fillId="9" borderId="65" xfId="0" applyFont="1" applyFill="1" applyBorder="1"/>
    <xf numFmtId="9" fontId="58" fillId="9" borderId="22" xfId="1" applyFont="1" applyFill="1" applyBorder="1" applyAlignment="1">
      <alignment horizontal="center"/>
    </xf>
    <xf numFmtId="9" fontId="58" fillId="9" borderId="23" xfId="1" applyFont="1" applyFill="1" applyBorder="1" applyAlignment="1">
      <alignment horizontal="center"/>
    </xf>
    <xf numFmtId="9" fontId="58" fillId="9" borderId="20" xfId="0" applyNumberFormat="1" applyFont="1" applyFill="1" applyBorder="1"/>
    <xf numFmtId="164" fontId="58" fillId="9" borderId="66" xfId="10" applyFont="1" applyFill="1" applyBorder="1"/>
    <xf numFmtId="165" fontId="58" fillId="9" borderId="0" xfId="0" applyNumberFormat="1" applyFont="1" applyFill="1"/>
    <xf numFmtId="0" fontId="58" fillId="9" borderId="66" xfId="0" applyFont="1" applyFill="1" applyBorder="1"/>
    <xf numFmtId="164" fontId="58" fillId="9" borderId="37" xfId="10" applyFont="1" applyFill="1" applyBorder="1"/>
    <xf numFmtId="164" fontId="60" fillId="9" borderId="44" xfId="10" applyFont="1" applyFill="1" applyBorder="1"/>
    <xf numFmtId="164" fontId="60" fillId="9" borderId="3" xfId="10" applyFont="1" applyFill="1" applyBorder="1"/>
    <xf numFmtId="164" fontId="58" fillId="2" borderId="66" xfId="10" applyFont="1" applyFill="1" applyBorder="1"/>
    <xf numFmtId="9" fontId="58" fillId="9" borderId="20" xfId="0" applyNumberFormat="1" applyFont="1" applyFill="1" applyBorder="1" applyAlignment="1">
      <alignment wrapText="1"/>
    </xf>
    <xf numFmtId="175" fontId="84" fillId="37" borderId="79" xfId="0" applyNumberFormat="1" applyFont="1" applyFill="1" applyBorder="1" applyAlignment="1">
      <alignment horizontal="right"/>
    </xf>
    <xf numFmtId="165" fontId="4" fillId="8" borderId="2" xfId="0" applyNumberFormat="1" applyFont="1" applyFill="1" applyBorder="1"/>
    <xf numFmtId="164" fontId="73" fillId="8" borderId="0" xfId="10" applyFont="1" applyFill="1"/>
    <xf numFmtId="164" fontId="76" fillId="8" borderId="0" xfId="10" applyFont="1" applyFill="1"/>
    <xf numFmtId="164" fontId="4" fillId="8" borderId="9" xfId="10" applyFont="1" applyFill="1" applyBorder="1"/>
    <xf numFmtId="164" fontId="11" fillId="0" borderId="9" xfId="3" applyFont="1" applyFill="1" applyBorder="1"/>
    <xf numFmtId="0" fontId="90" fillId="0" borderId="33" xfId="15" applyFont="1" applyBorder="1"/>
    <xf numFmtId="0" fontId="90" fillId="0" borderId="65" xfId="15" applyFont="1" applyBorder="1" applyAlignment="1">
      <alignment horizontal="center" vertical="center" wrapText="1"/>
    </xf>
    <xf numFmtId="170" fontId="89" fillId="9" borderId="9" xfId="3" applyNumberFormat="1" applyFont="1" applyFill="1" applyBorder="1"/>
    <xf numFmtId="0" fontId="89" fillId="0" borderId="0" xfId="15" applyFont="1"/>
    <xf numFmtId="0" fontId="58" fillId="0" borderId="9" xfId="0" applyFont="1" applyBorder="1"/>
    <xf numFmtId="0" fontId="89" fillId="0" borderId="0" xfId="0" applyFont="1"/>
    <xf numFmtId="164" fontId="0" fillId="0" borderId="0" xfId="0" applyNumberFormat="1"/>
    <xf numFmtId="164" fontId="4" fillId="9" borderId="6" xfId="10" applyFont="1" applyFill="1" applyBorder="1"/>
    <xf numFmtId="164" fontId="8" fillId="0" borderId="6" xfId="10" applyFont="1" applyFill="1" applyBorder="1"/>
    <xf numFmtId="164" fontId="70" fillId="9" borderId="1" xfId="10" applyFont="1" applyFill="1" applyBorder="1"/>
    <xf numFmtId="164" fontId="68" fillId="9" borderId="0" xfId="0" applyNumberFormat="1" applyFont="1" applyFill="1"/>
    <xf numFmtId="164" fontId="11" fillId="0" borderId="9" xfId="3" applyFont="1" applyFill="1" applyBorder="1" applyAlignment="1">
      <alignment vertical="center"/>
    </xf>
    <xf numFmtId="12" fontId="58" fillId="0" borderId="0" xfId="10" applyNumberFormat="1" applyFont="1"/>
    <xf numFmtId="12" fontId="58" fillId="0" borderId="0" xfId="0" applyNumberFormat="1" applyFont="1"/>
    <xf numFmtId="164" fontId="58" fillId="9" borderId="0" xfId="0" applyNumberFormat="1" applyFont="1" applyFill="1"/>
    <xf numFmtId="164" fontId="60" fillId="0" borderId="0" xfId="10" applyFont="1" applyBorder="1"/>
    <xf numFmtId="164" fontId="60" fillId="0" borderId="0" xfId="0" applyNumberFormat="1" applyFont="1"/>
    <xf numFmtId="164" fontId="58" fillId="0" borderId="6" xfId="10" applyFont="1" applyFill="1" applyBorder="1"/>
    <xf numFmtId="164" fontId="58" fillId="0" borderId="21" xfId="10" applyFont="1" applyFill="1" applyBorder="1"/>
    <xf numFmtId="0" fontId="11" fillId="0" borderId="9" xfId="2" applyFont="1" applyBorder="1"/>
    <xf numFmtId="172" fontId="11" fillId="0" borderId="0" xfId="2" applyNumberFormat="1" applyFont="1" applyAlignment="1">
      <alignment horizontal="left" vertical="center"/>
    </xf>
    <xf numFmtId="164" fontId="11" fillId="0" borderId="0" xfId="10" applyFont="1" applyFill="1" applyBorder="1"/>
    <xf numFmtId="164" fontId="59" fillId="0" borderId="0" xfId="10" applyFont="1" applyFill="1" applyBorder="1"/>
    <xf numFmtId="9" fontId="11" fillId="0" borderId="0" xfId="2" applyNumberFormat="1" applyFont="1" applyAlignment="1">
      <alignment horizontal="center"/>
    </xf>
    <xf numFmtId="164" fontId="11" fillId="0" borderId="0" xfId="10" applyFont="1" applyFill="1" applyBorder="1" applyAlignment="1">
      <alignment horizontal="center"/>
    </xf>
    <xf numFmtId="4" fontId="59" fillId="0" borderId="69" xfId="2" applyNumberFormat="1" applyFont="1" applyBorder="1"/>
    <xf numFmtId="168" fontId="11" fillId="0" borderId="0" xfId="2" applyNumberFormat="1" applyFont="1" applyAlignment="1">
      <alignment horizontal="center"/>
    </xf>
    <xf numFmtId="172" fontId="11" fillId="0" borderId="0" xfId="0" applyNumberFormat="1" applyFont="1" applyAlignment="1">
      <alignment horizontal="center" vertical="center"/>
    </xf>
    <xf numFmtId="172" fontId="11" fillId="0" borderId="0" xfId="2" applyNumberFormat="1" applyFont="1" applyAlignment="1">
      <alignment horizontal="center" vertical="center" wrapText="1"/>
    </xf>
    <xf numFmtId="4" fontId="59" fillId="38" borderId="1" xfId="2" applyNumberFormat="1" applyFont="1" applyFill="1" applyBorder="1" applyAlignment="1">
      <alignment horizontal="center"/>
    </xf>
    <xf numFmtId="4" fontId="59" fillId="38" borderId="6" xfId="2" applyNumberFormat="1" applyFont="1" applyFill="1" applyBorder="1" applyAlignment="1">
      <alignment horizontal="center" wrapText="1"/>
    </xf>
    <xf numFmtId="4" fontId="59" fillId="38" borderId="8" xfId="2" applyNumberFormat="1" applyFont="1" applyFill="1" applyBorder="1" applyAlignment="1">
      <alignment horizontal="center"/>
    </xf>
    <xf numFmtId="0" fontId="98" fillId="5" borderId="92" xfId="0" applyFont="1" applyFill="1" applyBorder="1" applyAlignment="1">
      <alignment horizontal="center" vertical="center" wrapText="1"/>
    </xf>
    <xf numFmtId="0" fontId="98" fillId="5" borderId="92" xfId="0" applyFont="1" applyFill="1" applyBorder="1" applyAlignment="1">
      <alignment horizontal="right" vertical="center" wrapText="1"/>
    </xf>
    <xf numFmtId="0" fontId="92" fillId="0" borderId="0" xfId="0" applyFont="1" applyAlignment="1">
      <alignment horizontal="center" vertical="center" wrapText="1"/>
    </xf>
    <xf numFmtId="0" fontId="91" fillId="5" borderId="0" xfId="0" applyFont="1" applyFill="1" applyAlignment="1">
      <alignment horizontal="right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95" fillId="40" borderId="88" xfId="0" applyFont="1" applyFill="1" applyBorder="1" applyAlignment="1">
      <alignment horizontal="center" vertical="center"/>
    </xf>
    <xf numFmtId="0" fontId="95" fillId="41" borderId="88" xfId="0" applyFont="1" applyFill="1" applyBorder="1" applyAlignment="1">
      <alignment horizontal="center" vertical="center"/>
    </xf>
    <xf numFmtId="0" fontId="95" fillId="42" borderId="88" xfId="0" applyFont="1" applyFill="1" applyBorder="1" applyAlignment="1">
      <alignment horizontal="center" vertical="center"/>
    </xf>
    <xf numFmtId="0" fontId="95" fillId="40" borderId="89" xfId="0" applyFont="1" applyFill="1" applyBorder="1" applyAlignment="1">
      <alignment horizontal="center" vertical="center"/>
    </xf>
    <xf numFmtId="0" fontId="95" fillId="41" borderId="89" xfId="0" applyFont="1" applyFill="1" applyBorder="1" applyAlignment="1">
      <alignment horizontal="center" vertical="center"/>
    </xf>
    <xf numFmtId="0" fontId="95" fillId="42" borderId="89" xfId="0" applyFont="1" applyFill="1" applyBorder="1" applyAlignment="1">
      <alignment horizontal="center" vertical="center"/>
    </xf>
    <xf numFmtId="0" fontId="96" fillId="42" borderId="89" xfId="0" applyFont="1" applyFill="1" applyBorder="1" applyAlignment="1">
      <alignment horizontal="center" vertical="center"/>
    </xf>
    <xf numFmtId="0" fontId="96" fillId="40" borderId="90" xfId="0" applyFont="1" applyFill="1" applyBorder="1" applyAlignment="1">
      <alignment horizontal="center" vertical="center"/>
    </xf>
    <xf numFmtId="0" fontId="95" fillId="41" borderId="91" xfId="0" applyFont="1" applyFill="1" applyBorder="1" applyAlignment="1">
      <alignment horizontal="center" vertical="center"/>
    </xf>
    <xf numFmtId="0" fontId="96" fillId="42" borderId="90" xfId="0" applyFont="1" applyFill="1" applyBorder="1" applyAlignment="1">
      <alignment horizontal="center" vertical="center"/>
    </xf>
    <xf numFmtId="0" fontId="0" fillId="42" borderId="90" xfId="0" applyFill="1" applyBorder="1" applyAlignment="1">
      <alignment vertical="center"/>
    </xf>
    <xf numFmtId="0" fontId="99" fillId="0" borderId="0" xfId="0" applyFont="1" applyAlignment="1">
      <alignment horizontal="left" vertical="center"/>
    </xf>
    <xf numFmtId="0" fontId="95" fillId="40" borderId="88" xfId="0" applyFont="1" applyFill="1" applyBorder="1" applyAlignment="1">
      <alignment horizontal="center" vertical="center" wrapText="1"/>
    </xf>
    <xf numFmtId="0" fontId="95" fillId="40" borderId="89" xfId="0" applyFont="1" applyFill="1" applyBorder="1" applyAlignment="1">
      <alignment horizontal="center" vertical="center" wrapText="1"/>
    </xf>
    <xf numFmtId="0" fontId="96" fillId="40" borderId="90" xfId="0" applyFont="1" applyFill="1" applyBorder="1" applyAlignment="1">
      <alignment horizontal="center" vertical="center" wrapText="1"/>
    </xf>
    <xf numFmtId="0" fontId="95" fillId="41" borderId="88" xfId="0" applyFont="1" applyFill="1" applyBorder="1" applyAlignment="1">
      <alignment horizontal="center" vertical="center" wrapText="1"/>
    </xf>
    <xf numFmtId="0" fontId="95" fillId="41" borderId="89" xfId="0" applyFont="1" applyFill="1" applyBorder="1" applyAlignment="1">
      <alignment horizontal="center" vertical="center" wrapText="1"/>
    </xf>
    <xf numFmtId="0" fontId="95" fillId="41" borderId="91" xfId="0" applyFont="1" applyFill="1" applyBorder="1" applyAlignment="1">
      <alignment horizontal="center" vertical="center" wrapText="1"/>
    </xf>
    <xf numFmtId="0" fontId="95" fillId="42" borderId="88" xfId="0" applyFont="1" applyFill="1" applyBorder="1" applyAlignment="1">
      <alignment horizontal="center" vertical="center" wrapText="1"/>
    </xf>
    <xf numFmtId="0" fontId="95" fillId="42" borderId="89" xfId="0" applyFont="1" applyFill="1" applyBorder="1" applyAlignment="1">
      <alignment horizontal="center" vertical="center" wrapText="1"/>
    </xf>
    <xf numFmtId="0" fontId="96" fillId="42" borderId="90" xfId="0" applyFont="1" applyFill="1" applyBorder="1" applyAlignment="1">
      <alignment horizontal="center" vertical="center" wrapText="1"/>
    </xf>
    <xf numFmtId="0" fontId="96" fillId="42" borderId="89" xfId="0" applyFont="1" applyFill="1" applyBorder="1" applyAlignment="1">
      <alignment horizontal="center" vertical="center" wrapText="1"/>
    </xf>
    <xf numFmtId="0" fontId="0" fillId="42" borderId="90" xfId="0" applyFill="1" applyBorder="1" applyAlignment="1">
      <alignment vertical="center" wrapText="1"/>
    </xf>
    <xf numFmtId="165" fontId="4" fillId="43" borderId="2" xfId="0" applyNumberFormat="1" applyFont="1" applyFill="1" applyBorder="1"/>
    <xf numFmtId="164" fontId="68" fillId="8" borderId="9" xfId="10" applyFont="1" applyFill="1" applyBorder="1"/>
    <xf numFmtId="164" fontId="68" fillId="43" borderId="2" xfId="10" applyFont="1" applyFill="1" applyBorder="1"/>
    <xf numFmtId="164" fontId="68" fillId="43" borderId="9" xfId="10" applyFont="1" applyFill="1" applyBorder="1"/>
    <xf numFmtId="164" fontId="68" fillId="43" borderId="1" xfId="10" applyFont="1" applyFill="1" applyBorder="1"/>
    <xf numFmtId="164" fontId="69" fillId="43" borderId="9" xfId="10" applyFont="1" applyFill="1" applyBorder="1"/>
    <xf numFmtId="164" fontId="68" fillId="43" borderId="8" xfId="10" applyFont="1" applyFill="1" applyBorder="1"/>
    <xf numFmtId="1" fontId="11" fillId="0" borderId="0" xfId="2" applyNumberFormat="1" applyFont="1"/>
    <xf numFmtId="9" fontId="59" fillId="0" borderId="6" xfId="1" applyFont="1" applyBorder="1" applyAlignment="1">
      <alignment horizontal="center"/>
    </xf>
    <xf numFmtId="164" fontId="1" fillId="8" borderId="0" xfId="10" applyFill="1"/>
    <xf numFmtId="164" fontId="69" fillId="9" borderId="69" xfId="0" applyNumberFormat="1" applyFont="1" applyFill="1" applyBorder="1"/>
    <xf numFmtId="164" fontId="68" fillId="9" borderId="69" xfId="10" applyFont="1" applyFill="1" applyBorder="1"/>
    <xf numFmtId="164" fontId="80" fillId="9" borderId="9" xfId="3" applyFont="1" applyFill="1" applyBorder="1"/>
    <xf numFmtId="170" fontId="11" fillId="9" borderId="9" xfId="3" applyNumberFormat="1" applyFont="1" applyFill="1" applyBorder="1"/>
    <xf numFmtId="164" fontId="79" fillId="9" borderId="9" xfId="3" applyFont="1" applyFill="1" applyBorder="1"/>
    <xf numFmtId="170" fontId="11" fillId="9" borderId="9" xfId="15" applyNumberFormat="1" applyFont="1" applyFill="1" applyBorder="1"/>
    <xf numFmtId="170" fontId="11" fillId="9" borderId="9" xfId="0" applyNumberFormat="1" applyFont="1" applyFill="1" applyBorder="1"/>
    <xf numFmtId="0" fontId="58" fillId="9" borderId="9" xfId="0" applyFont="1" applyFill="1" applyBorder="1"/>
    <xf numFmtId="164" fontId="67" fillId="0" borderId="6" xfId="10" applyFont="1" applyBorder="1"/>
    <xf numFmtId="0" fontId="67" fillId="9" borderId="99" xfId="0" applyFont="1" applyFill="1" applyBorder="1" applyAlignment="1">
      <alignment horizontal="center"/>
    </xf>
    <xf numFmtId="164" fontId="67" fillId="9" borderId="1" xfId="10" applyFont="1" applyFill="1" applyBorder="1" applyAlignment="1">
      <alignment horizontal="center"/>
    </xf>
    <xf numFmtId="164" fontId="67" fillId="9" borderId="100" xfId="10" applyFont="1" applyFill="1" applyBorder="1" applyAlignment="1">
      <alignment horizontal="center"/>
    </xf>
    <xf numFmtId="4" fontId="59" fillId="0" borderId="30" xfId="2" applyNumberFormat="1" applyFont="1" applyBorder="1"/>
    <xf numFmtId="164" fontId="4" fillId="9" borderId="9" xfId="10" applyFont="1" applyFill="1" applyBorder="1"/>
    <xf numFmtId="164" fontId="59" fillId="0" borderId="6" xfId="10" applyFont="1" applyFill="1" applyBorder="1"/>
    <xf numFmtId="164" fontId="80" fillId="0" borderId="0" xfId="10" applyFont="1" applyFill="1" applyAlignment="1">
      <alignment horizontal="center"/>
    </xf>
    <xf numFmtId="0" fontId="100" fillId="5" borderId="101" xfId="0" applyFont="1" applyFill="1" applyBorder="1" applyAlignment="1">
      <alignment horizontal="left" vertical="center"/>
    </xf>
    <xf numFmtId="4" fontId="81" fillId="0" borderId="0" xfId="2" applyNumberFormat="1" applyFont="1"/>
    <xf numFmtId="164" fontId="58" fillId="0" borderId="6" xfId="10" applyFont="1" applyFill="1" applyBorder="1" applyAlignment="1">
      <alignment horizontal="center"/>
    </xf>
    <xf numFmtId="164" fontId="11" fillId="0" borderId="6" xfId="3" applyFont="1" applyFill="1" applyBorder="1"/>
    <xf numFmtId="164" fontId="11" fillId="0" borderId="7" xfId="10" applyFont="1" applyFill="1" applyBorder="1" applyAlignment="1">
      <alignment horizontal="center"/>
    </xf>
    <xf numFmtId="164" fontId="58" fillId="0" borderId="7" xfId="10" applyFont="1" applyFill="1" applyBorder="1" applyAlignment="1">
      <alignment horizontal="center"/>
    </xf>
    <xf numFmtId="0" fontId="11" fillId="0" borderId="6" xfId="2" applyFont="1" applyBorder="1" applyAlignment="1">
      <alignment horizontal="center"/>
    </xf>
    <xf numFmtId="0" fontId="11" fillId="0" borderId="6" xfId="2" applyFont="1" applyBorder="1"/>
    <xf numFmtId="49" fontId="11" fillId="0" borderId="21" xfId="2" applyNumberFormat="1" applyFont="1" applyBorder="1" applyAlignment="1">
      <alignment horizontal="center"/>
    </xf>
    <xf numFmtId="172" fontId="11" fillId="0" borderId="1" xfId="0" applyNumberFormat="1" applyFont="1" applyBorder="1" applyAlignment="1">
      <alignment horizontal="center" vertical="center" wrapText="1"/>
    </xf>
    <xf numFmtId="172" fontId="11" fillId="0" borderId="5" xfId="2" applyNumberFormat="1" applyFont="1" applyBorder="1" applyAlignment="1">
      <alignment horizontal="center" vertical="center" wrapText="1"/>
    </xf>
    <xf numFmtId="172" fontId="11" fillId="0" borderId="7" xfId="2" applyNumberFormat="1" applyFont="1" applyBorder="1" applyAlignment="1">
      <alignment horizontal="center" vertical="center" wrapText="1"/>
    </xf>
    <xf numFmtId="172" fontId="11" fillId="0" borderId="7" xfId="2" applyNumberFormat="1" applyFont="1" applyBorder="1" applyAlignment="1">
      <alignment horizontal="left" vertical="center"/>
    </xf>
    <xf numFmtId="0" fontId="11" fillId="0" borderId="7" xfId="2" applyFont="1" applyBorder="1"/>
    <xf numFmtId="9" fontId="11" fillId="0" borderId="6" xfId="2" applyNumberFormat="1" applyFont="1" applyBorder="1" applyAlignment="1">
      <alignment horizontal="center"/>
    </xf>
    <xf numFmtId="10" fontId="11" fillId="0" borderId="6" xfId="2" applyNumberFormat="1" applyFont="1" applyBorder="1"/>
    <xf numFmtId="168" fontId="11" fillId="0" borderId="21" xfId="2" applyNumberFormat="1" applyFont="1" applyBorder="1" applyAlignment="1">
      <alignment horizontal="center"/>
    </xf>
    <xf numFmtId="172" fontId="11" fillId="0" borderId="6" xfId="0" applyNumberFormat="1" applyFont="1" applyBorder="1" applyAlignment="1">
      <alignment horizontal="center" vertical="center"/>
    </xf>
    <xf numFmtId="1" fontId="11" fillId="0" borderId="6" xfId="2" applyNumberFormat="1" applyFont="1" applyBorder="1"/>
    <xf numFmtId="4" fontId="11" fillId="0" borderId="21" xfId="2" applyNumberFormat="1" applyFont="1" applyBorder="1"/>
    <xf numFmtId="4" fontId="80" fillId="0" borderId="0" xfId="2" applyNumberFormat="1" applyFont="1"/>
    <xf numFmtId="0" fontId="80" fillId="0" borderId="0" xfId="2" applyFont="1"/>
    <xf numFmtId="4" fontId="11" fillId="0" borderId="7" xfId="2" applyNumberFormat="1" applyFont="1" applyBorder="1"/>
    <xf numFmtId="9" fontId="11" fillId="0" borderId="7" xfId="2" applyNumberFormat="1" applyFont="1" applyBorder="1" applyAlignment="1">
      <alignment horizontal="center"/>
    </xf>
    <xf numFmtId="0" fontId="58" fillId="0" borderId="0" xfId="2" applyFont="1" applyAlignment="1">
      <alignment horizontal="left"/>
    </xf>
    <xf numFmtId="0" fontId="58" fillId="0" borderId="6" xfId="2" applyFont="1" applyBorder="1" applyAlignment="1">
      <alignment horizontal="center"/>
    </xf>
    <xf numFmtId="0" fontId="58" fillId="0" borderId="6" xfId="2" applyFont="1" applyBorder="1"/>
    <xf numFmtId="168" fontId="58" fillId="0" borderId="21" xfId="2" applyNumberFormat="1" applyFont="1" applyBorder="1" applyAlignment="1">
      <alignment horizontal="center"/>
    </xf>
    <xf numFmtId="172" fontId="58" fillId="0" borderId="6" xfId="0" applyNumberFormat="1" applyFont="1" applyBorder="1" applyAlignment="1">
      <alignment horizontal="center" vertical="center"/>
    </xf>
    <xf numFmtId="172" fontId="58" fillId="0" borderId="7" xfId="2" applyNumberFormat="1" applyFont="1" applyBorder="1" applyAlignment="1">
      <alignment horizontal="center" vertical="center" wrapText="1"/>
    </xf>
    <xf numFmtId="172" fontId="58" fillId="0" borderId="7" xfId="2" applyNumberFormat="1" applyFont="1" applyBorder="1" applyAlignment="1">
      <alignment horizontal="left" vertical="center"/>
    </xf>
    <xf numFmtId="0" fontId="58" fillId="0" borderId="7" xfId="2" applyFont="1" applyBorder="1"/>
    <xf numFmtId="4" fontId="58" fillId="0" borderId="6" xfId="2" applyNumberFormat="1" applyFont="1" applyBorder="1"/>
    <xf numFmtId="0" fontId="58" fillId="0" borderId="0" xfId="2" applyFont="1"/>
    <xf numFmtId="4" fontId="58" fillId="0" borderId="7" xfId="2" applyNumberFormat="1" applyFont="1" applyBorder="1"/>
    <xf numFmtId="0" fontId="58" fillId="0" borderId="6" xfId="2" applyFont="1" applyBorder="1" applyAlignment="1">
      <alignment horizontal="right"/>
    </xf>
    <xf numFmtId="9" fontId="58" fillId="0" borderId="6" xfId="2" applyNumberFormat="1" applyFont="1" applyBorder="1" applyAlignment="1">
      <alignment horizontal="center"/>
    </xf>
    <xf numFmtId="10" fontId="58" fillId="0" borderId="6" xfId="2" applyNumberFormat="1" applyFont="1" applyBorder="1"/>
    <xf numFmtId="4" fontId="58" fillId="0" borderId="21" xfId="2" applyNumberFormat="1" applyFont="1" applyBorder="1"/>
    <xf numFmtId="164" fontId="11" fillId="0" borderId="0" xfId="2" applyNumberFormat="1" applyFont="1"/>
    <xf numFmtId="172" fontId="11" fillId="0" borderId="6" xfId="2" applyNumberFormat="1" applyFont="1" applyBorder="1" applyAlignment="1">
      <alignment horizontal="center" vertical="center" wrapText="1"/>
    </xf>
    <xf numFmtId="0" fontId="80" fillId="0" borderId="6" xfId="2" applyFont="1" applyBorder="1"/>
    <xf numFmtId="0" fontId="80" fillId="0" borderId="0" xfId="2" applyFont="1" applyAlignment="1">
      <alignment horizontal="center"/>
    </xf>
    <xf numFmtId="172" fontId="11" fillId="0" borderId="6" xfId="2" applyNumberFormat="1" applyFont="1" applyBorder="1" applyAlignment="1">
      <alignment horizontal="left" vertical="center"/>
    </xf>
    <xf numFmtId="4" fontId="11" fillId="0" borderId="6" xfId="2" applyNumberFormat="1" applyFont="1" applyBorder="1" applyAlignment="1">
      <alignment horizontal="center"/>
    </xf>
    <xf numFmtId="49" fontId="11" fillId="0" borderId="10" xfId="2" applyNumberFormat="1" applyFont="1" applyBorder="1" applyAlignment="1">
      <alignment horizontal="center"/>
    </xf>
    <xf numFmtId="177" fontId="11" fillId="0" borderId="10" xfId="2" applyNumberFormat="1" applyFont="1" applyBorder="1" applyAlignment="1">
      <alignment horizontal="center"/>
    </xf>
    <xf numFmtId="177" fontId="11" fillId="0" borderId="8" xfId="2" applyNumberFormat="1" applyFont="1" applyBorder="1" applyAlignment="1">
      <alignment horizontal="center"/>
    </xf>
    <xf numFmtId="49" fontId="11" fillId="0" borderId="44" xfId="2" applyNumberFormat="1" applyFont="1" applyBorder="1" applyAlignment="1">
      <alignment horizontal="center"/>
    </xf>
    <xf numFmtId="172" fontId="11" fillId="0" borderId="8" xfId="2" applyNumberFormat="1" applyFont="1" applyBorder="1" applyAlignment="1">
      <alignment horizontal="left" vertical="center"/>
    </xf>
    <xf numFmtId="4" fontId="11" fillId="0" borderId="30" xfId="2" applyNumberFormat="1" applyFont="1" applyBorder="1"/>
    <xf numFmtId="0" fontId="11" fillId="0" borderId="30" xfId="2" applyFont="1" applyBorder="1"/>
    <xf numFmtId="0" fontId="59" fillId="0" borderId="30" xfId="2" applyFont="1" applyBorder="1"/>
    <xf numFmtId="0" fontId="11" fillId="0" borderId="40" xfId="2" applyFont="1" applyBorder="1"/>
    <xf numFmtId="9" fontId="58" fillId="0" borderId="0" xfId="1" applyFont="1"/>
    <xf numFmtId="164" fontId="58" fillId="0" borderId="72" xfId="10" applyFont="1" applyBorder="1"/>
    <xf numFmtId="164" fontId="60" fillId="0" borderId="0" xfId="10" applyFont="1"/>
    <xf numFmtId="0" fontId="11" fillId="0" borderId="8" xfId="2" applyFont="1" applyBorder="1" applyAlignment="1">
      <alignment horizontal="center"/>
    </xf>
    <xf numFmtId="177" fontId="11" fillId="0" borderId="21" xfId="0" applyNumberFormat="1" applyFont="1" applyBorder="1" applyAlignment="1">
      <alignment horizontal="center" vertical="center"/>
    </xf>
    <xf numFmtId="164" fontId="101" fillId="0" borderId="0" xfId="0" applyNumberFormat="1" applyFont="1"/>
    <xf numFmtId="177" fontId="11" fillId="0" borderId="6" xfId="2" applyNumberFormat="1" applyFont="1" applyBorder="1" applyAlignment="1">
      <alignment horizontal="center" vertical="center" wrapText="1"/>
    </xf>
    <xf numFmtId="4" fontId="81" fillId="0" borderId="23" xfId="2" applyNumberFormat="1" applyFont="1" applyBorder="1"/>
    <xf numFmtId="164" fontId="102" fillId="9" borderId="20" xfId="10" applyFont="1" applyFill="1" applyBorder="1"/>
    <xf numFmtId="164" fontId="103" fillId="9" borderId="9" xfId="10" applyFont="1" applyFill="1" applyBorder="1"/>
    <xf numFmtId="164" fontId="103" fillId="9" borderId="1" xfId="10" applyFont="1" applyFill="1" applyBorder="1"/>
    <xf numFmtId="0" fontId="103" fillId="9" borderId="9" xfId="0" applyFont="1" applyFill="1" applyBorder="1"/>
    <xf numFmtId="0" fontId="103" fillId="9" borderId="0" xfId="0" applyFont="1" applyFill="1"/>
    <xf numFmtId="164" fontId="104" fillId="25" borderId="6" xfId="10" applyFont="1" applyFill="1" applyBorder="1"/>
    <xf numFmtId="164" fontId="104" fillId="25" borderId="7" xfId="10" applyFont="1" applyFill="1" applyBorder="1"/>
    <xf numFmtId="164" fontId="103" fillId="25" borderId="1" xfId="10" applyFont="1" applyFill="1" applyBorder="1"/>
    <xf numFmtId="165" fontId="69" fillId="9" borderId="20" xfId="0" applyNumberFormat="1" applyFont="1" applyFill="1" applyBorder="1"/>
    <xf numFmtId="165" fontId="69" fillId="2" borderId="20" xfId="0" applyNumberFormat="1" applyFont="1" applyFill="1" applyBorder="1"/>
    <xf numFmtId="164" fontId="104" fillId="25" borderId="9" xfId="10" applyFont="1" applyFill="1" applyBorder="1"/>
    <xf numFmtId="0" fontId="76" fillId="9" borderId="9" xfId="0" applyFont="1" applyFill="1" applyBorder="1"/>
    <xf numFmtId="164" fontId="70" fillId="9" borderId="9" xfId="10" applyFont="1" applyFill="1" applyBorder="1"/>
    <xf numFmtId="9" fontId="4" fillId="9" borderId="9" xfId="0" applyNumberFormat="1" applyFont="1" applyFill="1" applyBorder="1"/>
    <xf numFmtId="164" fontId="8" fillId="25" borderId="9" xfId="10" applyFont="1" applyFill="1" applyBorder="1"/>
    <xf numFmtId="9" fontId="73" fillId="9" borderId="9" xfId="0" applyNumberFormat="1" applyFont="1" applyFill="1" applyBorder="1"/>
    <xf numFmtId="0" fontId="103" fillId="9" borderId="6" xfId="0" applyFont="1" applyFill="1" applyBorder="1"/>
    <xf numFmtId="164" fontId="103" fillId="9" borderId="6" xfId="10" applyFont="1" applyFill="1" applyBorder="1"/>
    <xf numFmtId="164" fontId="103" fillId="9" borderId="0" xfId="10" applyFont="1" applyFill="1"/>
    <xf numFmtId="165" fontId="69" fillId="17" borderId="20" xfId="0" applyNumberFormat="1" applyFont="1" applyFill="1" applyBorder="1"/>
    <xf numFmtId="0" fontId="99" fillId="0" borderId="0" xfId="0" applyFont="1"/>
    <xf numFmtId="0" fontId="11" fillId="0" borderId="1" xfId="2" applyFont="1" applyBorder="1"/>
    <xf numFmtId="164" fontId="82" fillId="43" borderId="0" xfId="10" applyFont="1" applyFill="1"/>
    <xf numFmtId="164" fontId="70" fillId="9" borderId="69" xfId="0" applyNumberFormat="1" applyFont="1" applyFill="1" applyBorder="1"/>
    <xf numFmtId="164" fontId="80" fillId="0" borderId="0" xfId="10" applyFont="1" applyFill="1"/>
    <xf numFmtId="4" fontId="59" fillId="8" borderId="0" xfId="0" applyNumberFormat="1" applyFont="1" applyFill="1"/>
    <xf numFmtId="0" fontId="59" fillId="6" borderId="0" xfId="0" applyFont="1" applyFill="1"/>
    <xf numFmtId="165" fontId="58" fillId="9" borderId="36" xfId="0" applyNumberFormat="1" applyFont="1" applyFill="1" applyBorder="1"/>
    <xf numFmtId="165" fontId="58" fillId="9" borderId="66" xfId="0" applyNumberFormat="1" applyFont="1" applyFill="1" applyBorder="1"/>
    <xf numFmtId="165" fontId="58" fillId="9" borderId="37" xfId="0" applyNumberFormat="1" applyFont="1" applyFill="1" applyBorder="1"/>
    <xf numFmtId="0" fontId="82" fillId="0" borderId="69" xfId="0" applyFont="1" applyBorder="1"/>
    <xf numFmtId="164" fontId="81" fillId="0" borderId="0" xfId="15" applyNumberFormat="1" applyFont="1"/>
    <xf numFmtId="0" fontId="81" fillId="0" borderId="0" xfId="0" applyFont="1"/>
    <xf numFmtId="43" fontId="58" fillId="0" borderId="0" xfId="0" applyNumberFormat="1" applyFont="1"/>
    <xf numFmtId="2" fontId="11" fillId="0" borderId="0" xfId="2" applyNumberFormat="1" applyFont="1"/>
    <xf numFmtId="4" fontId="105" fillId="0" borderId="6" xfId="2" applyNumberFormat="1" applyFont="1" applyBorder="1"/>
    <xf numFmtId="176" fontId="87" fillId="31" borderId="83" xfId="0" applyNumberFormat="1" applyFont="1" applyFill="1" applyBorder="1"/>
    <xf numFmtId="164" fontId="103" fillId="2" borderId="1" xfId="10" applyFont="1" applyFill="1" applyBorder="1"/>
    <xf numFmtId="164" fontId="11" fillId="9" borderId="6" xfId="10" applyFont="1" applyFill="1" applyBorder="1" applyAlignment="1">
      <alignment horizontal="center"/>
    </xf>
    <xf numFmtId="164" fontId="58" fillId="9" borderId="9" xfId="10" applyFont="1" applyFill="1" applyBorder="1"/>
    <xf numFmtId="164" fontId="80" fillId="0" borderId="0" xfId="10" applyFont="1"/>
    <xf numFmtId="164" fontId="11" fillId="0" borderId="0" xfId="10" applyFont="1" applyAlignment="1">
      <alignment horizontal="center"/>
    </xf>
    <xf numFmtId="164" fontId="58" fillId="0" borderId="0" xfId="10" applyFont="1" applyAlignment="1">
      <alignment horizontal="center"/>
    </xf>
    <xf numFmtId="164" fontId="80" fillId="0" borderId="0" xfId="10" applyFont="1" applyAlignment="1">
      <alignment horizontal="center"/>
    </xf>
    <xf numFmtId="16" fontId="68" fillId="9" borderId="0" xfId="0" applyNumberFormat="1" applyFont="1" applyFill="1"/>
    <xf numFmtId="0" fontId="80" fillId="0" borderId="0" xfId="2" applyFont="1" applyAlignment="1">
      <alignment horizontal="left"/>
    </xf>
    <xf numFmtId="164" fontId="81" fillId="9" borderId="0" xfId="0" applyNumberFormat="1" applyFont="1" applyFill="1"/>
    <xf numFmtId="164" fontId="81" fillId="9" borderId="0" xfId="10" applyFont="1" applyFill="1"/>
    <xf numFmtId="4" fontId="59" fillId="9" borderId="2" xfId="2" applyNumberFormat="1" applyFont="1" applyFill="1" applyBorder="1" applyAlignment="1">
      <alignment horizontal="center"/>
    </xf>
    <xf numFmtId="4" fontId="59" fillId="9" borderId="3" xfId="2" applyNumberFormat="1" applyFont="1" applyFill="1" applyBorder="1" applyAlignment="1">
      <alignment horizontal="center"/>
    </xf>
    <xf numFmtId="164" fontId="59" fillId="8" borderId="9" xfId="10" applyFont="1" applyFill="1" applyBorder="1"/>
    <xf numFmtId="4" fontId="59" fillId="8" borderId="9" xfId="2" applyNumberFormat="1" applyFont="1" applyFill="1" applyBorder="1"/>
    <xf numFmtId="0" fontId="11" fillId="0" borderId="9" xfId="2" applyFont="1" applyBorder="1" applyAlignment="1">
      <alignment horizontal="center"/>
    </xf>
    <xf numFmtId="4" fontId="11" fillId="0" borderId="9" xfId="2" applyNumberFormat="1" applyFont="1" applyBorder="1"/>
    <xf numFmtId="0" fontId="11" fillId="0" borderId="6" xfId="2" applyFont="1" applyBorder="1" applyAlignment="1">
      <alignment horizontal="left"/>
    </xf>
    <xf numFmtId="0" fontId="59" fillId="0" borderId="65" xfId="15" applyFont="1" applyBorder="1" applyAlignment="1">
      <alignment horizontal="center" wrapText="1"/>
    </xf>
    <xf numFmtId="0" fontId="59" fillId="0" borderId="9" xfId="15" applyFont="1" applyBorder="1"/>
    <xf numFmtId="0" fontId="90" fillId="0" borderId="9" xfId="15" applyFont="1" applyBorder="1" applyAlignment="1">
      <alignment horizontal="center"/>
    </xf>
    <xf numFmtId="0" fontId="59" fillId="0" borderId="9" xfId="15" applyFont="1" applyBorder="1" applyAlignment="1">
      <alignment horizontal="center"/>
    </xf>
    <xf numFmtId="164" fontId="59" fillId="0" borderId="9" xfId="3" applyFont="1" applyBorder="1" applyAlignment="1">
      <alignment horizontal="center" vertical="center"/>
    </xf>
    <xf numFmtId="164" fontId="11" fillId="23" borderId="9" xfId="3" applyFont="1" applyFill="1" applyBorder="1" applyAlignment="1">
      <alignment horizontal="center" vertical="center"/>
    </xf>
    <xf numFmtId="164" fontId="11" fillId="9" borderId="9" xfId="3" applyFont="1" applyFill="1" applyBorder="1" applyAlignment="1">
      <alignment vertical="center"/>
    </xf>
    <xf numFmtId="0" fontId="11" fillId="9" borderId="9" xfId="2" applyFont="1" applyFill="1" applyBorder="1"/>
    <xf numFmtId="0" fontId="58" fillId="0" borderId="9" xfId="2" applyFont="1" applyBorder="1" applyAlignment="1">
      <alignment horizontal="center"/>
    </xf>
    <xf numFmtId="4" fontId="58" fillId="0" borderId="9" xfId="2" applyNumberFormat="1" applyFont="1" applyBorder="1"/>
    <xf numFmtId="0" fontId="58" fillId="0" borderId="9" xfId="2" applyFont="1" applyBorder="1"/>
    <xf numFmtId="170" fontId="11" fillId="0" borderId="9" xfId="3" applyNumberFormat="1" applyFont="1" applyFill="1" applyBorder="1"/>
    <xf numFmtId="3" fontId="11" fillId="0" borderId="9" xfId="3" applyNumberFormat="1" applyFont="1" applyFill="1" applyBorder="1" applyAlignment="1">
      <alignment horizontal="center" vertical="center"/>
    </xf>
    <xf numFmtId="0" fontId="59" fillId="8" borderId="9" xfId="2" applyFont="1" applyFill="1" applyBorder="1"/>
    <xf numFmtId="9" fontId="59" fillId="8" borderId="9" xfId="2" applyNumberFormat="1" applyFont="1" applyFill="1" applyBorder="1" applyAlignment="1">
      <alignment horizontal="center"/>
    </xf>
    <xf numFmtId="164" fontId="59" fillId="8" borderId="9" xfId="10" applyFont="1" applyFill="1" applyBorder="1" applyAlignment="1">
      <alignment horizontal="center"/>
    </xf>
    <xf numFmtId="0" fontId="81" fillId="8" borderId="9" xfId="2" applyFont="1" applyFill="1" applyBorder="1"/>
    <xf numFmtId="0" fontId="33" fillId="0" borderId="0" xfId="0" applyFont="1" applyAlignment="1">
      <alignment horizontal="center"/>
    </xf>
    <xf numFmtId="0" fontId="11" fillId="44" borderId="103" xfId="2" applyFont="1" applyFill="1" applyBorder="1"/>
    <xf numFmtId="4" fontId="11" fillId="0" borderId="102" xfId="2" applyNumberFormat="1" applyFont="1" applyBorder="1"/>
    <xf numFmtId="2" fontId="0" fillId="0" borderId="102" xfId="0" applyNumberFormat="1" applyBorder="1" applyAlignment="1">
      <alignment horizontal="center"/>
    </xf>
    <xf numFmtId="2" fontId="0" fillId="0" borderId="102" xfId="0" applyNumberFormat="1" applyBorder="1"/>
    <xf numFmtId="4" fontId="0" fillId="0" borderId="102" xfId="0" applyNumberFormat="1" applyBorder="1"/>
    <xf numFmtId="0" fontId="59" fillId="44" borderId="102" xfId="2" applyFont="1" applyFill="1" applyBorder="1" applyAlignment="1">
      <alignment horizontal="center" vertical="center"/>
    </xf>
    <xf numFmtId="9" fontId="33" fillId="44" borderId="102" xfId="0" applyNumberFormat="1" applyFont="1" applyFill="1" applyBorder="1" applyAlignment="1">
      <alignment horizontal="center" vertical="center"/>
    </xf>
    <xf numFmtId="0" fontId="33" fillId="44" borderId="102" xfId="0" applyFont="1" applyFill="1" applyBorder="1" applyAlignment="1">
      <alignment horizontal="center" vertical="center" wrapText="1"/>
    </xf>
    <xf numFmtId="0" fontId="11" fillId="44" borderId="102" xfId="2" applyFont="1" applyFill="1" applyBorder="1"/>
    <xf numFmtId="0" fontId="0" fillId="0" borderId="102" xfId="0" applyBorder="1"/>
    <xf numFmtId="0" fontId="0" fillId="44" borderId="102" xfId="0" applyFill="1" applyBorder="1"/>
    <xf numFmtId="9" fontId="33" fillId="44" borderId="102" xfId="0" applyNumberFormat="1" applyFont="1" applyFill="1" applyBorder="1" applyAlignment="1">
      <alignment horizontal="center" vertical="center" wrapText="1"/>
    </xf>
    <xf numFmtId="0" fontId="33" fillId="44" borderId="102" xfId="0" applyFont="1" applyFill="1" applyBorder="1" applyAlignment="1">
      <alignment horizontal="center" vertical="center"/>
    </xf>
    <xf numFmtId="0" fontId="33" fillId="44" borderId="102" xfId="0" applyFont="1" applyFill="1" applyBorder="1" applyAlignment="1">
      <alignment vertical="center"/>
    </xf>
    <xf numFmtId="9" fontId="90" fillId="0" borderId="65" xfId="15" applyNumberFormat="1" applyFont="1" applyBorder="1" applyAlignment="1">
      <alignment horizontal="center" vertical="center" wrapText="1"/>
    </xf>
    <xf numFmtId="178" fontId="11" fillId="0" borderId="9" xfId="3" applyNumberFormat="1" applyFont="1" applyBorder="1" applyAlignment="1">
      <alignment vertical="center"/>
    </xf>
    <xf numFmtId="0" fontId="99" fillId="0" borderId="0" xfId="0" applyFont="1" applyAlignment="1">
      <alignment horizontal="left" vertical="center" wrapText="1"/>
    </xf>
    <xf numFmtId="0" fontId="106" fillId="2" borderId="92" xfId="0" applyFont="1" applyFill="1" applyBorder="1" applyAlignment="1">
      <alignment horizontal="right" vertical="center" wrapText="1"/>
    </xf>
    <xf numFmtId="164" fontId="59" fillId="0" borderId="8" xfId="2" applyNumberFormat="1" applyFont="1" applyBorder="1" applyAlignment="1">
      <alignment horizontal="center"/>
    </xf>
    <xf numFmtId="164" fontId="11" fillId="0" borderId="21" xfId="10" applyFont="1" applyFill="1" applyBorder="1" applyAlignment="1">
      <alignment horizontal="left"/>
    </xf>
    <xf numFmtId="2" fontId="59" fillId="0" borderId="0" xfId="2" applyNumberFormat="1" applyFont="1" applyAlignment="1">
      <alignment horizontal="left"/>
    </xf>
    <xf numFmtId="4" fontId="81" fillId="0" borderId="0" xfId="2" applyNumberFormat="1" applyFont="1" applyAlignment="1">
      <alignment horizontal="center"/>
    </xf>
    <xf numFmtId="0" fontId="73" fillId="21" borderId="9" xfId="0" applyFont="1" applyFill="1" applyBorder="1" applyAlignment="1">
      <alignment horizontal="center" vertical="center"/>
    </xf>
    <xf numFmtId="164" fontId="73" fillId="17" borderId="9" xfId="1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73" fillId="17" borderId="0" xfId="10" applyFont="1" applyFill="1" applyBorder="1" applyAlignment="1">
      <alignment horizontal="center" vertical="center"/>
    </xf>
    <xf numFmtId="170" fontId="73" fillId="17" borderId="0" xfId="10" applyNumberFormat="1" applyFont="1" applyFill="1" applyBorder="1" applyAlignment="1">
      <alignment horizontal="center" vertical="center" wrapText="1"/>
    </xf>
    <xf numFmtId="43" fontId="0" fillId="0" borderId="0" xfId="0" applyNumberFormat="1"/>
    <xf numFmtId="43" fontId="107" fillId="0" borderId="0" xfId="0" applyNumberFormat="1" applyFont="1"/>
    <xf numFmtId="0" fontId="59" fillId="8" borderId="57" xfId="2" applyFont="1" applyFill="1" applyBorder="1" applyAlignment="1">
      <alignment horizontal="center"/>
    </xf>
    <xf numFmtId="0" fontId="81" fillId="8" borderId="58" xfId="2" applyFont="1" applyFill="1" applyBorder="1"/>
    <xf numFmtId="168" fontId="59" fillId="8" borderId="58" xfId="2" applyNumberFormat="1" applyFont="1" applyFill="1" applyBorder="1" applyAlignment="1">
      <alignment horizontal="center"/>
    </xf>
    <xf numFmtId="172" fontId="59" fillId="8" borderId="58" xfId="2" applyNumberFormat="1" applyFont="1" applyFill="1" applyBorder="1" applyAlignment="1">
      <alignment horizontal="center" vertical="center" wrapText="1"/>
    </xf>
    <xf numFmtId="172" fontId="59" fillId="8" borderId="58" xfId="2" applyNumberFormat="1" applyFont="1" applyFill="1" applyBorder="1" applyAlignment="1">
      <alignment horizontal="left" vertical="center"/>
    </xf>
    <xf numFmtId="0" fontId="59" fillId="8" borderId="58" xfId="2" applyFont="1" applyFill="1" applyBorder="1"/>
    <xf numFmtId="4" fontId="59" fillId="8" borderId="58" xfId="2" applyNumberFormat="1" applyFont="1" applyFill="1" applyBorder="1"/>
    <xf numFmtId="164" fontId="59" fillId="8" borderId="58" xfId="10" applyFont="1" applyFill="1" applyBorder="1"/>
    <xf numFmtId="9" fontId="59" fillId="8" borderId="58" xfId="2" applyNumberFormat="1" applyFont="1" applyFill="1" applyBorder="1" applyAlignment="1">
      <alignment horizontal="center"/>
    </xf>
    <xf numFmtId="10" fontId="59" fillId="8" borderId="58" xfId="2" applyNumberFormat="1" applyFont="1" applyFill="1" applyBorder="1"/>
    <xf numFmtId="164" fontId="59" fillId="8" borderId="58" xfId="10" applyFont="1" applyFill="1" applyBorder="1" applyAlignment="1">
      <alignment horizontal="center"/>
    </xf>
    <xf numFmtId="0" fontId="59" fillId="8" borderId="58" xfId="2" applyFont="1" applyFill="1" applyBorder="1" applyAlignment="1">
      <alignment horizontal="center"/>
    </xf>
    <xf numFmtId="1" fontId="59" fillId="8" borderId="59" xfId="2" applyNumberFormat="1" applyFont="1" applyFill="1" applyBorder="1"/>
    <xf numFmtId="4" fontId="60" fillId="0" borderId="6" xfId="2" applyNumberFormat="1" applyFont="1" applyBorder="1"/>
    <xf numFmtId="4" fontId="59" fillId="0" borderId="72" xfId="2" applyNumberFormat="1" applyFont="1" applyBorder="1"/>
    <xf numFmtId="179" fontId="11" fillId="9" borderId="9" xfId="3" applyNumberFormat="1" applyFont="1" applyFill="1" applyBorder="1"/>
    <xf numFmtId="179" fontId="11" fillId="9" borderId="9" xfId="15" applyNumberFormat="1" applyFont="1" applyFill="1" applyBorder="1"/>
    <xf numFmtId="179" fontId="11" fillId="9" borderId="9" xfId="0" applyNumberFormat="1" applyFont="1" applyFill="1" applyBorder="1"/>
    <xf numFmtId="4" fontId="59" fillId="0" borderId="72" xfId="2" applyNumberFormat="1" applyFont="1" applyBorder="1" applyAlignment="1">
      <alignment horizontal="center"/>
    </xf>
    <xf numFmtId="4" fontId="59" fillId="0" borderId="69" xfId="2" applyNumberFormat="1" applyFont="1" applyBorder="1" applyAlignment="1">
      <alignment horizontal="center"/>
    </xf>
    <xf numFmtId="4" fontId="58" fillId="0" borderId="0" xfId="0" applyNumberFormat="1" applyFont="1" applyAlignment="1">
      <alignment horizontal="center"/>
    </xf>
    <xf numFmtId="4" fontId="60" fillId="0" borderId="69" xfId="0" applyNumberFormat="1" applyFont="1" applyBorder="1" applyAlignment="1">
      <alignment horizontal="center"/>
    </xf>
    <xf numFmtId="164" fontId="73" fillId="17" borderId="18" xfId="10" applyFont="1" applyFill="1" applyBorder="1" applyAlignment="1">
      <alignment vertical="center"/>
    </xf>
    <xf numFmtId="164" fontId="73" fillId="17" borderId="19" xfId="10" applyFont="1" applyFill="1" applyBorder="1" applyAlignment="1">
      <alignment vertical="center"/>
    </xf>
    <xf numFmtId="164" fontId="73" fillId="17" borderId="32" xfId="10" applyFont="1" applyFill="1" applyBorder="1" applyAlignment="1">
      <alignment vertical="center"/>
    </xf>
    <xf numFmtId="164" fontId="68" fillId="0" borderId="2" xfId="10" applyFont="1" applyFill="1" applyBorder="1"/>
    <xf numFmtId="49" fontId="108" fillId="0" borderId="0" xfId="6" applyNumberFormat="1" applyFont="1"/>
    <xf numFmtId="0" fontId="109" fillId="0" borderId="0" xfId="6" applyFont="1"/>
    <xf numFmtId="49" fontId="109" fillId="0" borderId="0" xfId="6" applyNumberFormat="1" applyFont="1"/>
    <xf numFmtId="0" fontId="109" fillId="0" borderId="0" xfId="0" applyFont="1"/>
    <xf numFmtId="0" fontId="109" fillId="0" borderId="45" xfId="6" applyFont="1" applyBorder="1"/>
    <xf numFmtId="49" fontId="108" fillId="0" borderId="45" xfId="6" applyNumberFormat="1" applyFont="1" applyBorder="1"/>
    <xf numFmtId="49" fontId="108" fillId="0" borderId="44" xfId="6" applyNumberFormat="1" applyFont="1" applyBorder="1" applyAlignment="1">
      <alignment horizontal="center"/>
    </xf>
    <xf numFmtId="39" fontId="109" fillId="0" borderId="0" xfId="6" applyNumberFormat="1" applyFont="1"/>
    <xf numFmtId="49" fontId="109" fillId="0" borderId="0" xfId="6" applyNumberFormat="1" applyFont="1" applyAlignment="1">
      <alignment horizontal="center"/>
    </xf>
    <xf numFmtId="14" fontId="109" fillId="0" borderId="0" xfId="6" applyNumberFormat="1" applyFont="1"/>
    <xf numFmtId="49" fontId="109" fillId="0" borderId="0" xfId="6" applyNumberFormat="1" applyFont="1" applyAlignment="1">
      <alignment horizontal="left"/>
    </xf>
    <xf numFmtId="0" fontId="110" fillId="0" borderId="0" xfId="15" applyFont="1" applyProtection="1">
      <protection locked="0"/>
    </xf>
    <xf numFmtId="49" fontId="109" fillId="22" borderId="0" xfId="6" applyNumberFormat="1" applyFont="1" applyFill="1"/>
    <xf numFmtId="39" fontId="109" fillId="0" borderId="0" xfId="0" applyNumberFormat="1" applyFont="1"/>
    <xf numFmtId="164" fontId="109" fillId="0" borderId="0" xfId="10" applyFont="1"/>
    <xf numFmtId="0" fontId="111" fillId="0" borderId="0" xfId="15" applyFont="1" applyProtection="1">
      <protection locked="0"/>
    </xf>
    <xf numFmtId="49" fontId="111" fillId="0" borderId="0" xfId="6" applyNumberFormat="1" applyFont="1"/>
    <xf numFmtId="49" fontId="111" fillId="22" borderId="0" xfId="6" applyNumberFormat="1" applyFont="1" applyFill="1"/>
    <xf numFmtId="0" fontId="111" fillId="0" borderId="0" xfId="6" applyFont="1"/>
    <xf numFmtId="39" fontId="111" fillId="0" borderId="0" xfId="6" applyNumberFormat="1" applyFont="1"/>
    <xf numFmtId="49" fontId="111" fillId="0" borderId="0" xfId="6" applyNumberFormat="1" applyFont="1" applyAlignment="1">
      <alignment horizontal="center"/>
    </xf>
    <xf numFmtId="14" fontId="111" fillId="0" borderId="0" xfId="6" applyNumberFormat="1" applyFont="1"/>
    <xf numFmtId="0" fontId="111" fillId="0" borderId="0" xfId="0" applyFont="1"/>
    <xf numFmtId="39" fontId="110" fillId="0" borderId="0" xfId="6" applyNumberFormat="1" applyFont="1"/>
    <xf numFmtId="49" fontId="109" fillId="0" borderId="3" xfId="6" applyNumberFormat="1" applyFont="1" applyBorder="1"/>
    <xf numFmtId="0" fontId="109" fillId="0" borderId="3" xfId="6" applyFont="1" applyBorder="1"/>
    <xf numFmtId="49" fontId="108" fillId="0" borderId="3" xfId="6" applyNumberFormat="1" applyFont="1" applyBorder="1"/>
    <xf numFmtId="39" fontId="108" fillId="0" borderId="3" xfId="6" applyNumberFormat="1" applyFont="1" applyBorder="1"/>
    <xf numFmtId="14" fontId="109" fillId="0" borderId="3" xfId="6" applyNumberFormat="1" applyFont="1" applyBorder="1"/>
    <xf numFmtId="180" fontId="109" fillId="0" borderId="0" xfId="6" applyNumberFormat="1" applyFont="1"/>
    <xf numFmtId="2" fontId="58" fillId="0" borderId="0" xfId="0" applyNumberFormat="1" applyFont="1"/>
    <xf numFmtId="0" fontId="112" fillId="0" borderId="0" xfId="0" applyFont="1"/>
    <xf numFmtId="4" fontId="59" fillId="6" borderId="7" xfId="2" applyNumberFormat="1" applyFont="1" applyFill="1" applyBorder="1" applyAlignment="1">
      <alignment horizontal="center"/>
    </xf>
    <xf numFmtId="164" fontId="82" fillId="0" borderId="0" xfId="0" applyNumberFormat="1" applyFont="1"/>
    <xf numFmtId="4" fontId="59" fillId="0" borderId="11" xfId="2" applyNumberFormat="1" applyFont="1" applyBorder="1" applyAlignment="1">
      <alignment horizontal="center"/>
    </xf>
    <xf numFmtId="4" fontId="59" fillId="0" borderId="26" xfId="2" applyNumberFormat="1" applyFont="1" applyBorder="1"/>
    <xf numFmtId="1" fontId="11" fillId="0" borderId="0" xfId="2" applyNumberFormat="1" applyFont="1" applyAlignment="1">
      <alignment horizontal="left"/>
    </xf>
    <xf numFmtId="164" fontId="11" fillId="0" borderId="0" xfId="10" applyFont="1" applyFill="1" applyBorder="1" applyAlignment="1">
      <alignment horizontal="left"/>
    </xf>
    <xf numFmtId="20" fontId="58" fillId="0" borderId="0" xfId="0" applyNumberFormat="1" applyFont="1"/>
    <xf numFmtId="2" fontId="11" fillId="0" borderId="6" xfId="2" applyNumberFormat="1" applyFont="1" applyBorder="1"/>
    <xf numFmtId="2" fontId="11" fillId="0" borderId="7" xfId="2" applyNumberFormat="1" applyFont="1" applyBorder="1" applyAlignment="1">
      <alignment horizontal="center"/>
    </xf>
    <xf numFmtId="2" fontId="11" fillId="0" borderId="21" xfId="2" applyNumberFormat="1" applyFont="1" applyBorder="1"/>
    <xf numFmtId="2" fontId="11" fillId="0" borderId="0" xfId="2" applyNumberFormat="1" applyFont="1" applyAlignment="1">
      <alignment horizontal="left"/>
    </xf>
    <xf numFmtId="164" fontId="81" fillId="0" borderId="0" xfId="10" applyFont="1" applyFill="1"/>
    <xf numFmtId="164" fontId="11" fillId="0" borderId="0" xfId="10" applyFont="1" applyFill="1" applyAlignment="1">
      <alignment horizontal="center"/>
    </xf>
    <xf numFmtId="2" fontId="59" fillId="0" borderId="0" xfId="2" applyNumberFormat="1" applyFont="1"/>
    <xf numFmtId="4" fontId="59" fillId="0" borderId="22" xfId="2" applyNumberFormat="1" applyFont="1" applyBorder="1"/>
    <xf numFmtId="164" fontId="113" fillId="45" borderId="21" xfId="10" applyFont="1" applyFill="1" applyBorder="1" applyAlignment="1">
      <alignment horizontal="center" vertical="center"/>
    </xf>
    <xf numFmtId="164" fontId="0" fillId="0" borderId="0" xfId="10" applyFont="1" applyBorder="1"/>
    <xf numFmtId="0" fontId="33" fillId="0" borderId="0" xfId="0" applyFont="1"/>
    <xf numFmtId="0" fontId="0" fillId="46" borderId="9" xfId="0" applyFill="1" applyBorder="1" applyAlignment="1">
      <alignment horizontal="center"/>
    </xf>
    <xf numFmtId="43" fontId="0" fillId="0" borderId="9" xfId="0" applyNumberFormat="1" applyBorder="1"/>
    <xf numFmtId="164" fontId="113" fillId="45" borderId="0" xfId="10" applyFon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9" xfId="0" applyNumberFormat="1" applyBorder="1"/>
    <xf numFmtId="2" fontId="4" fillId="9" borderId="9" xfId="10" applyNumberFormat="1" applyFont="1" applyFill="1" applyBorder="1"/>
    <xf numFmtId="2" fontId="4" fillId="9" borderId="9" xfId="0" applyNumberFormat="1" applyFont="1" applyFill="1" applyBorder="1"/>
    <xf numFmtId="14" fontId="0" fillId="0" borderId="0" xfId="0" applyNumberFormat="1"/>
    <xf numFmtId="17" fontId="0" fillId="0" borderId="0" xfId="0" applyNumberFormat="1"/>
    <xf numFmtId="0" fontId="0" fillId="0" borderId="108" xfId="0" applyBorder="1"/>
    <xf numFmtId="2" fontId="0" fillId="0" borderId="108" xfId="0" applyNumberFormat="1" applyBorder="1" applyAlignment="1">
      <alignment horizontal="right"/>
    </xf>
    <xf numFmtId="2" fontId="0" fillId="0" borderId="108" xfId="0" applyNumberFormat="1" applyBorder="1"/>
    <xf numFmtId="2" fontId="4" fillId="9" borderId="108" xfId="10" applyNumberFormat="1" applyFont="1" applyFill="1" applyBorder="1" applyAlignment="1">
      <alignment horizontal="right"/>
    </xf>
    <xf numFmtId="2" fontId="4" fillId="9" borderId="108" xfId="0" applyNumberFormat="1" applyFont="1" applyFill="1" applyBorder="1" applyAlignment="1">
      <alignment horizontal="right"/>
    </xf>
    <xf numFmtId="164" fontId="0" fillId="0" borderId="0" xfId="10" applyFont="1" applyAlignment="1">
      <alignment horizontal="right" indent="1"/>
    </xf>
    <xf numFmtId="0" fontId="114" fillId="47" borderId="108" xfId="0" applyFont="1" applyFill="1" applyBorder="1" applyAlignment="1">
      <alignment horizontal="center" wrapText="1"/>
    </xf>
    <xf numFmtId="0" fontId="0" fillId="47" borderId="0" xfId="0" applyFill="1"/>
    <xf numFmtId="164" fontId="33" fillId="47" borderId="0" xfId="10" applyFont="1" applyFill="1"/>
    <xf numFmtId="17" fontId="33" fillId="47" borderId="108" xfId="0" applyNumberFormat="1" applyFont="1" applyFill="1" applyBorder="1"/>
    <xf numFmtId="164" fontId="33" fillId="20" borderId="0" xfId="0" applyNumberFormat="1" applyFont="1" applyFill="1"/>
    <xf numFmtId="0" fontId="115" fillId="5" borderId="92" xfId="0" applyFont="1" applyFill="1" applyBorder="1" applyAlignment="1">
      <alignment horizontal="center" vertical="center" wrapText="1"/>
    </xf>
    <xf numFmtId="0" fontId="115" fillId="5" borderId="92" xfId="0" applyFont="1" applyFill="1" applyBorder="1" applyAlignment="1">
      <alignment horizontal="right" vertical="center" wrapText="1"/>
    </xf>
    <xf numFmtId="168" fontId="11" fillId="0" borderId="106" xfId="2" applyNumberFormat="1" applyFont="1" applyBorder="1" applyAlignment="1">
      <alignment horizontal="center"/>
    </xf>
    <xf numFmtId="177" fontId="11" fillId="0" borderId="106" xfId="0" applyNumberFormat="1" applyFont="1" applyBorder="1" applyAlignment="1">
      <alignment horizontal="center" vertical="center"/>
    </xf>
    <xf numFmtId="4" fontId="11" fillId="0" borderId="106" xfId="2" applyNumberFormat="1" applyFont="1" applyBorder="1"/>
    <xf numFmtId="164" fontId="11" fillId="0" borderId="106" xfId="10" applyFont="1" applyFill="1" applyBorder="1"/>
    <xf numFmtId="49" fontId="11" fillId="0" borderId="0" xfId="2" applyNumberFormat="1" applyFont="1"/>
    <xf numFmtId="4" fontId="11" fillId="0" borderId="0" xfId="2" applyNumberFormat="1" applyFont="1" applyAlignment="1">
      <alignment horizontal="left"/>
    </xf>
    <xf numFmtId="0" fontId="11" fillId="0" borderId="106" xfId="2" applyFont="1" applyBorder="1" applyAlignment="1">
      <alignment horizontal="left"/>
    </xf>
    <xf numFmtId="4" fontId="59" fillId="9" borderId="0" xfId="2" applyNumberFormat="1" applyFont="1" applyFill="1" applyAlignment="1">
      <alignment horizontal="center"/>
    </xf>
    <xf numFmtId="2" fontId="59" fillId="0" borderId="0" xfId="2" applyNumberFormat="1" applyFont="1" applyAlignment="1">
      <alignment horizontal="center"/>
    </xf>
    <xf numFmtId="1" fontId="59" fillId="0" borderId="0" xfId="2" applyNumberFormat="1" applyFont="1" applyAlignment="1">
      <alignment horizontal="center"/>
    </xf>
    <xf numFmtId="4" fontId="59" fillId="0" borderId="0" xfId="2" applyNumberFormat="1" applyFont="1" applyAlignment="1">
      <alignment horizontal="right"/>
    </xf>
    <xf numFmtId="0" fontId="59" fillId="0" borderId="0" xfId="2" applyFont="1" applyAlignment="1">
      <alignment horizontal="right"/>
    </xf>
    <xf numFmtId="164" fontId="59" fillId="0" borderId="20" xfId="10" applyFont="1" applyFill="1" applyBorder="1"/>
    <xf numFmtId="0" fontId="4" fillId="0" borderId="0" xfId="0" applyFont="1" applyAlignment="1">
      <alignment horizontal="center" vertical="center"/>
    </xf>
    <xf numFmtId="0" fontId="116" fillId="0" borderId="0" xfId="2" applyFont="1"/>
    <xf numFmtId="0" fontId="11" fillId="0" borderId="6" xfId="2" applyFont="1" applyBorder="1" applyAlignment="1">
      <alignment horizontal="right"/>
    </xf>
    <xf numFmtId="2" fontId="11" fillId="0" borderId="6" xfId="2" applyNumberFormat="1" applyFont="1" applyBorder="1" applyAlignment="1">
      <alignment horizontal="right"/>
    </xf>
    <xf numFmtId="49" fontId="11" fillId="0" borderId="0" xfId="2" applyNumberFormat="1" applyFont="1" applyAlignment="1">
      <alignment horizontal="left"/>
    </xf>
    <xf numFmtId="0" fontId="89" fillId="0" borderId="9" xfId="0" applyFont="1" applyBorder="1"/>
    <xf numFmtId="164" fontId="11" fillId="0" borderId="7" xfId="10" applyFont="1" applyFill="1" applyBorder="1"/>
    <xf numFmtId="4" fontId="59" fillId="13" borderId="6" xfId="2" applyNumberFormat="1" applyFont="1" applyFill="1" applyBorder="1"/>
    <xf numFmtId="0" fontId="11" fillId="13" borderId="9" xfId="2" applyFont="1" applyFill="1" applyBorder="1"/>
    <xf numFmtId="4" fontId="11" fillId="13" borderId="9" xfId="2" applyNumberFormat="1" applyFont="1" applyFill="1" applyBorder="1"/>
    <xf numFmtId="0" fontId="67" fillId="9" borderId="106" xfId="0" applyFont="1" applyFill="1" applyBorder="1" applyAlignment="1">
      <alignment horizontal="center"/>
    </xf>
    <xf numFmtId="164" fontId="67" fillId="9" borderId="107" xfId="10" applyFont="1" applyFill="1" applyBorder="1"/>
    <xf numFmtId="164" fontId="69" fillId="9" borderId="0" xfId="0" applyNumberFormat="1" applyFont="1" applyFill="1"/>
    <xf numFmtId="165" fontId="69" fillId="9" borderId="37" xfId="0" applyNumberFormat="1" applyFont="1" applyFill="1" applyBorder="1"/>
    <xf numFmtId="164" fontId="102" fillId="9" borderId="32" xfId="10" applyFont="1" applyFill="1" applyBorder="1"/>
    <xf numFmtId="4" fontId="80" fillId="9" borderId="7" xfId="2" applyNumberFormat="1" applyFont="1" applyFill="1" applyBorder="1"/>
    <xf numFmtId="14" fontId="0" fillId="0" borderId="1" xfId="0" applyNumberFormat="1" applyBorder="1"/>
    <xf numFmtId="0" fontId="11" fillId="0" borderId="5" xfId="2" applyFont="1" applyBorder="1"/>
    <xf numFmtId="14" fontId="0" fillId="0" borderId="9" xfId="0" applyNumberFormat="1" applyBorder="1"/>
    <xf numFmtId="172" fontId="11" fillId="0" borderId="9" xfId="2" applyNumberFormat="1" applyFont="1" applyBorder="1" applyAlignment="1">
      <alignment horizontal="center" vertical="center" wrapText="1"/>
    </xf>
    <xf numFmtId="168" fontId="11" fillId="0" borderId="9" xfId="2" applyNumberFormat="1" applyFont="1" applyBorder="1" applyAlignment="1">
      <alignment horizontal="center"/>
    </xf>
    <xf numFmtId="0" fontId="11" fillId="0" borderId="4" xfId="2" applyFont="1" applyBorder="1"/>
    <xf numFmtId="0" fontId="0" fillId="0" borderId="6" xfId="0" applyBorder="1"/>
    <xf numFmtId="0" fontId="0" fillId="0" borderId="4" xfId="0" applyBorder="1"/>
    <xf numFmtId="43" fontId="82" fillId="0" borderId="0" xfId="0" applyNumberFormat="1" applyFont="1"/>
    <xf numFmtId="4" fontId="11" fillId="0" borderId="9" xfId="3" applyNumberFormat="1" applyFont="1" applyBorder="1" applyAlignment="1">
      <alignment horizontal="center" vertical="center"/>
    </xf>
    <xf numFmtId="164" fontId="11" fillId="9" borderId="9" xfId="3" applyFont="1" applyFill="1" applyBorder="1" applyAlignment="1">
      <alignment horizontal="left"/>
    </xf>
    <xf numFmtId="164" fontId="73" fillId="9" borderId="9" xfId="14" applyNumberFormat="1" applyFont="1" applyFill="1" applyBorder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10" fontId="59" fillId="13" borderId="6" xfId="2" applyNumberFormat="1" applyFont="1" applyFill="1" applyBorder="1"/>
    <xf numFmtId="4" fontId="59" fillId="13" borderId="21" xfId="2" applyNumberFormat="1" applyFont="1" applyFill="1" applyBorder="1"/>
    <xf numFmtId="164" fontId="59" fillId="13" borderId="6" xfId="10" applyFont="1" applyFill="1" applyBorder="1"/>
    <xf numFmtId="9" fontId="59" fillId="13" borderId="6" xfId="2" applyNumberFormat="1" applyFont="1" applyFill="1" applyBorder="1" applyAlignment="1">
      <alignment horizontal="center"/>
    </xf>
    <xf numFmtId="164" fontId="59" fillId="13" borderId="6" xfId="10" applyFont="1" applyFill="1" applyBorder="1" applyAlignment="1">
      <alignment horizontal="center"/>
    </xf>
    <xf numFmtId="0" fontId="59" fillId="13" borderId="6" xfId="2" applyFont="1" applyFill="1" applyBorder="1" applyAlignment="1">
      <alignment horizontal="center"/>
    </xf>
    <xf numFmtId="0" fontId="59" fillId="13" borderId="6" xfId="2" applyFont="1" applyFill="1" applyBorder="1"/>
    <xf numFmtId="0" fontId="82" fillId="0" borderId="0" xfId="0" applyFont="1" applyAlignment="1">
      <alignment horizontal="center" vertical="center"/>
    </xf>
    <xf numFmtId="181" fontId="59" fillId="8" borderId="9" xfId="2" applyNumberFormat="1" applyFont="1" applyFill="1" applyBorder="1"/>
    <xf numFmtId="0" fontId="81" fillId="9" borderId="0" xfId="2" applyFont="1" applyFill="1" applyAlignment="1">
      <alignment horizontal="left"/>
    </xf>
    <xf numFmtId="0" fontId="81" fillId="9" borderId="6" xfId="2" applyFont="1" applyFill="1" applyBorder="1" applyAlignment="1">
      <alignment horizontal="center"/>
    </xf>
    <xf numFmtId="0" fontId="81" fillId="9" borderId="6" xfId="2" applyFont="1" applyFill="1" applyBorder="1"/>
    <xf numFmtId="168" fontId="81" fillId="9" borderId="106" xfId="2" applyNumberFormat="1" applyFont="1" applyFill="1" applyBorder="1" applyAlignment="1">
      <alignment horizontal="center"/>
    </xf>
    <xf numFmtId="172" fontId="81" fillId="9" borderId="6" xfId="0" applyNumberFormat="1" applyFont="1" applyFill="1" applyBorder="1" applyAlignment="1">
      <alignment horizontal="center" vertical="center"/>
    </xf>
    <xf numFmtId="172" fontId="81" fillId="9" borderId="7" xfId="2" applyNumberFormat="1" applyFont="1" applyFill="1" applyBorder="1" applyAlignment="1">
      <alignment horizontal="center" vertical="center" wrapText="1"/>
    </xf>
    <xf numFmtId="172" fontId="81" fillId="9" borderId="7" xfId="2" applyNumberFormat="1" applyFont="1" applyFill="1" applyBorder="1" applyAlignment="1">
      <alignment horizontal="left" vertical="center"/>
    </xf>
    <xf numFmtId="0" fontId="81" fillId="9" borderId="7" xfId="2" applyFont="1" applyFill="1" applyBorder="1"/>
    <xf numFmtId="4" fontId="81" fillId="9" borderId="0" xfId="2" applyNumberFormat="1" applyFont="1" applyFill="1"/>
    <xf numFmtId="4" fontId="81" fillId="9" borderId="6" xfId="2" applyNumberFormat="1" applyFont="1" applyFill="1" applyBorder="1"/>
    <xf numFmtId="0" fontId="81" fillId="9" borderId="0" xfId="2" applyFont="1" applyFill="1"/>
    <xf numFmtId="4" fontId="81" fillId="9" borderId="7" xfId="2" applyNumberFormat="1" applyFont="1" applyFill="1" applyBorder="1"/>
    <xf numFmtId="2" fontId="81" fillId="9" borderId="6" xfId="10" applyNumberFormat="1" applyFont="1" applyFill="1" applyBorder="1" applyAlignment="1">
      <alignment horizontal="right"/>
    </xf>
    <xf numFmtId="164" fontId="81" fillId="9" borderId="6" xfId="10" applyFont="1" applyFill="1" applyBorder="1"/>
    <xf numFmtId="4" fontId="81" fillId="9" borderId="106" xfId="2" applyNumberFormat="1" applyFont="1" applyFill="1" applyBorder="1"/>
    <xf numFmtId="9" fontId="81" fillId="9" borderId="7" xfId="2" applyNumberFormat="1" applyFont="1" applyFill="1" applyBorder="1" applyAlignment="1">
      <alignment horizontal="center"/>
    </xf>
    <xf numFmtId="10" fontId="81" fillId="9" borderId="6" xfId="2" applyNumberFormat="1" applyFont="1" applyFill="1" applyBorder="1"/>
    <xf numFmtId="9" fontId="81" fillId="9" borderId="6" xfId="2" applyNumberFormat="1" applyFont="1" applyFill="1" applyBorder="1" applyAlignment="1">
      <alignment horizontal="center"/>
    </xf>
    <xf numFmtId="164" fontId="81" fillId="9" borderId="6" xfId="10" applyFont="1" applyFill="1" applyBorder="1" applyAlignment="1">
      <alignment horizontal="center"/>
    </xf>
    <xf numFmtId="1" fontId="81" fillId="9" borderId="6" xfId="2" applyNumberFormat="1" applyFont="1" applyFill="1" applyBorder="1"/>
    <xf numFmtId="2" fontId="81" fillId="9" borderId="0" xfId="2" applyNumberFormat="1" applyFont="1" applyFill="1" applyAlignment="1">
      <alignment horizontal="left"/>
    </xf>
    <xf numFmtId="0" fontId="81" fillId="9" borderId="0" xfId="2" applyFont="1" applyFill="1" applyAlignment="1">
      <alignment horizontal="center"/>
    </xf>
    <xf numFmtId="164" fontId="81" fillId="9" borderId="0" xfId="10" applyFont="1" applyFill="1" applyAlignment="1">
      <alignment horizontal="center"/>
    </xf>
    <xf numFmtId="164" fontId="81" fillId="9" borderId="0" xfId="2" applyNumberFormat="1" applyFont="1" applyFill="1"/>
    <xf numFmtId="43" fontId="82" fillId="0" borderId="69" xfId="0" applyNumberFormat="1" applyFont="1" applyBorder="1"/>
    <xf numFmtId="49" fontId="59" fillId="0" borderId="0" xfId="2" applyNumberFormat="1" applyFont="1"/>
    <xf numFmtId="49" fontId="59" fillId="0" borderId="0" xfId="2" applyNumberFormat="1" applyFont="1" applyAlignment="1">
      <alignment horizontal="left"/>
    </xf>
    <xf numFmtId="4" fontId="11" fillId="2" borderId="6" xfId="2" applyNumberFormat="1" applyFont="1" applyFill="1" applyBorder="1"/>
    <xf numFmtId="4" fontId="11" fillId="2" borderId="1" xfId="2" applyNumberFormat="1" applyFont="1" applyFill="1" applyBorder="1"/>
    <xf numFmtId="164" fontId="11" fillId="0" borderId="6" xfId="10" applyFont="1" applyBorder="1"/>
    <xf numFmtId="2" fontId="81" fillId="2" borderId="0" xfId="2" applyNumberFormat="1" applyFont="1" applyFill="1" applyAlignment="1">
      <alignment horizontal="left"/>
    </xf>
    <xf numFmtId="164" fontId="58" fillId="0" borderId="69" xfId="10" applyFont="1" applyBorder="1" applyAlignment="1">
      <alignment horizontal="center"/>
    </xf>
    <xf numFmtId="0" fontId="59" fillId="0" borderId="104" xfId="2" applyFont="1" applyBorder="1" applyAlignment="1">
      <alignment horizontal="center"/>
    </xf>
    <xf numFmtId="0" fontId="59" fillId="0" borderId="105" xfId="2" applyFont="1" applyBorder="1"/>
    <xf numFmtId="168" fontId="59" fillId="0" borderId="105" xfId="2" applyNumberFormat="1" applyFont="1" applyBorder="1" applyAlignment="1">
      <alignment horizontal="center"/>
    </xf>
    <xf numFmtId="177" fontId="59" fillId="0" borderId="105" xfId="0" applyNumberFormat="1" applyFont="1" applyBorder="1" applyAlignment="1">
      <alignment horizontal="center" vertical="center"/>
    </xf>
    <xf numFmtId="177" fontId="59" fillId="0" borderId="105" xfId="2" applyNumberFormat="1" applyFont="1" applyBorder="1" applyAlignment="1">
      <alignment horizontal="center" vertical="center" wrapText="1"/>
    </xf>
    <xf numFmtId="172" fontId="59" fillId="0" borderId="105" xfId="2" applyNumberFormat="1" applyFont="1" applyBorder="1" applyAlignment="1">
      <alignment horizontal="center" vertical="center" wrapText="1"/>
    </xf>
    <xf numFmtId="172" fontId="59" fillId="0" borderId="105" xfId="2" applyNumberFormat="1" applyFont="1" applyBorder="1" applyAlignment="1">
      <alignment horizontal="left" vertical="center"/>
    </xf>
    <xf numFmtId="4" fontId="59" fillId="0" borderId="105" xfId="2" applyNumberFormat="1" applyFont="1" applyBorder="1"/>
    <xf numFmtId="164" fontId="59" fillId="0" borderId="105" xfId="10" applyFont="1" applyFill="1" applyBorder="1" applyAlignment="1">
      <alignment horizontal="center"/>
    </xf>
    <xf numFmtId="164" fontId="59" fillId="0" borderId="105" xfId="10" applyFont="1" applyFill="1" applyBorder="1"/>
    <xf numFmtId="164" fontId="59" fillId="0" borderId="9" xfId="10" applyFont="1" applyFill="1" applyBorder="1"/>
    <xf numFmtId="4" fontId="59" fillId="0" borderId="3" xfId="2" applyNumberFormat="1" applyFont="1" applyBorder="1"/>
    <xf numFmtId="1" fontId="59" fillId="0" borderId="9" xfId="2" applyNumberFormat="1" applyFont="1" applyBorder="1"/>
    <xf numFmtId="1" fontId="59" fillId="0" borderId="71" xfId="2" applyNumberFormat="1" applyFont="1" applyBorder="1"/>
    <xf numFmtId="0" fontId="59" fillId="0" borderId="70" xfId="2" applyFont="1" applyBorder="1" applyAlignment="1">
      <alignment horizontal="center"/>
    </xf>
    <xf numFmtId="0" fontId="59" fillId="0" borderId="9" xfId="2" applyFont="1" applyBorder="1"/>
    <xf numFmtId="168" fontId="59" fillId="0" borderId="9" xfId="2" applyNumberFormat="1" applyFont="1" applyBorder="1" applyAlignment="1">
      <alignment horizontal="center"/>
    </xf>
    <xf numFmtId="172" fontId="59" fillId="0" borderId="9" xfId="2" applyNumberFormat="1" applyFont="1" applyBorder="1" applyAlignment="1">
      <alignment horizontal="center" vertical="center" wrapText="1"/>
    </xf>
    <xf numFmtId="172" fontId="59" fillId="0" borderId="9" xfId="2" applyNumberFormat="1" applyFont="1" applyBorder="1" applyAlignment="1">
      <alignment horizontal="left" vertical="center"/>
    </xf>
    <xf numFmtId="4" fontId="59" fillId="0" borderId="9" xfId="2" applyNumberFormat="1" applyFont="1" applyBorder="1"/>
    <xf numFmtId="164" fontId="59" fillId="0" borderId="9" xfId="10" applyFont="1" applyFill="1" applyBorder="1" applyAlignment="1">
      <alignment horizontal="center"/>
    </xf>
    <xf numFmtId="164" fontId="59" fillId="0" borderId="9" xfId="2" applyNumberFormat="1" applyFont="1" applyBorder="1" applyAlignment="1">
      <alignment horizontal="center"/>
    </xf>
    <xf numFmtId="164" fontId="59" fillId="0" borderId="9" xfId="2" applyNumberFormat="1" applyFont="1" applyBorder="1"/>
    <xf numFmtId="10" fontId="11" fillId="0" borderId="9" xfId="2" applyNumberFormat="1" applyFont="1" applyBorder="1"/>
    <xf numFmtId="164" fontId="11" fillId="0" borderId="9" xfId="10" applyFont="1" applyFill="1" applyBorder="1"/>
    <xf numFmtId="9" fontId="59" fillId="0" borderId="9" xfId="2" applyNumberFormat="1" applyFont="1" applyBorder="1" applyAlignment="1">
      <alignment horizontal="center"/>
    </xf>
    <xf numFmtId="0" fontId="59" fillId="0" borderId="9" xfId="2" applyFont="1" applyBorder="1" applyAlignment="1">
      <alignment horizontal="center"/>
    </xf>
    <xf numFmtId="4" fontId="59" fillId="9" borderId="2" xfId="2" applyNumberFormat="1" applyFont="1" applyFill="1" applyBorder="1" applyAlignment="1">
      <alignment horizontal="center"/>
    </xf>
    <xf numFmtId="4" fontId="59" fillId="9" borderId="3" xfId="2" applyNumberFormat="1" applyFont="1" applyFill="1" applyBorder="1" applyAlignment="1">
      <alignment horizontal="center"/>
    </xf>
    <xf numFmtId="4" fontId="59" fillId="9" borderId="4" xfId="2" applyNumberFormat="1" applyFont="1" applyFill="1" applyBorder="1" applyAlignment="1">
      <alignment horizontal="center"/>
    </xf>
    <xf numFmtId="0" fontId="59" fillId="0" borderId="0" xfId="2" applyFont="1" applyAlignment="1">
      <alignment horizontal="center"/>
    </xf>
    <xf numFmtId="0" fontId="59" fillId="0" borderId="2" xfId="2" applyFont="1" applyBorder="1" applyAlignment="1">
      <alignment horizontal="center"/>
    </xf>
    <xf numFmtId="0" fontId="59" fillId="0" borderId="3" xfId="2" applyFont="1" applyBorder="1" applyAlignment="1">
      <alignment horizontal="center"/>
    </xf>
    <xf numFmtId="0" fontId="59" fillId="0" borderId="4" xfId="2" applyFont="1" applyBorder="1" applyAlignment="1">
      <alignment horizontal="center"/>
    </xf>
    <xf numFmtId="4" fontId="59" fillId="0" borderId="2" xfId="2" applyNumberFormat="1" applyFont="1" applyBorder="1" applyAlignment="1">
      <alignment horizontal="center"/>
    </xf>
    <xf numFmtId="4" fontId="59" fillId="0" borderId="4" xfId="2" applyNumberFormat="1" applyFont="1" applyBorder="1" applyAlignment="1">
      <alignment horizontal="center"/>
    </xf>
    <xf numFmtId="10" fontId="59" fillId="0" borderId="2" xfId="2" applyNumberFormat="1" applyFont="1" applyBorder="1" applyAlignment="1">
      <alignment horizontal="center"/>
    </xf>
    <xf numFmtId="10" fontId="59" fillId="0" borderId="3" xfId="2" applyNumberFormat="1" applyFont="1" applyBorder="1" applyAlignment="1">
      <alignment horizontal="center"/>
    </xf>
    <xf numFmtId="10" fontId="59" fillId="0" borderId="4" xfId="2" applyNumberFormat="1" applyFont="1" applyBorder="1" applyAlignment="1">
      <alignment horizontal="center"/>
    </xf>
    <xf numFmtId="4" fontId="59" fillId="0" borderId="1" xfId="2" applyNumberFormat="1" applyFont="1" applyBorder="1" applyAlignment="1">
      <alignment horizontal="center" vertical="center" wrapText="1"/>
    </xf>
    <xf numFmtId="4" fontId="59" fillId="0" borderId="6" xfId="2" applyNumberFormat="1" applyFont="1" applyBorder="1" applyAlignment="1">
      <alignment horizontal="center" vertical="center" wrapText="1"/>
    </xf>
    <xf numFmtId="4" fontId="59" fillId="0" borderId="8" xfId="2" applyNumberFormat="1" applyFont="1" applyBorder="1" applyAlignment="1">
      <alignment horizontal="center" vertical="center" wrapText="1"/>
    </xf>
    <xf numFmtId="10" fontId="59" fillId="0" borderId="10" xfId="2" applyNumberFormat="1" applyFont="1" applyBorder="1" applyAlignment="1">
      <alignment horizontal="center"/>
    </xf>
    <xf numFmtId="10" fontId="59" fillId="0" borderId="11" xfId="2" applyNumberFormat="1" applyFont="1" applyBorder="1" applyAlignment="1">
      <alignment horizontal="center"/>
    </xf>
    <xf numFmtId="10" fontId="59" fillId="0" borderId="44" xfId="2" applyNumberFormat="1" applyFont="1" applyBorder="1" applyAlignment="1">
      <alignment horizontal="center"/>
    </xf>
    <xf numFmtId="1" fontId="22" fillId="4" borderId="9" xfId="0" applyNumberFormat="1" applyFont="1" applyFill="1" applyBorder="1" applyAlignment="1">
      <alignment horizontal="center" vertical="center" wrapText="1"/>
    </xf>
    <xf numFmtId="1" fontId="22" fillId="4" borderId="1" xfId="0" applyNumberFormat="1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1" fontId="22" fillId="4" borderId="2" xfId="0" applyNumberFormat="1" applyFont="1" applyFill="1" applyBorder="1" applyAlignment="1">
      <alignment horizontal="center" vertical="center" wrapText="1"/>
    </xf>
    <xf numFmtId="1" fontId="22" fillId="4" borderId="14" xfId="0" applyNumberFormat="1" applyFont="1" applyFill="1" applyBorder="1" applyAlignment="1">
      <alignment horizontal="center" vertical="center" wrapText="1"/>
    </xf>
    <xf numFmtId="1" fontId="22" fillId="4" borderId="15" xfId="0" applyNumberFormat="1" applyFont="1" applyFill="1" applyBorder="1" applyAlignment="1">
      <alignment horizontal="center" vertical="center" wrapText="1"/>
    </xf>
    <xf numFmtId="1" fontId="22" fillId="4" borderId="4" xfId="0" applyNumberFormat="1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 wrapText="1"/>
    </xf>
    <xf numFmtId="0" fontId="93" fillId="5" borderId="96" xfId="0" applyFont="1" applyFill="1" applyBorder="1" applyAlignment="1">
      <alignment horizontal="center" vertical="center" wrapText="1"/>
    </xf>
    <xf numFmtId="0" fontId="93" fillId="5" borderId="97" xfId="0" applyFont="1" applyFill="1" applyBorder="1" applyAlignment="1">
      <alignment horizontal="center" vertical="center" wrapText="1"/>
    </xf>
    <xf numFmtId="0" fontId="93" fillId="5" borderId="98" xfId="0" applyFont="1" applyFill="1" applyBorder="1" applyAlignment="1">
      <alignment horizontal="center" vertical="center" wrapText="1"/>
    </xf>
    <xf numFmtId="0" fontId="95" fillId="39" borderId="93" xfId="0" applyFont="1" applyFill="1" applyBorder="1" applyAlignment="1">
      <alignment horizontal="center" vertical="center" wrapText="1"/>
    </xf>
    <xf numFmtId="0" fontId="95" fillId="39" borderId="94" xfId="0" applyFont="1" applyFill="1" applyBorder="1" applyAlignment="1">
      <alignment horizontal="center" vertical="center" wrapText="1"/>
    </xf>
    <xf numFmtId="0" fontId="95" fillId="39" borderId="95" xfId="0" applyFont="1" applyFill="1" applyBorder="1" applyAlignment="1">
      <alignment horizontal="center" vertical="center" wrapText="1"/>
    </xf>
    <xf numFmtId="0" fontId="95" fillId="42" borderId="93" xfId="0" applyFont="1" applyFill="1" applyBorder="1" applyAlignment="1">
      <alignment horizontal="center" vertical="center" wrapText="1"/>
    </xf>
    <xf numFmtId="0" fontId="95" fillId="42" borderId="94" xfId="0" applyFont="1" applyFill="1" applyBorder="1" applyAlignment="1">
      <alignment horizontal="center" vertical="center" wrapText="1"/>
    </xf>
    <xf numFmtId="0" fontId="95" fillId="42" borderId="95" xfId="0" applyFont="1" applyFill="1" applyBorder="1" applyAlignment="1">
      <alignment horizontal="center" vertical="center" wrapText="1"/>
    </xf>
    <xf numFmtId="0" fontId="93" fillId="5" borderId="96" xfId="0" applyFont="1" applyFill="1" applyBorder="1" applyAlignment="1">
      <alignment horizontal="center" vertical="center"/>
    </xf>
    <xf numFmtId="0" fontId="93" fillId="5" borderId="97" xfId="0" applyFont="1" applyFill="1" applyBorder="1" applyAlignment="1">
      <alignment horizontal="center" vertical="center"/>
    </xf>
    <xf numFmtId="0" fontId="93" fillId="5" borderId="98" xfId="0" applyFont="1" applyFill="1" applyBorder="1" applyAlignment="1">
      <alignment horizontal="center" vertical="center"/>
    </xf>
    <xf numFmtId="0" fontId="95" fillId="39" borderId="93" xfId="0" applyFont="1" applyFill="1" applyBorder="1" applyAlignment="1">
      <alignment horizontal="center" vertical="center"/>
    </xf>
    <xf numFmtId="0" fontId="95" fillId="39" borderId="94" xfId="0" applyFont="1" applyFill="1" applyBorder="1" applyAlignment="1">
      <alignment horizontal="center" vertical="center"/>
    </xf>
    <xf numFmtId="0" fontId="95" fillId="39" borderId="95" xfId="0" applyFont="1" applyFill="1" applyBorder="1" applyAlignment="1">
      <alignment horizontal="center" vertical="center"/>
    </xf>
    <xf numFmtId="0" fontId="95" fillId="42" borderId="93" xfId="0" applyFont="1" applyFill="1" applyBorder="1" applyAlignment="1">
      <alignment horizontal="center" vertical="center"/>
    </xf>
    <xf numFmtId="0" fontId="95" fillId="42" borderId="94" xfId="0" applyFont="1" applyFill="1" applyBorder="1" applyAlignment="1">
      <alignment horizontal="center" vertical="center"/>
    </xf>
    <xf numFmtId="0" fontId="95" fillId="42" borderId="95" xfId="0" applyFont="1" applyFill="1" applyBorder="1" applyAlignment="1">
      <alignment horizontal="center" vertical="center"/>
    </xf>
    <xf numFmtId="0" fontId="61" fillId="0" borderId="48" xfId="0" applyFont="1" applyBorder="1" applyAlignment="1">
      <alignment horizontal="center" vertical="center" wrapText="1"/>
    </xf>
    <xf numFmtId="0" fontId="61" fillId="0" borderId="49" xfId="0" applyFont="1" applyBorder="1" applyAlignment="1">
      <alignment horizontal="center" vertical="center" wrapText="1"/>
    </xf>
    <xf numFmtId="0" fontId="61" fillId="0" borderId="50" xfId="0" applyFont="1" applyBorder="1" applyAlignment="1">
      <alignment horizontal="center" vertical="center" wrapText="1"/>
    </xf>
    <xf numFmtId="0" fontId="62" fillId="15" borderId="51" xfId="0" applyFont="1" applyFill="1" applyBorder="1" applyAlignment="1">
      <alignment horizontal="center" vertical="center" wrapText="1"/>
    </xf>
    <xf numFmtId="0" fontId="62" fillId="15" borderId="52" xfId="0" applyFont="1" applyFill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65" fillId="0" borderId="0" xfId="0" applyFont="1" applyAlignment="1">
      <alignment vertical="center" wrapText="1"/>
    </xf>
    <xf numFmtId="170" fontId="73" fillId="17" borderId="60" xfId="10" applyNumberFormat="1" applyFont="1" applyFill="1" applyBorder="1" applyAlignment="1">
      <alignment horizontal="center" vertical="center"/>
    </xf>
    <xf numFmtId="170" fontId="73" fillId="17" borderId="64" xfId="10" applyNumberFormat="1" applyFont="1" applyFill="1" applyBorder="1" applyAlignment="1">
      <alignment horizontal="center" vertical="center"/>
    </xf>
    <xf numFmtId="170" fontId="73" fillId="17" borderId="36" xfId="10" applyNumberFormat="1" applyFont="1" applyFill="1" applyBorder="1" applyAlignment="1">
      <alignment horizontal="center" vertical="center" wrapText="1"/>
    </xf>
    <xf numFmtId="170" fontId="73" fillId="17" borderId="68" xfId="10" applyNumberFormat="1" applyFont="1" applyFill="1" applyBorder="1" applyAlignment="1">
      <alignment horizontal="center" vertical="center" wrapText="1"/>
    </xf>
    <xf numFmtId="164" fontId="73" fillId="17" borderId="18" xfId="10" applyFont="1" applyFill="1" applyBorder="1" applyAlignment="1">
      <alignment horizontal="center" vertical="center"/>
    </xf>
    <xf numFmtId="164" fontId="73" fillId="17" borderId="19" xfId="10" applyFont="1" applyFill="1" applyBorder="1" applyAlignment="1">
      <alignment horizontal="center" vertical="center"/>
    </xf>
    <xf numFmtId="164" fontId="73" fillId="17" borderId="32" xfId="10" applyFont="1" applyFill="1" applyBorder="1" applyAlignment="1">
      <alignment horizontal="center" vertical="center"/>
    </xf>
    <xf numFmtId="0" fontId="67" fillId="9" borderId="56" xfId="0" applyFont="1" applyFill="1" applyBorder="1" applyAlignment="1">
      <alignment horizontal="center"/>
    </xf>
    <xf numFmtId="0" fontId="67" fillId="9" borderId="61" xfId="0" applyFont="1" applyFill="1" applyBorder="1" applyAlignment="1">
      <alignment horizontal="center"/>
    </xf>
    <xf numFmtId="0" fontId="67" fillId="9" borderId="35" xfId="0" applyFont="1" applyFill="1" applyBorder="1" applyAlignment="1">
      <alignment horizontal="center"/>
    </xf>
    <xf numFmtId="0" fontId="67" fillId="9" borderId="41" xfId="0" applyFont="1" applyFill="1" applyBorder="1" applyAlignment="1">
      <alignment horizontal="center"/>
    </xf>
    <xf numFmtId="164" fontId="67" fillId="9" borderId="60" xfId="10" applyFont="1" applyFill="1" applyBorder="1" applyAlignment="1">
      <alignment horizontal="center"/>
    </xf>
    <xf numFmtId="164" fontId="67" fillId="9" borderId="62" xfId="10" applyFont="1" applyFill="1" applyBorder="1" applyAlignment="1">
      <alignment horizontal="center"/>
    </xf>
    <xf numFmtId="0" fontId="67" fillId="9" borderId="29" xfId="0" applyFont="1" applyFill="1" applyBorder="1" applyAlignment="1">
      <alignment horizontal="center"/>
    </xf>
    <xf numFmtId="0" fontId="67" fillId="9" borderId="64" xfId="0" applyFont="1" applyFill="1" applyBorder="1" applyAlignment="1">
      <alignment horizontal="center"/>
    </xf>
    <xf numFmtId="0" fontId="11" fillId="9" borderId="18" xfId="0" applyFont="1" applyFill="1" applyBorder="1" applyAlignment="1">
      <alignment horizontal="center"/>
    </xf>
    <xf numFmtId="0" fontId="11" fillId="9" borderId="32" xfId="0" applyFont="1" applyFill="1" applyBorder="1" applyAlignment="1">
      <alignment horizontal="center"/>
    </xf>
    <xf numFmtId="0" fontId="11" fillId="9" borderId="36" xfId="0" applyFont="1" applyFill="1" applyBorder="1" applyAlignment="1">
      <alignment horizontal="center" vertical="center" wrapText="1"/>
    </xf>
    <xf numFmtId="0" fontId="11" fillId="9" borderId="66" xfId="0" applyFont="1" applyFill="1" applyBorder="1" applyAlignment="1">
      <alignment horizontal="center" vertical="center" wrapText="1"/>
    </xf>
    <xf numFmtId="0" fontId="11" fillId="9" borderId="37" xfId="0" applyFont="1" applyFill="1" applyBorder="1" applyAlignment="1">
      <alignment horizontal="center" vertical="center" wrapText="1"/>
    </xf>
    <xf numFmtId="170" fontId="73" fillId="17" borderId="9" xfId="10" applyNumberFormat="1" applyFont="1" applyFill="1" applyBorder="1" applyAlignment="1">
      <alignment horizontal="center" vertical="center" wrapText="1"/>
    </xf>
    <xf numFmtId="164" fontId="73" fillId="17" borderId="9" xfId="10" applyFont="1" applyFill="1" applyBorder="1" applyAlignment="1">
      <alignment horizontal="center" vertical="center"/>
    </xf>
    <xf numFmtId="170" fontId="73" fillId="17" borderId="9" xfId="10" applyNumberFormat="1" applyFont="1" applyFill="1" applyBorder="1" applyAlignment="1">
      <alignment horizontal="center" vertical="center"/>
    </xf>
    <xf numFmtId="4" fontId="84" fillId="34" borderId="9" xfId="0" applyNumberFormat="1" applyFont="1" applyFill="1" applyBorder="1" applyAlignment="1">
      <alignment horizontal="center" vertical="center"/>
    </xf>
    <xf numFmtId="4" fontId="84" fillId="34" borderId="1" xfId="0" applyNumberFormat="1" applyFont="1" applyFill="1" applyBorder="1" applyAlignment="1">
      <alignment horizontal="center" vertical="center"/>
    </xf>
    <xf numFmtId="4" fontId="84" fillId="34" borderId="6" xfId="0" applyNumberFormat="1" applyFont="1" applyFill="1" applyBorder="1" applyAlignment="1">
      <alignment horizontal="center" vertical="center"/>
    </xf>
    <xf numFmtId="4" fontId="84" fillId="34" borderId="8" xfId="0" applyNumberFormat="1" applyFont="1" applyFill="1" applyBorder="1" applyAlignment="1">
      <alignment horizontal="center" vertical="center"/>
    </xf>
    <xf numFmtId="0" fontId="84" fillId="32" borderId="81" xfId="0" applyFont="1" applyFill="1" applyBorder="1" applyAlignment="1">
      <alignment horizontal="center" vertical="center"/>
    </xf>
    <xf numFmtId="0" fontId="84" fillId="32" borderId="83" xfId="0" applyFont="1" applyFill="1" applyBorder="1" applyAlignment="1">
      <alignment horizontal="center" vertical="center"/>
    </xf>
    <xf numFmtId="0" fontId="84" fillId="31" borderId="6" xfId="0" applyFont="1" applyFill="1" applyBorder="1" applyAlignment="1">
      <alignment horizontal="center" vertical="center"/>
    </xf>
    <xf numFmtId="0" fontId="84" fillId="31" borderId="8" xfId="0" applyFont="1" applyFill="1" applyBorder="1" applyAlignment="1">
      <alignment horizontal="center" vertical="center"/>
    </xf>
    <xf numFmtId="0" fontId="84" fillId="31" borderId="1" xfId="0" applyFont="1" applyFill="1" applyBorder="1" applyAlignment="1">
      <alignment horizontal="center" vertical="center"/>
    </xf>
    <xf numFmtId="0" fontId="84" fillId="31" borderId="85" xfId="0" applyFont="1" applyFill="1" applyBorder="1" applyAlignment="1">
      <alignment horizontal="center" vertical="center"/>
    </xf>
    <xf numFmtId="0" fontId="84" fillId="31" borderId="87" xfId="0" applyFont="1" applyFill="1" applyBorder="1" applyAlignment="1">
      <alignment horizontal="center" vertical="center"/>
    </xf>
    <xf numFmtId="0" fontId="82" fillId="0" borderId="0" xfId="0" applyFont="1" applyAlignment="1">
      <alignment horizontal="center"/>
    </xf>
    <xf numFmtId="0" fontId="82" fillId="26" borderId="18" xfId="0" applyFont="1" applyFill="1" applyBorder="1" applyAlignment="1">
      <alignment horizontal="center"/>
    </xf>
    <xf numFmtId="0" fontId="82" fillId="26" borderId="19" xfId="0" applyFont="1" applyFill="1" applyBorder="1" applyAlignment="1">
      <alignment horizontal="center"/>
    </xf>
    <xf numFmtId="0" fontId="82" fillId="26" borderId="32" xfId="0" applyFont="1" applyFill="1" applyBorder="1" applyAlignment="1">
      <alignment horizontal="center"/>
    </xf>
    <xf numFmtId="0" fontId="36" fillId="27" borderId="73" xfId="0" applyFont="1" applyFill="1" applyBorder="1" applyAlignment="1">
      <alignment horizontal="left" vertical="center"/>
    </xf>
    <xf numFmtId="0" fontId="36" fillId="27" borderId="74" xfId="0" applyFont="1" applyFill="1" applyBorder="1" applyAlignment="1">
      <alignment horizontal="left" vertical="center"/>
    </xf>
    <xf numFmtId="0" fontId="36" fillId="27" borderId="75" xfId="0" applyFont="1" applyFill="1" applyBorder="1" applyAlignment="1">
      <alignment horizontal="left" vertical="center"/>
    </xf>
    <xf numFmtId="0" fontId="82" fillId="0" borderId="0" xfId="0" applyFont="1" applyAlignment="1">
      <alignment horizontal="center" vertical="center" wrapText="1"/>
    </xf>
    <xf numFmtId="0" fontId="82" fillId="31" borderId="17" xfId="0" applyFont="1" applyFill="1" applyBorder="1" applyAlignment="1">
      <alignment horizontal="center" vertical="center"/>
    </xf>
    <xf numFmtId="0" fontId="82" fillId="31" borderId="45" xfId="0" applyFont="1" applyFill="1" applyBorder="1" applyAlignment="1">
      <alignment horizontal="center" vertical="center"/>
    </xf>
    <xf numFmtId="0" fontId="82" fillId="31" borderId="5" xfId="0" applyFont="1" applyFill="1" applyBorder="1" applyAlignment="1">
      <alignment horizontal="center" vertical="center"/>
    </xf>
    <xf numFmtId="0" fontId="82" fillId="31" borderId="21" xfId="0" applyFont="1" applyFill="1" applyBorder="1" applyAlignment="1">
      <alignment horizontal="center" vertical="center"/>
    </xf>
    <xf numFmtId="0" fontId="82" fillId="31" borderId="0" xfId="0" applyFont="1" applyFill="1" applyAlignment="1">
      <alignment horizontal="center" vertical="center"/>
    </xf>
    <xf numFmtId="0" fontId="82" fillId="31" borderId="7" xfId="0" applyFont="1" applyFill="1" applyBorder="1" applyAlignment="1">
      <alignment horizontal="center" vertical="center"/>
    </xf>
    <xf numFmtId="0" fontId="82" fillId="31" borderId="10" xfId="0" applyFont="1" applyFill="1" applyBorder="1" applyAlignment="1">
      <alignment horizontal="center" vertical="center"/>
    </xf>
    <xf numFmtId="0" fontId="82" fillId="31" borderId="44" xfId="0" applyFont="1" applyFill="1" applyBorder="1" applyAlignment="1">
      <alignment horizontal="center" vertical="center"/>
    </xf>
    <xf numFmtId="0" fontId="82" fillId="31" borderId="11" xfId="0" applyFont="1" applyFill="1" applyBorder="1" applyAlignment="1">
      <alignment horizontal="center" vertical="center"/>
    </xf>
    <xf numFmtId="0" fontId="82" fillId="32" borderId="17" xfId="0" applyFont="1" applyFill="1" applyBorder="1" applyAlignment="1">
      <alignment horizontal="center" vertical="center"/>
    </xf>
    <xf numFmtId="0" fontId="82" fillId="32" borderId="45" xfId="0" applyFont="1" applyFill="1" applyBorder="1" applyAlignment="1">
      <alignment horizontal="center" vertical="center"/>
    </xf>
    <xf numFmtId="0" fontId="82" fillId="32" borderId="5" xfId="0" applyFont="1" applyFill="1" applyBorder="1" applyAlignment="1">
      <alignment horizontal="center" vertical="center"/>
    </xf>
    <xf numFmtId="0" fontId="82" fillId="32" borderId="21" xfId="0" applyFont="1" applyFill="1" applyBorder="1" applyAlignment="1">
      <alignment horizontal="center" vertical="center"/>
    </xf>
    <xf numFmtId="0" fontId="82" fillId="32" borderId="0" xfId="0" applyFont="1" applyFill="1" applyAlignment="1">
      <alignment horizontal="center" vertical="center"/>
    </xf>
    <xf numFmtId="0" fontId="82" fillId="32" borderId="7" xfId="0" applyFont="1" applyFill="1" applyBorder="1" applyAlignment="1">
      <alignment horizontal="center" vertical="center"/>
    </xf>
    <xf numFmtId="0" fontId="82" fillId="32" borderId="10" xfId="0" applyFont="1" applyFill="1" applyBorder="1" applyAlignment="1">
      <alignment horizontal="center" vertical="center"/>
    </xf>
    <xf numFmtId="0" fontId="82" fillId="32" borderId="44" xfId="0" applyFont="1" applyFill="1" applyBorder="1" applyAlignment="1">
      <alignment horizontal="center" vertical="center"/>
    </xf>
    <xf numFmtId="0" fontId="82" fillId="32" borderId="11" xfId="0" applyFont="1" applyFill="1" applyBorder="1" applyAlignment="1">
      <alignment horizontal="center" vertical="center"/>
    </xf>
    <xf numFmtId="0" fontId="82" fillId="33" borderId="84" xfId="0" applyFont="1" applyFill="1" applyBorder="1" applyAlignment="1">
      <alignment horizontal="center" vertical="center" wrapText="1"/>
    </xf>
    <xf numFmtId="0" fontId="82" fillId="34" borderId="17" xfId="0" applyFont="1" applyFill="1" applyBorder="1" applyAlignment="1">
      <alignment horizontal="center" vertical="center"/>
    </xf>
    <xf numFmtId="0" fontId="82" fillId="34" borderId="45" xfId="0" applyFont="1" applyFill="1" applyBorder="1" applyAlignment="1">
      <alignment horizontal="center" vertical="center"/>
    </xf>
    <xf numFmtId="0" fontId="82" fillId="34" borderId="5" xfId="0" applyFont="1" applyFill="1" applyBorder="1" applyAlignment="1">
      <alignment horizontal="center" vertical="center"/>
    </xf>
    <xf numFmtId="0" fontId="82" fillId="34" borderId="21" xfId="0" applyFont="1" applyFill="1" applyBorder="1" applyAlignment="1">
      <alignment horizontal="center" vertical="center"/>
    </xf>
    <xf numFmtId="0" fontId="82" fillId="34" borderId="0" xfId="0" applyFont="1" applyFill="1" applyAlignment="1">
      <alignment horizontal="center" vertical="center"/>
    </xf>
    <xf numFmtId="0" fontId="82" fillId="34" borderId="7" xfId="0" applyFont="1" applyFill="1" applyBorder="1" applyAlignment="1">
      <alignment horizontal="center" vertical="center"/>
    </xf>
    <xf numFmtId="0" fontId="82" fillId="34" borderId="10" xfId="0" applyFont="1" applyFill="1" applyBorder="1" applyAlignment="1">
      <alignment horizontal="center" vertical="center"/>
    </xf>
    <xf numFmtId="0" fontId="82" fillId="34" borderId="44" xfId="0" applyFont="1" applyFill="1" applyBorder="1" applyAlignment="1">
      <alignment horizontal="center" vertical="center"/>
    </xf>
    <xf numFmtId="0" fontId="82" fillId="34" borderId="11" xfId="0" applyFont="1" applyFill="1" applyBorder="1" applyAlignment="1">
      <alignment horizontal="center" vertical="center"/>
    </xf>
    <xf numFmtId="4" fontId="84" fillId="34" borderId="7" xfId="0" applyNumberFormat="1" applyFont="1" applyFill="1" applyBorder="1" applyAlignment="1">
      <alignment horizontal="center" vertical="center"/>
    </xf>
    <xf numFmtId="4" fontId="84" fillId="34" borderId="11" xfId="0" applyNumberFormat="1" applyFont="1" applyFill="1" applyBorder="1" applyAlignment="1">
      <alignment horizontal="center" vertical="center"/>
    </xf>
    <xf numFmtId="0" fontId="84" fillId="32" borderId="86" xfId="0" applyFont="1" applyFill="1" applyBorder="1" applyAlignment="1">
      <alignment horizontal="center" vertical="center"/>
    </xf>
    <xf numFmtId="4" fontId="82" fillId="33" borderId="79" xfId="0" applyNumberFormat="1" applyFont="1" applyFill="1" applyBorder="1" applyAlignment="1">
      <alignment horizontal="center" vertical="center" wrapText="1"/>
    </xf>
    <xf numFmtId="4" fontId="84" fillId="34" borderId="80" xfId="0" applyNumberFormat="1" applyFont="1" applyFill="1" applyBorder="1" applyAlignment="1">
      <alignment horizontal="center" vertical="center"/>
    </xf>
    <xf numFmtId="0" fontId="84" fillId="34" borderId="80" xfId="0" applyFont="1" applyFill="1" applyBorder="1" applyAlignment="1">
      <alignment horizontal="center" vertical="center"/>
    </xf>
    <xf numFmtId="0" fontId="33" fillId="46" borderId="2" xfId="0" applyFont="1" applyFill="1" applyBorder="1" applyAlignment="1">
      <alignment horizontal="center"/>
    </xf>
    <xf numFmtId="0" fontId="33" fillId="46" borderId="3" xfId="0" applyFont="1" applyFill="1" applyBorder="1" applyAlignment="1">
      <alignment horizontal="center"/>
    </xf>
    <xf numFmtId="0" fontId="33" fillId="46" borderId="4" xfId="0" applyFont="1" applyFill="1" applyBorder="1" applyAlignment="1">
      <alignment horizontal="center"/>
    </xf>
    <xf numFmtId="0" fontId="33" fillId="46" borderId="9" xfId="0" applyFont="1" applyFill="1" applyBorder="1" applyAlignment="1">
      <alignment horizontal="center"/>
    </xf>
    <xf numFmtId="49" fontId="108" fillId="0" borderId="0" xfId="6" applyNumberFormat="1" applyFont="1" applyAlignment="1">
      <alignment horizontal="center" vertical="center" wrapText="1"/>
    </xf>
    <xf numFmtId="0" fontId="6" fillId="0" borderId="2" xfId="2" applyFont="1" applyBorder="1" applyAlignment="1">
      <alignment horizontal="center"/>
    </xf>
    <xf numFmtId="0" fontId="6" fillId="0" borderId="4" xfId="2" applyFont="1" applyBorder="1" applyAlignment="1">
      <alignment horizontal="center"/>
    </xf>
    <xf numFmtId="0" fontId="6" fillId="12" borderId="36" xfId="2" applyFont="1" applyFill="1" applyBorder="1" applyAlignment="1">
      <alignment horizontal="center"/>
    </xf>
    <xf numFmtId="0" fontId="6" fillId="12" borderId="37" xfId="2" applyFont="1" applyFill="1" applyBorder="1" applyAlignment="1">
      <alignment horizontal="center"/>
    </xf>
    <xf numFmtId="0" fontId="7" fillId="0" borderId="0" xfId="2" applyFont="1" applyAlignment="1">
      <alignment horizontal="left"/>
    </xf>
    <xf numFmtId="0" fontId="9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6" fillId="0" borderId="3" xfId="2" applyFont="1" applyBorder="1" applyAlignment="1">
      <alignment horizontal="center"/>
    </xf>
    <xf numFmtId="10" fontId="6" fillId="0" borderId="2" xfId="2" applyNumberFormat="1" applyFont="1" applyBorder="1" applyAlignment="1">
      <alignment horizontal="center"/>
    </xf>
    <xf numFmtId="10" fontId="6" fillId="0" borderId="3" xfId="2" applyNumberFormat="1" applyFont="1" applyBorder="1" applyAlignment="1">
      <alignment horizontal="center"/>
    </xf>
    <xf numFmtId="10" fontId="6" fillId="0" borderId="4" xfId="2" applyNumberFormat="1" applyFont="1" applyBorder="1" applyAlignment="1">
      <alignment horizontal="center"/>
    </xf>
    <xf numFmtId="4" fontId="6" fillId="0" borderId="2" xfId="2" applyNumberFormat="1" applyFont="1" applyBorder="1" applyAlignment="1">
      <alignment horizontal="center"/>
    </xf>
    <xf numFmtId="4" fontId="6" fillId="0" borderId="4" xfId="2" applyNumberFormat="1" applyFont="1" applyBorder="1" applyAlignment="1">
      <alignment horizontal="center"/>
    </xf>
    <xf numFmtId="0" fontId="5" fillId="0" borderId="7" xfId="2" applyFont="1" applyBorder="1" applyAlignment="1">
      <alignment horizont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left" vertical="center" wrapText="1"/>
    </xf>
    <xf numFmtId="4" fontId="6" fillId="0" borderId="1" xfId="2" applyNumberFormat="1" applyFont="1" applyBorder="1" applyAlignment="1">
      <alignment horizontal="center" vertical="center"/>
    </xf>
    <xf numFmtId="4" fontId="6" fillId="0" borderId="6" xfId="2" applyNumberFormat="1" applyFont="1" applyBorder="1" applyAlignment="1">
      <alignment horizontal="center" vertical="center"/>
    </xf>
    <xf numFmtId="4" fontId="6" fillId="0" borderId="8" xfId="2" applyNumberFormat="1" applyFont="1" applyBorder="1" applyAlignment="1">
      <alignment horizontal="center" vertical="center"/>
    </xf>
    <xf numFmtId="4" fontId="6" fillId="0" borderId="1" xfId="2" applyNumberFormat="1" applyFont="1" applyBorder="1" applyAlignment="1">
      <alignment horizontal="center" vertical="center" wrapText="1"/>
    </xf>
    <xf numFmtId="4" fontId="6" fillId="0" borderId="6" xfId="2" applyNumberFormat="1" applyFont="1" applyBorder="1" applyAlignment="1">
      <alignment horizontal="center" vertical="center" wrapText="1"/>
    </xf>
    <xf numFmtId="4" fontId="6" fillId="0" borderId="8" xfId="2" applyNumberFormat="1" applyFont="1" applyBorder="1" applyAlignment="1">
      <alignment horizontal="center" vertical="center" wrapText="1"/>
    </xf>
    <xf numFmtId="1" fontId="22" fillId="6" borderId="1" xfId="0" applyNumberFormat="1" applyFont="1" applyFill="1" applyBorder="1" applyAlignment="1">
      <alignment horizontal="center" vertical="center" wrapText="1"/>
    </xf>
    <xf numFmtId="1" fontId="22" fillId="6" borderId="6" xfId="0" applyNumberFormat="1" applyFont="1" applyFill="1" applyBorder="1" applyAlignment="1">
      <alignment horizontal="center" vertical="center" wrapText="1"/>
    </xf>
    <xf numFmtId="1" fontId="22" fillId="6" borderId="8" xfId="0" applyNumberFormat="1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center" vertical="center" wrapText="1"/>
    </xf>
    <xf numFmtId="1" fontId="22" fillId="6" borderId="9" xfId="0" applyNumberFormat="1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6" borderId="1" xfId="2" applyFont="1" applyFill="1" applyBorder="1" applyAlignment="1">
      <alignment horizontal="center" vertical="center" wrapText="1"/>
    </xf>
    <xf numFmtId="0" fontId="6" fillId="6" borderId="6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</cellXfs>
  <cellStyles count="47">
    <cellStyle name="Millares" xfId="10" builtinId="3"/>
    <cellStyle name="Millares 10" xfId="16" xr:uid="{59B6997B-8017-4B6F-A7B5-58F2162680E0}"/>
    <cellStyle name="Millares 11" xfId="17" xr:uid="{CDF1D51A-0C68-4A06-9754-AE1BA85B371D}"/>
    <cellStyle name="Millares 12" xfId="18" xr:uid="{1CD2D9F8-ADF9-4868-9358-E79C83D1EC4A}"/>
    <cellStyle name="Millares 13" xfId="19" xr:uid="{5B410346-5245-4631-9326-F14261242265}"/>
    <cellStyle name="Millares 14" xfId="20" xr:uid="{EABABFE9-479A-406C-A242-B8F191D4AD46}"/>
    <cellStyle name="Millares 15" xfId="21" xr:uid="{11485499-7F2C-4D5B-BED6-F5E048D5158E}"/>
    <cellStyle name="Millares 2" xfId="3" xr:uid="{00000000-0005-0000-0000-000001000000}"/>
    <cellStyle name="Millares 2 2" xfId="13" xr:uid="{00000000-0005-0000-0000-000002000000}"/>
    <cellStyle name="Millares 3" xfId="8" xr:uid="{00000000-0005-0000-0000-000003000000}"/>
    <cellStyle name="Millares 3 2" xfId="22" xr:uid="{DCF3B947-DA11-41BF-824A-8DE194382858}"/>
    <cellStyle name="Millares 4" xfId="12" xr:uid="{00000000-0005-0000-0000-000004000000}"/>
    <cellStyle name="Millares 4 2" xfId="23" xr:uid="{FB95B3D3-9B9C-49E8-9777-BC0BACADCCE9}"/>
    <cellStyle name="Millares 5" xfId="24" xr:uid="{994D7F3C-DB44-4A80-B54F-24C4CE78C660}"/>
    <cellStyle name="Millares 6" xfId="25" xr:uid="{79C110BD-CADB-4506-AFF8-A3E5E66A88FE}"/>
    <cellStyle name="Millares 7" xfId="26" xr:uid="{FEDB4172-5176-45BE-A4D5-ECFC27626321}"/>
    <cellStyle name="Millares 8" xfId="27" xr:uid="{744E40D7-987C-4174-BD59-FFDDD4AC16BD}"/>
    <cellStyle name="Millares 9" xfId="28" xr:uid="{04E8430C-02E6-462E-899D-C5E94D7816BB}"/>
    <cellStyle name="Millares_PlanillaEjercicio" xfId="5" xr:uid="{00000000-0005-0000-0000-000005000000}"/>
    <cellStyle name="Normal" xfId="0" builtinId="0"/>
    <cellStyle name="Normal 11" xfId="15" xr:uid="{0BD1D9EF-960C-4689-AD2D-2F54DF2800BB}"/>
    <cellStyle name="Normal 2" xfId="9" xr:uid="{00000000-0005-0000-0000-000007000000}"/>
    <cellStyle name="Normal 2 10" xfId="29" xr:uid="{FC6E539B-83FD-4DA5-BE90-7E8F237085AA}"/>
    <cellStyle name="Normal 2 11" xfId="30" xr:uid="{59843878-E9FF-4479-A6DA-CE0E4277A239}"/>
    <cellStyle name="Normal 2 12" xfId="31" xr:uid="{561980F9-A40B-4B08-86E2-C218AECB4277}"/>
    <cellStyle name="Normal 2 13" xfId="32" xr:uid="{1CE4252D-C3E8-4F4A-9A94-3CF0F74CE51D}"/>
    <cellStyle name="Normal 2 14" xfId="33" xr:uid="{82453F18-610C-41C0-9294-E87C98CBD78D}"/>
    <cellStyle name="Normal 2 15" xfId="34" xr:uid="{F64FFC46-11E7-4F42-BCF8-15AAFA945D70}"/>
    <cellStyle name="Normal 2 2" xfId="2" xr:uid="{00000000-0005-0000-0000-000008000000}"/>
    <cellStyle name="Normal 2 3" xfId="14" xr:uid="{00000000-0005-0000-0000-000009000000}"/>
    <cellStyle name="Normal 2 3 2" xfId="35" xr:uid="{3AB79843-3871-4F4C-8FD7-6848D66B4762}"/>
    <cellStyle name="Normal 2 4" xfId="36" xr:uid="{9924D17A-7613-4EEE-B03E-0B71586E7D53}"/>
    <cellStyle name="Normal 2 5" xfId="37" xr:uid="{68C95672-E516-48AD-95CB-80F1B23ECCE6}"/>
    <cellStyle name="Normal 2 6" xfId="38" xr:uid="{A8EB7725-78CD-4F6B-86BA-D6535C087F7E}"/>
    <cellStyle name="Normal 2 7" xfId="39" xr:uid="{35A17B59-3024-4431-80CC-53D642404A30}"/>
    <cellStyle name="Normal 2 8" xfId="40" xr:uid="{2234F406-F27B-49E2-A067-3AFF8DE26CB2}"/>
    <cellStyle name="Normal 2 9" xfId="41" xr:uid="{87389DE5-83C8-48D3-96D0-C02516C95F1C}"/>
    <cellStyle name="Normal 3" xfId="11" xr:uid="{00000000-0005-0000-0000-00000A000000}"/>
    <cellStyle name="Normal 3 2" xfId="42" xr:uid="{EEBCE827-9746-4913-A332-F00C389261C1}"/>
    <cellStyle name="Normal 4" xfId="6" xr:uid="{00000000-0005-0000-0000-00000B000000}"/>
    <cellStyle name="Normal 5" xfId="45" xr:uid="{4DF9E651-C430-449B-A832-A5C4994ABE94}"/>
    <cellStyle name="Normal 6" xfId="46" xr:uid="{8B7F72D5-101E-4D2A-923F-39EF8C2D872A}"/>
    <cellStyle name="Normal 7" xfId="44" xr:uid="{C233B722-708C-4229-8374-EADE55F1CA63}"/>
    <cellStyle name="Normal 8" xfId="7" xr:uid="{00000000-0005-0000-0000-00000C000000}"/>
    <cellStyle name="Porcentaje" xfId="1" builtinId="5"/>
    <cellStyle name="Porcentaje 2" xfId="43" xr:uid="{9D2CD45B-2E0E-48A4-8524-962F10D13563}"/>
    <cellStyle name="Porcentual 2" xfId="4" xr:uid="{00000000-0005-0000-0000-00000E000000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2" formatCode="dd\-mm\-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0000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  <color rgb="FFCCECFF"/>
      <color rgb="FFE5F5FF"/>
      <color rgb="FF7D1EB2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theme" Target="theme/theme1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connections" Target="connections.xml"/><Relationship Id="rId20" Type="http://schemas.openxmlformats.org/officeDocument/2006/relationships/worksheet" Target="worksheets/sheet20.xml"/><Relationship Id="rId4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124799</xdr:colOff>
      <xdr:row>29</xdr:row>
      <xdr:rowOff>38850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8305CA-00D5-4281-9CDB-01A558547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6982799" cy="53728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20</xdr:col>
      <xdr:colOff>67642</xdr:colOff>
      <xdr:row>31</xdr:row>
      <xdr:rowOff>181798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D62760-EE63-4D77-BC5E-47740DF6F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0" y="190500"/>
          <a:ext cx="6925642" cy="58967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10</xdr:col>
      <xdr:colOff>48589</xdr:colOff>
      <xdr:row>64</xdr:row>
      <xdr:rowOff>38930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9582AAF-47F8-4237-B330-14B100D4E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6286500"/>
          <a:ext cx="6906589" cy="59444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19.%20COMISIONES%20DE%20VENTA/Comisiones%20Agosto%202026.xlsx" TargetMode="External"/><Relationship Id="rId2" Type="http://schemas.openxmlformats.org/officeDocument/2006/relationships/externalLinkPath" Target="https://inprocessperu.sharepoint.com/sites/RecursosHumanos/Documentos%20compartidos/RR%20HH/1.%20INPROCESS/19.%20COMISIONES%20DE%20VENTA/Comisiones%20Agosto%202026.xlsx" TargetMode="External"/><Relationship Id="rId1" Type="http://schemas.openxmlformats.org/officeDocument/2006/relationships/externalLinkPath" Target="/sites/RecursosHumanos/Documentos%20compartidos/RR%20HH/1.%20INPROCESS/19.%20COMISIONES%20DE%20VENTA/Comisiones%20Agost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07%20JULIO/2DA%20QUINCENA%20DE%20JULIO%202026_FINAL.xlsx" TargetMode="External"/><Relationship Id="rId2" Type="http://schemas.openxmlformats.org/officeDocument/2006/relationships/externalLinkPath" Target="https://inprocessperu.sharepoint.com/sites/RecursosHumanos/Documentos%20compartidos/RR%20HH/1.%20INPROCESS/11.%20PLANILLA/2026/07%20JULIO/2DA%20QUINCENA%20DE%20JULIO%202026_FINAL.xlsx" TargetMode="External"/><Relationship Id="rId1" Type="http://schemas.openxmlformats.org/officeDocument/2006/relationships/externalLinkPath" Target="/sites/RecursosHumanos/Documentos%20compartidos/RR%20HH/1.%20INPROCESS/11.%20PLANILLA/2026/07%20JULIO/2DA%20QUINCENA%20DE%20JULIO%202026_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Contabilidad_InProcess/Documentos%20compartidos/01%20INDUSTRIAL%20PROCESS/PLE%202026/DESCUENTOS%20TRABAJADORES%202026.xlsx" TargetMode="External"/><Relationship Id="rId2" Type="http://schemas.openxmlformats.org/officeDocument/2006/relationships/externalLinkPath" Target="https://inprocessperu.sharepoint.com/sites/Contabilidad_InProcess/Documentos%20compartidos/01%20INDUSTRIAL%20PROCESS/PLE%202026/DESCUENTOS%20TRABAJADORES%202026.xlsx" TargetMode="External"/><Relationship Id="rId1" Type="http://schemas.openxmlformats.org/officeDocument/2006/relationships/externalLinkPath" Target="/sites/Contabilidad_InProcess/Documentos%20compartidos/01%20INDUSTRIAL%20PROCESS/PLE%202026/DESCUENTOS%20TRABAJADORES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0.%20LBS/LIQ%20FIORELLA%20LOBO.xlsx" TargetMode="External"/><Relationship Id="rId2" Type="http://schemas.openxmlformats.org/officeDocument/2006/relationships/externalLinkPath" Target="https://inprocessperu.sharepoint.com/sites/RecursosHumanos/Documentos%20compartidos/RR%20HH/1.%20INPROCESS/20.%20LBS/LIQ%20FIORELLA%20LOBO.xlsx" TargetMode="External"/><Relationship Id="rId1" Type="http://schemas.openxmlformats.org/officeDocument/2006/relationships/externalLinkPath" Target="/sites/RecursosHumanos/Documentos%20compartidos/RR%20HH/1.%20INPROCESS/20.%20LBS/LIQ%20FIORELLA%20LOBO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Contabilidad_InProcess/Documentos%20compartidos/01%20INDUSTRIAL%20PROCESS/PLE%202026/01%20ENERO%20INPROCESS%202026/2DA%20QUINCENA%20PLANILLA%20-%20ENERO%202026.xlsx" TargetMode="External"/><Relationship Id="rId2" Type="http://schemas.openxmlformats.org/officeDocument/2006/relationships/externalLinkPath" Target="https://inprocessperu.sharepoint.com/sites/Contabilidad_InProcess/Documentos%20compartidos/01%20INDUSTRIAL%20PROCESS/PLE%202026/01%20ENERO%20INPROCESS%202026/2DA%20QUINCENA%20PLANILLA%20-%20ENERO%202026.xlsx" TargetMode="External"/><Relationship Id="rId1" Type="http://schemas.openxmlformats.org/officeDocument/2006/relationships/externalLinkPath" Target="/sites/Contabilidad_InProcess/Documentos%20compartidos/01%20INDUSTRIAL%20PROCESS/PLE%202026/01%20ENERO%20INPROCESS%202026/2DA%20QUINCENA%20PLANILLA%20-%20ENERO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Contabilidad_InProcess/Documentos%20compartidos/01%20INDUSTRIAL%20PROCESS/RRHH/COMISIONES%20VENTAS/COMISIONES/2025/Comisiones%20julio%202025.xlsx" TargetMode="External"/><Relationship Id="rId2" Type="http://schemas.openxmlformats.org/officeDocument/2006/relationships/externalLinkPath" Target="https://inprocessperu.sharepoint.com/sites/Contabilidad_InProcess/Documentos%20compartidos/01%20INDUSTRIAL%20PROCESS/RRHH/COMISIONES%20VENTAS/COMISIONES/2025/Comisiones%20julio%202025.xlsx" TargetMode="External"/><Relationship Id="rId1" Type="http://schemas.openxmlformats.org/officeDocument/2006/relationships/externalLinkPath" Target="/sites/Contabilidad_InProcess/Documentos%20compartidos/01%20INDUSTRIAL%20PROCESS/RRHH/COMISIONES%20VENTAS/COMISIONES/2025/Comisiones%20julio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Contabilidad_InProcess/Documentos%20compartidos/01%20INDUSTRIAL%20PROCESS/PLE%202025/08%20AGOSTO%20INPROCESS%202025/2DA%20QUINCENA%20PLANILLA%20-%20MENSUAL%20AGOSTO%202025%20ACTUALIZADO.xlsx" TargetMode="External"/><Relationship Id="rId2" Type="http://schemas.openxmlformats.org/officeDocument/2006/relationships/externalLinkPath" Target="https://inprocessperu.sharepoint.com/sites/Contabilidad_InProcess/Documentos%20compartidos/01%20INDUSTRIAL%20PROCESS/PLE%202025/08%20AGOSTO%20INPROCESS%202025/2DA%20QUINCENA%20PLANILLA%20-%20MENSUAL%20AGOSTO%202025%20ACTUALIZADO.xlsx" TargetMode="External"/><Relationship Id="rId1" Type="http://schemas.openxmlformats.org/officeDocument/2006/relationships/externalLinkPath" Target="/sites/Contabilidad_InProcess/Documentos%20compartidos/01%20INDUSTRIAL%20PROCESS/PLE%202025/08%20AGOSTO%20INPROCESS%202025/2DA%20QUINCENA%20PLANILLA%20-%20MENSUAL%20AGOSTO%202025%20ACTUALIZADO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Contabilidad_InProcess/Documentos%20compartidos/01%20INDUSTRIAL%20PROCESS/RRHH/COMISIONES%20VENTAS/COMISIONES/2025/Comisiones%20agosto%202025%20-%20copia.xlsx" TargetMode="External"/><Relationship Id="rId2" Type="http://schemas.openxmlformats.org/officeDocument/2006/relationships/externalLinkPath" Target="https://inprocessperu.sharepoint.com/sites/Contabilidad_InProcess/Documentos%20compartidos/01%20INDUSTRIAL%20PROCESS/RRHH/COMISIONES%20VENTAS/COMISIONES/2025/Comisiones%20agosto%202025%20-%20copia.xlsx" TargetMode="External"/><Relationship Id="rId1" Type="http://schemas.openxmlformats.org/officeDocument/2006/relationships/externalLinkPath" Target="/sites/Contabilidad_InProcess/Documentos%20compartidos/01%20INDUSTRIAL%20PROCESS/RRHH/COMISIONES%20VENTAS/COMISIONES/2025/Comisiones%20agosto%202025%20-%20copia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Contabilidad_InProcess/Documentos%20compartidos/01%20INDUSTRIAL%20PROCESS/RRHH/COMISIONES%20VENTAS/COMISIONES/2025/Comisiones%20octubre%202025.xlsx" TargetMode="External"/><Relationship Id="rId2" Type="http://schemas.openxmlformats.org/officeDocument/2006/relationships/externalLinkPath" Target="https://inprocessperu.sharepoint.com/sites/Contabilidad_InProcess/Documentos%20compartidos/01%20INDUSTRIAL%20PROCESS/RRHH/COMISIONES%20VENTAS/COMISIONES/2025/Comisiones%20octubre%202025.xlsx" TargetMode="External"/><Relationship Id="rId1" Type="http://schemas.openxmlformats.org/officeDocument/2006/relationships/externalLinkPath" Target="/sites/Contabilidad_InProcess/Documentos%20compartidos/01%20INDUSTRIAL%20PROCESS/RRHH/COMISIONES%20VENTAS/COMISIONES/2025/Comisiones%20octubre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Contabilidad_InProcess/Documentos%20compartidos/01%20INDUSTRIAL%20PROCESS/RRHH/COMISIONES%20VENTAS/COMISIONES/2025/Comisiones%20noviembre%202025.xlsx" TargetMode="External"/><Relationship Id="rId2" Type="http://schemas.openxmlformats.org/officeDocument/2006/relationships/externalLinkPath" Target="https://inprocessperu.sharepoint.com/sites/Contabilidad_InProcess/Documentos%20compartidos/01%20INDUSTRIAL%20PROCESS/RRHH/COMISIONES%20VENTAS/COMISIONES/2025/Comisiones%20noviembre%202025.xlsx" TargetMode="External"/><Relationship Id="rId1" Type="http://schemas.openxmlformats.org/officeDocument/2006/relationships/externalLinkPath" Target="/sites/Contabilidad_InProcess/Documentos%20compartidos/01%20INDUSTRIAL%20PROCESS/RRHH/COMISIONES%20VENTAS/COMISIONES/2025/Comisiones%20noviembre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Contabilidad_InProcess/Documentos%20compartidos/01%20INDUSTRIAL%20PROCESS/RRHH/COMISIONES%20VENTAS/COMISIONES/2025/Comisiones%20diciembre%202025.xlsx" TargetMode="External"/><Relationship Id="rId2" Type="http://schemas.openxmlformats.org/officeDocument/2006/relationships/externalLinkPath" Target="https://inprocessperu.sharepoint.com/sites/Contabilidad_InProcess/Documentos%20compartidos/01%20INDUSTRIAL%20PROCESS/RRHH/COMISIONES%20VENTAS/COMISIONES/2025/Comisiones%20diciembre%202025.xlsx" TargetMode="External"/><Relationship Id="rId1" Type="http://schemas.openxmlformats.org/officeDocument/2006/relationships/externalLinkPath" Target="/sites/Contabilidad_InProcess/Documentos%20compartidos/01%20INDUSTRIAL%20PROCESS/RRHH/COMISIONES%20VENTAS/COMISIONES/2025/Comisiones%20diciembre%20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OMISIONES%20DE%20VENTA/Comisiones%20Junio%202026.xlsx" TargetMode="External"/><Relationship Id="rId2" Type="http://schemas.openxmlformats.org/officeDocument/2006/relationships/externalLinkPath" Target="https://inprocessperu.sharepoint.com/sites/RecursosHumanos/Documentos%20compartidos/RR%20HH/1.%20INPROCESS/COMISIONES%20DE%20VENTA/Comisiones%20Junio%202026.xlsx" TargetMode="External"/><Relationship Id="rId1" Type="http://schemas.openxmlformats.org/officeDocument/2006/relationships/externalLinkPath" Target="/sites/RecursosHumanos/Documentos%20compartidos/RR%20HH/1.%20INPROCESS/COMISIONES%20DE%20VENTA/Comisiones%20Junio%20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05%20MAYO/2DA%20QUINCENA%20PLANILLA%20-%20MAYO%202026%20FINAL.xlsx" TargetMode="External"/><Relationship Id="rId2" Type="http://schemas.openxmlformats.org/officeDocument/2006/relationships/externalLinkPath" Target="https://inprocessperu.sharepoint.com/sites/RecursosHumanos/Documentos%20compartidos/RR%20HH/1.%20INPROCESS/11.%20PLANILLA/2026/05%20MAYO/2DA%20QUINCENA%20PLANILLA%20-%20MAYO%202026%20FINAL.xlsx" TargetMode="External"/><Relationship Id="rId1" Type="http://schemas.openxmlformats.org/officeDocument/2006/relationships/externalLinkPath" Target="/sites/RecursosHumanos/Documentos%20compartidos/RR%20HH/1.%20INPROCESS/11.%20PLANILLA/2026/05%20MAYO/2DA%20QUINCENA%20PLANILLA%20-%20MAYO%202026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ficina"/>
      <sheetName val="Ernesto Orihuela"/>
      <sheetName val="Giusseppe Ricra"/>
      <sheetName val="Ana Paredes"/>
      <sheetName val="Jorge Echevarria"/>
      <sheetName val="Luis Siccha "/>
      <sheetName val="Luis Quevedo"/>
      <sheetName val="Juan Estrada"/>
      <sheetName val="Frank Estacio"/>
      <sheetName val="Cesar Arevalo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D17">
            <v>7240.2250805084759</v>
          </cell>
        </row>
        <row r="22">
          <cell r="D22">
            <v>8688.2700966101711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A MAR P1"/>
      <sheetName val="Hoja1"/>
      <sheetName val="AFP SBS"/>
      <sheetName val="PLANILLA MENSUAL"/>
      <sheetName val="H.E"/>
      <sheetName val="COMISIONES"/>
      <sheetName val="RTA 5TA VTAS"/>
      <sheetName val="RTA 5TA"/>
      <sheetName val="SEGURO PACIFICO"/>
      <sheetName val="VACACIONES"/>
      <sheetName val="HT. EPS"/>
      <sheetName val="TARDANZA"/>
      <sheetName val="SUBSIDIO"/>
      <sheetName val="Hoja3"/>
      <sheetName val="TRANSF"/>
      <sheetName val="DIARIO"/>
      <sheetName val="HH.EE"/>
      <sheetName val="PLANILLA BRUTA"/>
      <sheetName val="COSTO GRATIFICACIONES"/>
      <sheetName val="COSTO CTS "/>
      <sheetName val="COSTO VACACIONES"/>
      <sheetName val="COSTO TOTAL"/>
    </sheetNames>
    <sheetDataSet>
      <sheetData sheetId="0"/>
      <sheetData sheetId="1"/>
      <sheetData sheetId="2"/>
      <sheetData sheetId="3">
        <row r="26">
          <cell r="BS26">
            <v>291.68441846497626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V.25"/>
      <sheetName val="DIC.25"/>
      <sheetName val="ENE.26"/>
      <sheetName val="FEB.26"/>
      <sheetName val="MAR.26"/>
      <sheetName val="ABR.26"/>
      <sheetName val="MAY.26"/>
      <sheetName val="JUN.26"/>
      <sheetName val="JUL.26"/>
      <sheetName val="AGO.26"/>
      <sheetName val="14111001 MAY"/>
      <sheetName val="14191001 MAY"/>
      <sheetName val="14111001 DIC"/>
      <sheetName val="14131001 DIC"/>
      <sheetName val="14131001"/>
      <sheetName val="46909001-1"/>
      <sheetName val="46909001-2"/>
      <sheetName val="J.ESTR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4">
          <cell r="C14">
            <v>22.36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ORELLA"/>
      <sheetName val="GRATIFICACION"/>
      <sheetName val="RTA 5TA CATEG"/>
      <sheetName val="VACACIONES"/>
    </sheetNames>
    <sheetDataSet>
      <sheetData sheetId="0">
        <row r="46">
          <cell r="L46">
            <v>1250</v>
          </cell>
        </row>
        <row r="48">
          <cell r="L48">
            <v>3000</v>
          </cell>
        </row>
        <row r="51">
          <cell r="L51">
            <v>400</v>
          </cell>
        </row>
        <row r="52">
          <cell r="L52">
            <v>400</v>
          </cell>
        </row>
        <row r="55">
          <cell r="L55">
            <v>2300</v>
          </cell>
        </row>
        <row r="66">
          <cell r="L66">
            <v>270.40550971770932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A MAR P1"/>
      <sheetName val="Hoja1"/>
      <sheetName val="AFP SBS"/>
      <sheetName val="PLANILLA MENSUAL"/>
      <sheetName val="DIARIO"/>
      <sheetName val="COMISIONES"/>
      <sheetName val="RTA 5TA VTAS"/>
      <sheetName val="RTA 5TA"/>
      <sheetName val="SEGURO PACIFICO"/>
      <sheetName val="VACACIONES"/>
      <sheetName val="HT. EPS"/>
      <sheetName val="TARDANZA"/>
      <sheetName val="SLV"/>
      <sheetName val="Hoja3"/>
      <sheetName val="TRANSF"/>
      <sheetName val="PLANILLA BRUTA"/>
      <sheetName val="COSTO GRATIFICACIONES"/>
      <sheetName val="COSTO CTS "/>
      <sheetName val="COSTO VACACIONES"/>
      <sheetName val="COSTO TOTAL"/>
    </sheetNames>
    <sheetDataSet>
      <sheetData sheetId="0"/>
      <sheetData sheetId="1"/>
      <sheetData sheetId="2"/>
      <sheetData sheetId="3">
        <row r="25">
          <cell r="U25">
            <v>397.83333333333331</v>
          </cell>
        </row>
        <row r="27">
          <cell r="U27">
            <v>197.75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orge Echevarria"/>
      <sheetName val="Luis Siccha"/>
      <sheetName val="Luis Quevedo"/>
      <sheetName val="Juan Estrada"/>
      <sheetName val="Frank Estacio"/>
      <sheetName val="Cesar Arevalo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23774.611999999994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A MAR P1"/>
      <sheetName val="Hoja1"/>
      <sheetName val="AFP SBS"/>
      <sheetName val="PLANILLA MENSUAL"/>
      <sheetName val="DIARIO"/>
      <sheetName val="COMISIONES"/>
      <sheetName val="RTA 5TA VTAS"/>
      <sheetName val="RTA 5TA"/>
      <sheetName val="SEGURO PACIFICO"/>
      <sheetName val="VACACIONES"/>
      <sheetName val="HT. EPS"/>
      <sheetName val="TARDANZA"/>
      <sheetName val="SLV"/>
      <sheetName val="Hoja3"/>
      <sheetName val="TRANSF"/>
      <sheetName val="PLANILLA BRUTA"/>
      <sheetName val="COSTO GRATIFICACIONES"/>
      <sheetName val="COSTO CTS "/>
      <sheetName val="COSTO VACACIONES"/>
      <sheetName val="COSTO TOTAL"/>
    </sheetNames>
    <sheetDataSet>
      <sheetData sheetId="0"/>
      <sheetData sheetId="1"/>
      <sheetData sheetId="2"/>
      <sheetData sheetId="3"/>
      <sheetData sheetId="4"/>
      <sheetData sheetId="5">
        <row r="13">
          <cell r="K13">
            <v>22050.223459999997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orge Echevarria"/>
      <sheetName val="Luis Siccha x rev"/>
      <sheetName val="Luis Quevedo x rev"/>
      <sheetName val="Juan Estrada x rev"/>
      <sheetName val="Frank Estacio"/>
      <sheetName val="Cesar Arevalo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24471.375460000003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orge Echevarria"/>
      <sheetName val="Luis Siccha "/>
      <sheetName val="Luis Quevedo"/>
      <sheetName val="Juan Estrada"/>
      <sheetName val="Frank Estacio"/>
      <sheetName val="Cesar Arevalo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28603.947200000002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orge Echevarria"/>
      <sheetName val="Luis Siccha "/>
      <sheetName val="Luis Quevedo"/>
      <sheetName val="Juan Estrada"/>
      <sheetName val="Frank Estacio"/>
      <sheetName val="Cesar Arevalo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17271.956999999999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orge Echevarria"/>
      <sheetName val="Luis Siccha "/>
      <sheetName val="Luis Quevedo"/>
      <sheetName val="Juan Estrada"/>
      <sheetName val="Frank Estacio"/>
      <sheetName val="Cesar Arevalo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14322.999599999999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ficina"/>
      <sheetName val="Ernesto"/>
      <sheetName val="Giusseppe"/>
      <sheetName val="Jorge Echevarria"/>
      <sheetName val="Luis Siccha "/>
      <sheetName val="Luis Quevedo"/>
      <sheetName val="Juan Estrada"/>
      <sheetName val="Frank Estacio"/>
      <sheetName val="Cesar Arevalo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F4">
            <v>4331.4262500000004</v>
          </cell>
        </row>
        <row r="5">
          <cell r="F5">
            <v>1556.8993499999999</v>
          </cell>
        </row>
        <row r="6">
          <cell r="F6">
            <v>1994.6995500000003</v>
          </cell>
        </row>
        <row r="7">
          <cell r="F7">
            <v>1482.3352499999996</v>
          </cell>
        </row>
        <row r="8">
          <cell r="F8">
            <v>662.76479999999992</v>
          </cell>
        </row>
        <row r="11">
          <cell r="F11">
            <v>887.80799999999988</v>
          </cell>
        </row>
        <row r="15">
          <cell r="D15">
            <v>6403.7056999999995</v>
          </cell>
        </row>
        <row r="23">
          <cell r="D23">
            <v>8965.1879799999988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A MAR P1"/>
      <sheetName val="Hoja1"/>
      <sheetName val="AFP SBS"/>
      <sheetName val="PLANILLA MENSUAL"/>
      <sheetName val="DIARIO"/>
      <sheetName val="COMISIONES"/>
      <sheetName val="RTA 5TA VTAS"/>
      <sheetName val="RTA 5TA"/>
      <sheetName val="SEGURO PACIFICO"/>
      <sheetName val="VACACIONES"/>
      <sheetName val="HT. EPS"/>
      <sheetName val="TARDANZA"/>
      <sheetName val="SLV"/>
      <sheetName val="Hoja3"/>
      <sheetName val="TRANSF"/>
      <sheetName val="PLANILLA BRUTA"/>
      <sheetName val="COSTO GRATIFICACIONES"/>
      <sheetName val="COSTO CTS "/>
      <sheetName val="COSTO VACACIONES"/>
      <sheetName val="COSTO TOTAL"/>
    </sheetNames>
    <sheetDataSet>
      <sheetData sheetId="0"/>
      <sheetData sheetId="1"/>
      <sheetData sheetId="2"/>
      <sheetData sheetId="3">
        <row r="12">
          <cell r="AY12">
            <v>10338.514593013182</v>
          </cell>
          <cell r="BG12">
            <v>7600.2169711730094</v>
          </cell>
        </row>
        <row r="13">
          <cell r="AY13">
            <v>3565.916666666667</v>
          </cell>
          <cell r="BG13">
            <v>2483.2015271960081</v>
          </cell>
        </row>
        <row r="14">
          <cell r="AY14">
            <v>2410.1266666666666</v>
          </cell>
          <cell r="BG14">
            <v>1718.2537659090913</v>
          </cell>
        </row>
        <row r="15">
          <cell r="AY15">
            <v>2399.25</v>
          </cell>
          <cell r="BG15">
            <v>1821.9270438852809</v>
          </cell>
        </row>
        <row r="16">
          <cell r="AY16">
            <v>2302.2222222222222</v>
          </cell>
          <cell r="BG16">
            <v>1975.2048631594389</v>
          </cell>
        </row>
        <row r="17">
          <cell r="AY17">
            <v>3565.916666666667</v>
          </cell>
          <cell r="BG17">
            <v>1355.3325919491526</v>
          </cell>
        </row>
        <row r="18">
          <cell r="AY18">
            <v>7206.1772197222226</v>
          </cell>
          <cell r="BG18">
            <v>6474.1597730558206</v>
          </cell>
        </row>
        <row r="19">
          <cell r="AY19">
            <v>1625</v>
          </cell>
          <cell r="BG19">
            <v>1836.297503701498</v>
          </cell>
        </row>
        <row r="20">
          <cell r="AY20">
            <v>1458.3333333333333</v>
          </cell>
          <cell r="BG20">
            <v>1070.766594610589</v>
          </cell>
        </row>
        <row r="21">
          <cell r="AY21">
            <v>1232.5833333333333</v>
          </cell>
          <cell r="AZ21">
            <v>500</v>
          </cell>
          <cell r="BG21">
            <v>613.00390000000016</v>
          </cell>
        </row>
        <row r="22">
          <cell r="AY22">
            <v>3536.7371083333337</v>
          </cell>
          <cell r="BG22">
            <v>4262.5647098332947</v>
          </cell>
        </row>
        <row r="23">
          <cell r="AY23">
            <v>765.91666666666663</v>
          </cell>
          <cell r="BG23">
            <v>719.60190000000011</v>
          </cell>
        </row>
        <row r="24">
          <cell r="AY24">
            <v>1633.3333333333335</v>
          </cell>
          <cell r="BG24">
            <v>1143.4047345240092</v>
          </cell>
        </row>
        <row r="25">
          <cell r="AY25">
            <v>1750</v>
          </cell>
          <cell r="BG25">
            <v>1331.9097689828832</v>
          </cell>
        </row>
        <row r="26">
          <cell r="AY26">
            <v>1633.3333333333335</v>
          </cell>
          <cell r="BG26">
            <v>1366.0950000000003</v>
          </cell>
        </row>
        <row r="27">
          <cell r="AY27">
            <v>2739.7348467172787</v>
          </cell>
          <cell r="BG27">
            <v>1836.1624159791509</v>
          </cell>
        </row>
        <row r="28">
          <cell r="AY28">
            <v>1524.25</v>
          </cell>
          <cell r="BG28">
            <v>1255.0969999999998</v>
          </cell>
        </row>
        <row r="29">
          <cell r="AY29">
            <v>659.16666666666663</v>
          </cell>
          <cell r="BB29"/>
          <cell r="BG29">
            <v>470.74</v>
          </cell>
        </row>
        <row r="30">
          <cell r="AY30">
            <v>1465.2415277777777</v>
          </cell>
          <cell r="AZ30">
            <v>500</v>
          </cell>
          <cell r="BB30"/>
          <cell r="BG30">
            <v>723.73020833333385</v>
          </cell>
        </row>
        <row r="31">
          <cell r="AY31">
            <v>1458.3333333333333</v>
          </cell>
          <cell r="BG31">
            <v>1133.1865946105891</v>
          </cell>
        </row>
        <row r="32">
          <cell r="AY32">
            <v>1171.5093055555556</v>
          </cell>
          <cell r="BG32">
            <v>1115.75</v>
          </cell>
        </row>
        <row r="33">
          <cell r="AY33">
            <v>1173.3506944444443</v>
          </cell>
          <cell r="BG33">
            <v>1115.75</v>
          </cell>
        </row>
        <row r="34">
          <cell r="AY34">
            <v>1283.3333333333333</v>
          </cell>
          <cell r="BG34">
            <v>1115.75</v>
          </cell>
        </row>
        <row r="35">
          <cell r="AY35">
            <v>1458.3333333333333</v>
          </cell>
          <cell r="BG35">
            <v>1035.1026963055042</v>
          </cell>
        </row>
        <row r="36">
          <cell r="AY36">
            <v>2212.0566004943503</v>
          </cell>
          <cell r="BG36">
            <v>2561.4771363719246</v>
          </cell>
        </row>
        <row r="37">
          <cell r="AY37">
            <v>2182.2730277777778</v>
          </cell>
          <cell r="BG37">
            <v>1671.0850420249999</v>
          </cell>
        </row>
        <row r="38">
          <cell r="AY38">
            <v>1633.3333333333335</v>
          </cell>
          <cell r="BG38">
            <v>1227.9733333333338</v>
          </cell>
        </row>
        <row r="39">
          <cell r="AY39">
            <v>999.86430555555557</v>
          </cell>
          <cell r="BG39">
            <v>892.60000000000036</v>
          </cell>
        </row>
        <row r="53">
          <cell r="AV53">
            <v>0</v>
          </cell>
        </row>
        <row r="54">
          <cell r="BE54">
            <v>-11422.285143478852</v>
          </cell>
        </row>
        <row r="64">
          <cell r="Q64">
            <v>9130</v>
          </cell>
          <cell r="R64">
            <v>226</v>
          </cell>
          <cell r="X64">
            <v>100</v>
          </cell>
          <cell r="BI64">
            <v>842.04000000000008</v>
          </cell>
        </row>
        <row r="65">
          <cell r="Q65">
            <v>8300</v>
          </cell>
          <cell r="X65">
            <v>100</v>
          </cell>
          <cell r="AT65">
            <v>3018.4661192355934</v>
          </cell>
          <cell r="BI65">
            <v>747</v>
          </cell>
        </row>
        <row r="66">
          <cell r="Q66">
            <v>4960</v>
          </cell>
          <cell r="X66">
            <v>76.190476190476161</v>
          </cell>
          <cell r="AT66">
            <v>12926.042308079665</v>
          </cell>
          <cell r="BI66">
            <v>579.59999999999991</v>
          </cell>
        </row>
        <row r="68">
          <cell r="Q68">
            <v>38800</v>
          </cell>
          <cell r="R68">
            <v>452</v>
          </cell>
          <cell r="S68">
            <v>23159.636756440679</v>
          </cell>
          <cell r="T68">
            <v>0</v>
          </cell>
          <cell r="Z68">
            <v>0</v>
          </cell>
          <cell r="AT68">
            <v>4452.7931506768364</v>
          </cell>
          <cell r="BI68">
            <v>5689.0473080796601</v>
          </cell>
        </row>
        <row r="69">
          <cell r="Q69">
            <v>19300</v>
          </cell>
          <cell r="R69">
            <v>339</v>
          </cell>
          <cell r="U69">
            <v>0</v>
          </cell>
          <cell r="V69">
            <v>0</v>
          </cell>
          <cell r="X69">
            <v>100</v>
          </cell>
          <cell r="AT69">
            <v>7711.2219980968639</v>
          </cell>
          <cell r="BI69">
            <v>1767.51</v>
          </cell>
        </row>
        <row r="70">
          <cell r="Q70">
            <v>3200</v>
          </cell>
          <cell r="AT70">
            <v>1404.8772000000001</v>
          </cell>
          <cell r="BI70">
            <v>288.00000000000006</v>
          </cell>
        </row>
        <row r="71">
          <cell r="Q71">
            <v>12050</v>
          </cell>
          <cell r="R71">
            <v>113</v>
          </cell>
          <cell r="Z71">
            <v>0</v>
          </cell>
          <cell r="AT71">
            <v>626.82810000000006</v>
          </cell>
          <cell r="BI71">
            <v>1114.2450000000001</v>
          </cell>
        </row>
        <row r="72">
          <cell r="Q72">
            <v>13006.966666666667</v>
          </cell>
          <cell r="R72">
            <v>452</v>
          </cell>
          <cell r="U72">
            <v>0</v>
          </cell>
          <cell r="V72">
            <v>0</v>
          </cell>
          <cell r="X72">
            <v>100</v>
          </cell>
          <cell r="BI72">
            <v>1249.3800000000001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9F836A-5E3C-4753-97A2-D906EA9EFE65}" name="Tabla1" displayName="Tabla1" ref="A2:J4" totalsRowShown="0" headerRowDxfId="26" tableBorderDxfId="25">
  <autoFilter ref="A2:J4" xr:uid="{A88ACE31-A093-48F0-A2AB-11465716CF10}"/>
  <tableColumns count="10">
    <tableColumn id="1" xr3:uid="{8B0A55BF-3053-4DF0-831F-ACCAC8AC2A06}" name="APELLIDOS Y NOMBRES" dataDxfId="24" dataCellStyle="Normal 2 2"/>
    <tableColumn id="2" xr3:uid="{F04B963C-46D6-4C25-A243-61A7620FCBF4}" name="DNI" dataDxfId="23" dataCellStyle="Normal 2 2"/>
    <tableColumn id="3" xr3:uid="{6D74C53D-092A-4B40-A057-BB555CBF33AB}" name="FECHA DE INGRESO" dataDxfId="22" dataCellStyle="Normal 2 2"/>
    <tableColumn id="4" xr3:uid="{957ED8D8-7F9E-48D4-B5C1-F17A1CD506B0}" name="FECHA DE PRESATMO" dataDxfId="21"/>
    <tableColumn id="5" xr3:uid="{2FED6B7C-19EE-4C19-9935-14231C76EFE2}" name="MONTO" dataDxfId="20"/>
    <tableColumn id="6" xr3:uid="{396A5D61-EB9D-4715-A4F8-D5EC56547F1C}" name="VALOR DE CUOTA" dataDxfId="19"/>
    <tableColumn id="7" xr3:uid="{964EF372-FB7D-469F-A8DE-0D3C37C1AFD9}" name="N° DE CUOTAS" dataDxfId="18"/>
    <tableColumn id="8" xr3:uid="{F9927169-7CCD-401E-A02B-37E1F30E45DB}" name="INICIO DE CUOTAS" dataDxfId="17"/>
    <tableColumn id="9" xr3:uid="{A9B3CC89-6FD4-4FDD-A422-BBAA5B827430}" name="FIN DE CUOTAS" dataDxfId="16"/>
    <tableColumn id="10" xr3:uid="{18AAC680-8EDF-4651-A928-FC18A3C62F80}" name="OBS"/>
  </tableColumns>
  <tableStyleInfo name="TableStyleMedium8" showFirstColumn="0" showLastColumn="0" showRowStripes="0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7"/>
  <sheetViews>
    <sheetView zoomScaleNormal="100" zoomScaleSheetLayoutView="100" workbookViewId="0">
      <selection activeCell="E21" sqref="E21:E23"/>
    </sheetView>
  </sheetViews>
  <sheetFormatPr baseColWidth="10" defaultColWidth="11.42578125" defaultRowHeight="20.100000000000001" customHeight="1"/>
  <cols>
    <col min="1" max="1" width="2.28515625" style="69" customWidth="1"/>
    <col min="2" max="2" width="5.5703125" style="61" customWidth="1"/>
    <col min="3" max="3" width="34.28515625" style="69" customWidth="1"/>
    <col min="4" max="4" width="41.5703125" style="69" customWidth="1"/>
    <col min="5" max="7" width="10.140625" style="69" customWidth="1"/>
    <col min="8" max="10" width="10.140625" style="61" customWidth="1"/>
    <col min="11" max="11" width="11" style="61" customWidth="1"/>
    <col min="12" max="12" width="10.140625" style="61" customWidth="1"/>
    <col min="13" max="13" width="10.5703125" style="61" customWidth="1"/>
    <col min="14" max="16" width="10.140625" style="61" customWidth="1"/>
    <col min="17" max="17" width="4.140625" style="61" customWidth="1"/>
    <col min="18" max="20" width="10.42578125" style="61" customWidth="1"/>
    <col min="21" max="21" width="9.85546875" style="61" customWidth="1"/>
    <col min="22" max="22" width="21.5703125" style="61" customWidth="1"/>
    <col min="23" max="23" width="25.7109375" style="61" customWidth="1"/>
    <col min="24" max="26" width="21.5703125" style="61" customWidth="1"/>
    <col min="27" max="27" width="29.85546875" style="61" customWidth="1"/>
    <col min="28" max="256" width="11.42578125" style="69"/>
    <col min="257" max="257" width="2.28515625" style="69" customWidth="1"/>
    <col min="258" max="258" width="5.5703125" style="69" customWidth="1"/>
    <col min="259" max="259" width="34.28515625" style="69" customWidth="1"/>
    <col min="260" max="260" width="41.5703125" style="69" customWidth="1"/>
    <col min="261" max="266" width="10.140625" style="69" customWidth="1"/>
    <col min="267" max="267" width="11" style="69" customWidth="1"/>
    <col min="268" max="268" width="10.140625" style="69" customWidth="1"/>
    <col min="269" max="269" width="10.5703125" style="69" customWidth="1"/>
    <col min="270" max="272" width="10.140625" style="69" customWidth="1"/>
    <col min="273" max="273" width="4.140625" style="69" customWidth="1"/>
    <col min="274" max="276" width="10.42578125" style="69" customWidth="1"/>
    <col min="277" max="277" width="9.85546875" style="69" customWidth="1"/>
    <col min="278" max="278" width="21.5703125" style="69" customWidth="1"/>
    <col min="279" max="279" width="25.7109375" style="69" customWidth="1"/>
    <col min="280" max="282" width="21.5703125" style="69" customWidth="1"/>
    <col min="283" max="283" width="29.85546875" style="69" customWidth="1"/>
    <col min="284" max="512" width="11.42578125" style="69"/>
    <col min="513" max="513" width="2.28515625" style="69" customWidth="1"/>
    <col min="514" max="514" width="5.5703125" style="69" customWidth="1"/>
    <col min="515" max="515" width="34.28515625" style="69" customWidth="1"/>
    <col min="516" max="516" width="41.5703125" style="69" customWidth="1"/>
    <col min="517" max="522" width="10.140625" style="69" customWidth="1"/>
    <col min="523" max="523" width="11" style="69" customWidth="1"/>
    <col min="524" max="524" width="10.140625" style="69" customWidth="1"/>
    <col min="525" max="525" width="10.5703125" style="69" customWidth="1"/>
    <col min="526" max="528" width="10.140625" style="69" customWidth="1"/>
    <col min="529" max="529" width="4.140625" style="69" customWidth="1"/>
    <col min="530" max="532" width="10.42578125" style="69" customWidth="1"/>
    <col min="533" max="533" width="9.85546875" style="69" customWidth="1"/>
    <col min="534" max="534" width="21.5703125" style="69" customWidth="1"/>
    <col min="535" max="535" width="25.7109375" style="69" customWidth="1"/>
    <col min="536" max="538" width="21.5703125" style="69" customWidth="1"/>
    <col min="539" max="539" width="29.85546875" style="69" customWidth="1"/>
    <col min="540" max="768" width="11.42578125" style="69"/>
    <col min="769" max="769" width="2.28515625" style="69" customWidth="1"/>
    <col min="770" max="770" width="5.5703125" style="69" customWidth="1"/>
    <col min="771" max="771" width="34.28515625" style="69" customWidth="1"/>
    <col min="772" max="772" width="41.5703125" style="69" customWidth="1"/>
    <col min="773" max="778" width="10.140625" style="69" customWidth="1"/>
    <col min="779" max="779" width="11" style="69" customWidth="1"/>
    <col min="780" max="780" width="10.140625" style="69" customWidth="1"/>
    <col min="781" max="781" width="10.5703125" style="69" customWidth="1"/>
    <col min="782" max="784" width="10.140625" style="69" customWidth="1"/>
    <col min="785" max="785" width="4.140625" style="69" customWidth="1"/>
    <col min="786" max="788" width="10.42578125" style="69" customWidth="1"/>
    <col min="789" max="789" width="9.85546875" style="69" customWidth="1"/>
    <col min="790" max="790" width="21.5703125" style="69" customWidth="1"/>
    <col min="791" max="791" width="25.7109375" style="69" customWidth="1"/>
    <col min="792" max="794" width="21.5703125" style="69" customWidth="1"/>
    <col min="795" max="795" width="29.85546875" style="69" customWidth="1"/>
    <col min="796" max="1024" width="11.42578125" style="69"/>
    <col min="1025" max="1025" width="2.28515625" style="69" customWidth="1"/>
    <col min="1026" max="1026" width="5.5703125" style="69" customWidth="1"/>
    <col min="1027" max="1027" width="34.28515625" style="69" customWidth="1"/>
    <col min="1028" max="1028" width="41.5703125" style="69" customWidth="1"/>
    <col min="1029" max="1034" width="10.140625" style="69" customWidth="1"/>
    <col min="1035" max="1035" width="11" style="69" customWidth="1"/>
    <col min="1036" max="1036" width="10.140625" style="69" customWidth="1"/>
    <col min="1037" max="1037" width="10.5703125" style="69" customWidth="1"/>
    <col min="1038" max="1040" width="10.140625" style="69" customWidth="1"/>
    <col min="1041" max="1041" width="4.140625" style="69" customWidth="1"/>
    <col min="1042" max="1044" width="10.42578125" style="69" customWidth="1"/>
    <col min="1045" max="1045" width="9.85546875" style="69" customWidth="1"/>
    <col min="1046" max="1046" width="21.5703125" style="69" customWidth="1"/>
    <col min="1047" max="1047" width="25.7109375" style="69" customWidth="1"/>
    <col min="1048" max="1050" width="21.5703125" style="69" customWidth="1"/>
    <col min="1051" max="1051" width="29.85546875" style="69" customWidth="1"/>
    <col min="1052" max="1280" width="11.42578125" style="69"/>
    <col min="1281" max="1281" width="2.28515625" style="69" customWidth="1"/>
    <col min="1282" max="1282" width="5.5703125" style="69" customWidth="1"/>
    <col min="1283" max="1283" width="34.28515625" style="69" customWidth="1"/>
    <col min="1284" max="1284" width="41.5703125" style="69" customWidth="1"/>
    <col min="1285" max="1290" width="10.140625" style="69" customWidth="1"/>
    <col min="1291" max="1291" width="11" style="69" customWidth="1"/>
    <col min="1292" max="1292" width="10.140625" style="69" customWidth="1"/>
    <col min="1293" max="1293" width="10.5703125" style="69" customWidth="1"/>
    <col min="1294" max="1296" width="10.140625" style="69" customWidth="1"/>
    <col min="1297" max="1297" width="4.140625" style="69" customWidth="1"/>
    <col min="1298" max="1300" width="10.42578125" style="69" customWidth="1"/>
    <col min="1301" max="1301" width="9.85546875" style="69" customWidth="1"/>
    <col min="1302" max="1302" width="21.5703125" style="69" customWidth="1"/>
    <col min="1303" max="1303" width="25.7109375" style="69" customWidth="1"/>
    <col min="1304" max="1306" width="21.5703125" style="69" customWidth="1"/>
    <col min="1307" max="1307" width="29.85546875" style="69" customWidth="1"/>
    <col min="1308" max="1536" width="11.42578125" style="69"/>
    <col min="1537" max="1537" width="2.28515625" style="69" customWidth="1"/>
    <col min="1538" max="1538" width="5.5703125" style="69" customWidth="1"/>
    <col min="1539" max="1539" width="34.28515625" style="69" customWidth="1"/>
    <col min="1540" max="1540" width="41.5703125" style="69" customWidth="1"/>
    <col min="1541" max="1546" width="10.140625" style="69" customWidth="1"/>
    <col min="1547" max="1547" width="11" style="69" customWidth="1"/>
    <col min="1548" max="1548" width="10.140625" style="69" customWidth="1"/>
    <col min="1549" max="1549" width="10.5703125" style="69" customWidth="1"/>
    <col min="1550" max="1552" width="10.140625" style="69" customWidth="1"/>
    <col min="1553" max="1553" width="4.140625" style="69" customWidth="1"/>
    <col min="1554" max="1556" width="10.42578125" style="69" customWidth="1"/>
    <col min="1557" max="1557" width="9.85546875" style="69" customWidth="1"/>
    <col min="1558" max="1558" width="21.5703125" style="69" customWidth="1"/>
    <col min="1559" max="1559" width="25.7109375" style="69" customWidth="1"/>
    <col min="1560" max="1562" width="21.5703125" style="69" customWidth="1"/>
    <col min="1563" max="1563" width="29.85546875" style="69" customWidth="1"/>
    <col min="1564" max="1792" width="11.42578125" style="69"/>
    <col min="1793" max="1793" width="2.28515625" style="69" customWidth="1"/>
    <col min="1794" max="1794" width="5.5703125" style="69" customWidth="1"/>
    <col min="1795" max="1795" width="34.28515625" style="69" customWidth="1"/>
    <col min="1796" max="1796" width="41.5703125" style="69" customWidth="1"/>
    <col min="1797" max="1802" width="10.140625" style="69" customWidth="1"/>
    <col min="1803" max="1803" width="11" style="69" customWidth="1"/>
    <col min="1804" max="1804" width="10.140625" style="69" customWidth="1"/>
    <col min="1805" max="1805" width="10.5703125" style="69" customWidth="1"/>
    <col min="1806" max="1808" width="10.140625" style="69" customWidth="1"/>
    <col min="1809" max="1809" width="4.140625" style="69" customWidth="1"/>
    <col min="1810" max="1812" width="10.42578125" style="69" customWidth="1"/>
    <col min="1813" max="1813" width="9.85546875" style="69" customWidth="1"/>
    <col min="1814" max="1814" width="21.5703125" style="69" customWidth="1"/>
    <col min="1815" max="1815" width="25.7109375" style="69" customWidth="1"/>
    <col min="1816" max="1818" width="21.5703125" style="69" customWidth="1"/>
    <col min="1819" max="1819" width="29.85546875" style="69" customWidth="1"/>
    <col min="1820" max="2048" width="11.42578125" style="69"/>
    <col min="2049" max="2049" width="2.28515625" style="69" customWidth="1"/>
    <col min="2050" max="2050" width="5.5703125" style="69" customWidth="1"/>
    <col min="2051" max="2051" width="34.28515625" style="69" customWidth="1"/>
    <col min="2052" max="2052" width="41.5703125" style="69" customWidth="1"/>
    <col min="2053" max="2058" width="10.140625" style="69" customWidth="1"/>
    <col min="2059" max="2059" width="11" style="69" customWidth="1"/>
    <col min="2060" max="2060" width="10.140625" style="69" customWidth="1"/>
    <col min="2061" max="2061" width="10.5703125" style="69" customWidth="1"/>
    <col min="2062" max="2064" width="10.140625" style="69" customWidth="1"/>
    <col min="2065" max="2065" width="4.140625" style="69" customWidth="1"/>
    <col min="2066" max="2068" width="10.42578125" style="69" customWidth="1"/>
    <col min="2069" max="2069" width="9.85546875" style="69" customWidth="1"/>
    <col min="2070" max="2070" width="21.5703125" style="69" customWidth="1"/>
    <col min="2071" max="2071" width="25.7109375" style="69" customWidth="1"/>
    <col min="2072" max="2074" width="21.5703125" style="69" customWidth="1"/>
    <col min="2075" max="2075" width="29.85546875" style="69" customWidth="1"/>
    <col min="2076" max="2304" width="11.42578125" style="69"/>
    <col min="2305" max="2305" width="2.28515625" style="69" customWidth="1"/>
    <col min="2306" max="2306" width="5.5703125" style="69" customWidth="1"/>
    <col min="2307" max="2307" width="34.28515625" style="69" customWidth="1"/>
    <col min="2308" max="2308" width="41.5703125" style="69" customWidth="1"/>
    <col min="2309" max="2314" width="10.140625" style="69" customWidth="1"/>
    <col min="2315" max="2315" width="11" style="69" customWidth="1"/>
    <col min="2316" max="2316" width="10.140625" style="69" customWidth="1"/>
    <col min="2317" max="2317" width="10.5703125" style="69" customWidth="1"/>
    <col min="2318" max="2320" width="10.140625" style="69" customWidth="1"/>
    <col min="2321" max="2321" width="4.140625" style="69" customWidth="1"/>
    <col min="2322" max="2324" width="10.42578125" style="69" customWidth="1"/>
    <col min="2325" max="2325" width="9.85546875" style="69" customWidth="1"/>
    <col min="2326" max="2326" width="21.5703125" style="69" customWidth="1"/>
    <col min="2327" max="2327" width="25.7109375" style="69" customWidth="1"/>
    <col min="2328" max="2330" width="21.5703125" style="69" customWidth="1"/>
    <col min="2331" max="2331" width="29.85546875" style="69" customWidth="1"/>
    <col min="2332" max="2560" width="11.42578125" style="69"/>
    <col min="2561" max="2561" width="2.28515625" style="69" customWidth="1"/>
    <col min="2562" max="2562" width="5.5703125" style="69" customWidth="1"/>
    <col min="2563" max="2563" width="34.28515625" style="69" customWidth="1"/>
    <col min="2564" max="2564" width="41.5703125" style="69" customWidth="1"/>
    <col min="2565" max="2570" width="10.140625" style="69" customWidth="1"/>
    <col min="2571" max="2571" width="11" style="69" customWidth="1"/>
    <col min="2572" max="2572" width="10.140625" style="69" customWidth="1"/>
    <col min="2573" max="2573" width="10.5703125" style="69" customWidth="1"/>
    <col min="2574" max="2576" width="10.140625" style="69" customWidth="1"/>
    <col min="2577" max="2577" width="4.140625" style="69" customWidth="1"/>
    <col min="2578" max="2580" width="10.42578125" style="69" customWidth="1"/>
    <col min="2581" max="2581" width="9.85546875" style="69" customWidth="1"/>
    <col min="2582" max="2582" width="21.5703125" style="69" customWidth="1"/>
    <col min="2583" max="2583" width="25.7109375" style="69" customWidth="1"/>
    <col min="2584" max="2586" width="21.5703125" style="69" customWidth="1"/>
    <col min="2587" max="2587" width="29.85546875" style="69" customWidth="1"/>
    <col min="2588" max="2816" width="11.42578125" style="69"/>
    <col min="2817" max="2817" width="2.28515625" style="69" customWidth="1"/>
    <col min="2818" max="2818" width="5.5703125" style="69" customWidth="1"/>
    <col min="2819" max="2819" width="34.28515625" style="69" customWidth="1"/>
    <col min="2820" max="2820" width="41.5703125" style="69" customWidth="1"/>
    <col min="2821" max="2826" width="10.140625" style="69" customWidth="1"/>
    <col min="2827" max="2827" width="11" style="69" customWidth="1"/>
    <col min="2828" max="2828" width="10.140625" style="69" customWidth="1"/>
    <col min="2829" max="2829" width="10.5703125" style="69" customWidth="1"/>
    <col min="2830" max="2832" width="10.140625" style="69" customWidth="1"/>
    <col min="2833" max="2833" width="4.140625" style="69" customWidth="1"/>
    <col min="2834" max="2836" width="10.42578125" style="69" customWidth="1"/>
    <col min="2837" max="2837" width="9.85546875" style="69" customWidth="1"/>
    <col min="2838" max="2838" width="21.5703125" style="69" customWidth="1"/>
    <col min="2839" max="2839" width="25.7109375" style="69" customWidth="1"/>
    <col min="2840" max="2842" width="21.5703125" style="69" customWidth="1"/>
    <col min="2843" max="2843" width="29.85546875" style="69" customWidth="1"/>
    <col min="2844" max="3072" width="11.42578125" style="69"/>
    <col min="3073" max="3073" width="2.28515625" style="69" customWidth="1"/>
    <col min="3074" max="3074" width="5.5703125" style="69" customWidth="1"/>
    <col min="3075" max="3075" width="34.28515625" style="69" customWidth="1"/>
    <col min="3076" max="3076" width="41.5703125" style="69" customWidth="1"/>
    <col min="3077" max="3082" width="10.140625" style="69" customWidth="1"/>
    <col min="3083" max="3083" width="11" style="69" customWidth="1"/>
    <col min="3084" max="3084" width="10.140625" style="69" customWidth="1"/>
    <col min="3085" max="3085" width="10.5703125" style="69" customWidth="1"/>
    <col min="3086" max="3088" width="10.140625" style="69" customWidth="1"/>
    <col min="3089" max="3089" width="4.140625" style="69" customWidth="1"/>
    <col min="3090" max="3092" width="10.42578125" style="69" customWidth="1"/>
    <col min="3093" max="3093" width="9.85546875" style="69" customWidth="1"/>
    <col min="3094" max="3094" width="21.5703125" style="69" customWidth="1"/>
    <col min="3095" max="3095" width="25.7109375" style="69" customWidth="1"/>
    <col min="3096" max="3098" width="21.5703125" style="69" customWidth="1"/>
    <col min="3099" max="3099" width="29.85546875" style="69" customWidth="1"/>
    <col min="3100" max="3328" width="11.42578125" style="69"/>
    <col min="3329" max="3329" width="2.28515625" style="69" customWidth="1"/>
    <col min="3330" max="3330" width="5.5703125" style="69" customWidth="1"/>
    <col min="3331" max="3331" width="34.28515625" style="69" customWidth="1"/>
    <col min="3332" max="3332" width="41.5703125" style="69" customWidth="1"/>
    <col min="3333" max="3338" width="10.140625" style="69" customWidth="1"/>
    <col min="3339" max="3339" width="11" style="69" customWidth="1"/>
    <col min="3340" max="3340" width="10.140625" style="69" customWidth="1"/>
    <col min="3341" max="3341" width="10.5703125" style="69" customWidth="1"/>
    <col min="3342" max="3344" width="10.140625" style="69" customWidth="1"/>
    <col min="3345" max="3345" width="4.140625" style="69" customWidth="1"/>
    <col min="3346" max="3348" width="10.42578125" style="69" customWidth="1"/>
    <col min="3349" max="3349" width="9.85546875" style="69" customWidth="1"/>
    <col min="3350" max="3350" width="21.5703125" style="69" customWidth="1"/>
    <col min="3351" max="3351" width="25.7109375" style="69" customWidth="1"/>
    <col min="3352" max="3354" width="21.5703125" style="69" customWidth="1"/>
    <col min="3355" max="3355" width="29.85546875" style="69" customWidth="1"/>
    <col min="3356" max="3584" width="11.42578125" style="69"/>
    <col min="3585" max="3585" width="2.28515625" style="69" customWidth="1"/>
    <col min="3586" max="3586" width="5.5703125" style="69" customWidth="1"/>
    <col min="3587" max="3587" width="34.28515625" style="69" customWidth="1"/>
    <col min="3588" max="3588" width="41.5703125" style="69" customWidth="1"/>
    <col min="3589" max="3594" width="10.140625" style="69" customWidth="1"/>
    <col min="3595" max="3595" width="11" style="69" customWidth="1"/>
    <col min="3596" max="3596" width="10.140625" style="69" customWidth="1"/>
    <col min="3597" max="3597" width="10.5703125" style="69" customWidth="1"/>
    <col min="3598" max="3600" width="10.140625" style="69" customWidth="1"/>
    <col min="3601" max="3601" width="4.140625" style="69" customWidth="1"/>
    <col min="3602" max="3604" width="10.42578125" style="69" customWidth="1"/>
    <col min="3605" max="3605" width="9.85546875" style="69" customWidth="1"/>
    <col min="3606" max="3606" width="21.5703125" style="69" customWidth="1"/>
    <col min="3607" max="3607" width="25.7109375" style="69" customWidth="1"/>
    <col min="3608" max="3610" width="21.5703125" style="69" customWidth="1"/>
    <col min="3611" max="3611" width="29.85546875" style="69" customWidth="1"/>
    <col min="3612" max="3840" width="11.42578125" style="69"/>
    <col min="3841" max="3841" width="2.28515625" style="69" customWidth="1"/>
    <col min="3842" max="3842" width="5.5703125" style="69" customWidth="1"/>
    <col min="3843" max="3843" width="34.28515625" style="69" customWidth="1"/>
    <col min="3844" max="3844" width="41.5703125" style="69" customWidth="1"/>
    <col min="3845" max="3850" width="10.140625" style="69" customWidth="1"/>
    <col min="3851" max="3851" width="11" style="69" customWidth="1"/>
    <col min="3852" max="3852" width="10.140625" style="69" customWidth="1"/>
    <col min="3853" max="3853" width="10.5703125" style="69" customWidth="1"/>
    <col min="3854" max="3856" width="10.140625" style="69" customWidth="1"/>
    <col min="3857" max="3857" width="4.140625" style="69" customWidth="1"/>
    <col min="3858" max="3860" width="10.42578125" style="69" customWidth="1"/>
    <col min="3861" max="3861" width="9.85546875" style="69" customWidth="1"/>
    <col min="3862" max="3862" width="21.5703125" style="69" customWidth="1"/>
    <col min="3863" max="3863" width="25.7109375" style="69" customWidth="1"/>
    <col min="3864" max="3866" width="21.5703125" style="69" customWidth="1"/>
    <col min="3867" max="3867" width="29.85546875" style="69" customWidth="1"/>
    <col min="3868" max="4096" width="11.42578125" style="69"/>
    <col min="4097" max="4097" width="2.28515625" style="69" customWidth="1"/>
    <col min="4098" max="4098" width="5.5703125" style="69" customWidth="1"/>
    <col min="4099" max="4099" width="34.28515625" style="69" customWidth="1"/>
    <col min="4100" max="4100" width="41.5703125" style="69" customWidth="1"/>
    <col min="4101" max="4106" width="10.140625" style="69" customWidth="1"/>
    <col min="4107" max="4107" width="11" style="69" customWidth="1"/>
    <col min="4108" max="4108" width="10.140625" style="69" customWidth="1"/>
    <col min="4109" max="4109" width="10.5703125" style="69" customWidth="1"/>
    <col min="4110" max="4112" width="10.140625" style="69" customWidth="1"/>
    <col min="4113" max="4113" width="4.140625" style="69" customWidth="1"/>
    <col min="4114" max="4116" width="10.42578125" style="69" customWidth="1"/>
    <col min="4117" max="4117" width="9.85546875" style="69" customWidth="1"/>
    <col min="4118" max="4118" width="21.5703125" style="69" customWidth="1"/>
    <col min="4119" max="4119" width="25.7109375" style="69" customWidth="1"/>
    <col min="4120" max="4122" width="21.5703125" style="69" customWidth="1"/>
    <col min="4123" max="4123" width="29.85546875" style="69" customWidth="1"/>
    <col min="4124" max="4352" width="11.42578125" style="69"/>
    <col min="4353" max="4353" width="2.28515625" style="69" customWidth="1"/>
    <col min="4354" max="4354" width="5.5703125" style="69" customWidth="1"/>
    <col min="4355" max="4355" width="34.28515625" style="69" customWidth="1"/>
    <col min="4356" max="4356" width="41.5703125" style="69" customWidth="1"/>
    <col min="4357" max="4362" width="10.140625" style="69" customWidth="1"/>
    <col min="4363" max="4363" width="11" style="69" customWidth="1"/>
    <col min="4364" max="4364" width="10.140625" style="69" customWidth="1"/>
    <col min="4365" max="4365" width="10.5703125" style="69" customWidth="1"/>
    <col min="4366" max="4368" width="10.140625" style="69" customWidth="1"/>
    <col min="4369" max="4369" width="4.140625" style="69" customWidth="1"/>
    <col min="4370" max="4372" width="10.42578125" style="69" customWidth="1"/>
    <col min="4373" max="4373" width="9.85546875" style="69" customWidth="1"/>
    <col min="4374" max="4374" width="21.5703125" style="69" customWidth="1"/>
    <col min="4375" max="4375" width="25.7109375" style="69" customWidth="1"/>
    <col min="4376" max="4378" width="21.5703125" style="69" customWidth="1"/>
    <col min="4379" max="4379" width="29.85546875" style="69" customWidth="1"/>
    <col min="4380" max="4608" width="11.42578125" style="69"/>
    <col min="4609" max="4609" width="2.28515625" style="69" customWidth="1"/>
    <col min="4610" max="4610" width="5.5703125" style="69" customWidth="1"/>
    <col min="4611" max="4611" width="34.28515625" style="69" customWidth="1"/>
    <col min="4612" max="4612" width="41.5703125" style="69" customWidth="1"/>
    <col min="4613" max="4618" width="10.140625" style="69" customWidth="1"/>
    <col min="4619" max="4619" width="11" style="69" customWidth="1"/>
    <col min="4620" max="4620" width="10.140625" style="69" customWidth="1"/>
    <col min="4621" max="4621" width="10.5703125" style="69" customWidth="1"/>
    <col min="4622" max="4624" width="10.140625" style="69" customWidth="1"/>
    <col min="4625" max="4625" width="4.140625" style="69" customWidth="1"/>
    <col min="4626" max="4628" width="10.42578125" style="69" customWidth="1"/>
    <col min="4629" max="4629" width="9.85546875" style="69" customWidth="1"/>
    <col min="4630" max="4630" width="21.5703125" style="69" customWidth="1"/>
    <col min="4631" max="4631" width="25.7109375" style="69" customWidth="1"/>
    <col min="4632" max="4634" width="21.5703125" style="69" customWidth="1"/>
    <col min="4635" max="4635" width="29.85546875" style="69" customWidth="1"/>
    <col min="4636" max="4864" width="11.42578125" style="69"/>
    <col min="4865" max="4865" width="2.28515625" style="69" customWidth="1"/>
    <col min="4866" max="4866" width="5.5703125" style="69" customWidth="1"/>
    <col min="4867" max="4867" width="34.28515625" style="69" customWidth="1"/>
    <col min="4868" max="4868" width="41.5703125" style="69" customWidth="1"/>
    <col min="4869" max="4874" width="10.140625" style="69" customWidth="1"/>
    <col min="4875" max="4875" width="11" style="69" customWidth="1"/>
    <col min="4876" max="4876" width="10.140625" style="69" customWidth="1"/>
    <col min="4877" max="4877" width="10.5703125" style="69" customWidth="1"/>
    <col min="4878" max="4880" width="10.140625" style="69" customWidth="1"/>
    <col min="4881" max="4881" width="4.140625" style="69" customWidth="1"/>
    <col min="4882" max="4884" width="10.42578125" style="69" customWidth="1"/>
    <col min="4885" max="4885" width="9.85546875" style="69" customWidth="1"/>
    <col min="4886" max="4886" width="21.5703125" style="69" customWidth="1"/>
    <col min="4887" max="4887" width="25.7109375" style="69" customWidth="1"/>
    <col min="4888" max="4890" width="21.5703125" style="69" customWidth="1"/>
    <col min="4891" max="4891" width="29.85546875" style="69" customWidth="1"/>
    <col min="4892" max="5120" width="11.42578125" style="69"/>
    <col min="5121" max="5121" width="2.28515625" style="69" customWidth="1"/>
    <col min="5122" max="5122" width="5.5703125" style="69" customWidth="1"/>
    <col min="5123" max="5123" width="34.28515625" style="69" customWidth="1"/>
    <col min="5124" max="5124" width="41.5703125" style="69" customWidth="1"/>
    <col min="5125" max="5130" width="10.140625" style="69" customWidth="1"/>
    <col min="5131" max="5131" width="11" style="69" customWidth="1"/>
    <col min="5132" max="5132" width="10.140625" style="69" customWidth="1"/>
    <col min="5133" max="5133" width="10.5703125" style="69" customWidth="1"/>
    <col min="5134" max="5136" width="10.140625" style="69" customWidth="1"/>
    <col min="5137" max="5137" width="4.140625" style="69" customWidth="1"/>
    <col min="5138" max="5140" width="10.42578125" style="69" customWidth="1"/>
    <col min="5141" max="5141" width="9.85546875" style="69" customWidth="1"/>
    <col min="5142" max="5142" width="21.5703125" style="69" customWidth="1"/>
    <col min="5143" max="5143" width="25.7109375" style="69" customWidth="1"/>
    <col min="5144" max="5146" width="21.5703125" style="69" customWidth="1"/>
    <col min="5147" max="5147" width="29.85546875" style="69" customWidth="1"/>
    <col min="5148" max="5376" width="11.42578125" style="69"/>
    <col min="5377" max="5377" width="2.28515625" style="69" customWidth="1"/>
    <col min="5378" max="5378" width="5.5703125" style="69" customWidth="1"/>
    <col min="5379" max="5379" width="34.28515625" style="69" customWidth="1"/>
    <col min="5380" max="5380" width="41.5703125" style="69" customWidth="1"/>
    <col min="5381" max="5386" width="10.140625" style="69" customWidth="1"/>
    <col min="5387" max="5387" width="11" style="69" customWidth="1"/>
    <col min="5388" max="5388" width="10.140625" style="69" customWidth="1"/>
    <col min="5389" max="5389" width="10.5703125" style="69" customWidth="1"/>
    <col min="5390" max="5392" width="10.140625" style="69" customWidth="1"/>
    <col min="5393" max="5393" width="4.140625" style="69" customWidth="1"/>
    <col min="5394" max="5396" width="10.42578125" style="69" customWidth="1"/>
    <col min="5397" max="5397" width="9.85546875" style="69" customWidth="1"/>
    <col min="5398" max="5398" width="21.5703125" style="69" customWidth="1"/>
    <col min="5399" max="5399" width="25.7109375" style="69" customWidth="1"/>
    <col min="5400" max="5402" width="21.5703125" style="69" customWidth="1"/>
    <col min="5403" max="5403" width="29.85546875" style="69" customWidth="1"/>
    <col min="5404" max="5632" width="11.42578125" style="69"/>
    <col min="5633" max="5633" width="2.28515625" style="69" customWidth="1"/>
    <col min="5634" max="5634" width="5.5703125" style="69" customWidth="1"/>
    <col min="5635" max="5635" width="34.28515625" style="69" customWidth="1"/>
    <col min="5636" max="5636" width="41.5703125" style="69" customWidth="1"/>
    <col min="5637" max="5642" width="10.140625" style="69" customWidth="1"/>
    <col min="5643" max="5643" width="11" style="69" customWidth="1"/>
    <col min="5644" max="5644" width="10.140625" style="69" customWidth="1"/>
    <col min="5645" max="5645" width="10.5703125" style="69" customWidth="1"/>
    <col min="5646" max="5648" width="10.140625" style="69" customWidth="1"/>
    <col min="5649" max="5649" width="4.140625" style="69" customWidth="1"/>
    <col min="5650" max="5652" width="10.42578125" style="69" customWidth="1"/>
    <col min="5653" max="5653" width="9.85546875" style="69" customWidth="1"/>
    <col min="5654" max="5654" width="21.5703125" style="69" customWidth="1"/>
    <col min="5655" max="5655" width="25.7109375" style="69" customWidth="1"/>
    <col min="5656" max="5658" width="21.5703125" style="69" customWidth="1"/>
    <col min="5659" max="5659" width="29.85546875" style="69" customWidth="1"/>
    <col min="5660" max="5888" width="11.42578125" style="69"/>
    <col min="5889" max="5889" width="2.28515625" style="69" customWidth="1"/>
    <col min="5890" max="5890" width="5.5703125" style="69" customWidth="1"/>
    <col min="5891" max="5891" width="34.28515625" style="69" customWidth="1"/>
    <col min="5892" max="5892" width="41.5703125" style="69" customWidth="1"/>
    <col min="5893" max="5898" width="10.140625" style="69" customWidth="1"/>
    <col min="5899" max="5899" width="11" style="69" customWidth="1"/>
    <col min="5900" max="5900" width="10.140625" style="69" customWidth="1"/>
    <col min="5901" max="5901" width="10.5703125" style="69" customWidth="1"/>
    <col min="5902" max="5904" width="10.140625" style="69" customWidth="1"/>
    <col min="5905" max="5905" width="4.140625" style="69" customWidth="1"/>
    <col min="5906" max="5908" width="10.42578125" style="69" customWidth="1"/>
    <col min="5909" max="5909" width="9.85546875" style="69" customWidth="1"/>
    <col min="5910" max="5910" width="21.5703125" style="69" customWidth="1"/>
    <col min="5911" max="5911" width="25.7109375" style="69" customWidth="1"/>
    <col min="5912" max="5914" width="21.5703125" style="69" customWidth="1"/>
    <col min="5915" max="5915" width="29.85546875" style="69" customWidth="1"/>
    <col min="5916" max="6144" width="11.42578125" style="69"/>
    <col min="6145" max="6145" width="2.28515625" style="69" customWidth="1"/>
    <col min="6146" max="6146" width="5.5703125" style="69" customWidth="1"/>
    <col min="6147" max="6147" width="34.28515625" style="69" customWidth="1"/>
    <col min="6148" max="6148" width="41.5703125" style="69" customWidth="1"/>
    <col min="6149" max="6154" width="10.140625" style="69" customWidth="1"/>
    <col min="6155" max="6155" width="11" style="69" customWidth="1"/>
    <col min="6156" max="6156" width="10.140625" style="69" customWidth="1"/>
    <col min="6157" max="6157" width="10.5703125" style="69" customWidth="1"/>
    <col min="6158" max="6160" width="10.140625" style="69" customWidth="1"/>
    <col min="6161" max="6161" width="4.140625" style="69" customWidth="1"/>
    <col min="6162" max="6164" width="10.42578125" style="69" customWidth="1"/>
    <col min="6165" max="6165" width="9.85546875" style="69" customWidth="1"/>
    <col min="6166" max="6166" width="21.5703125" style="69" customWidth="1"/>
    <col min="6167" max="6167" width="25.7109375" style="69" customWidth="1"/>
    <col min="6168" max="6170" width="21.5703125" style="69" customWidth="1"/>
    <col min="6171" max="6171" width="29.85546875" style="69" customWidth="1"/>
    <col min="6172" max="6400" width="11.42578125" style="69"/>
    <col min="6401" max="6401" width="2.28515625" style="69" customWidth="1"/>
    <col min="6402" max="6402" width="5.5703125" style="69" customWidth="1"/>
    <col min="6403" max="6403" width="34.28515625" style="69" customWidth="1"/>
    <col min="6404" max="6404" width="41.5703125" style="69" customWidth="1"/>
    <col min="6405" max="6410" width="10.140625" style="69" customWidth="1"/>
    <col min="6411" max="6411" width="11" style="69" customWidth="1"/>
    <col min="6412" max="6412" width="10.140625" style="69" customWidth="1"/>
    <col min="6413" max="6413" width="10.5703125" style="69" customWidth="1"/>
    <col min="6414" max="6416" width="10.140625" style="69" customWidth="1"/>
    <col min="6417" max="6417" width="4.140625" style="69" customWidth="1"/>
    <col min="6418" max="6420" width="10.42578125" style="69" customWidth="1"/>
    <col min="6421" max="6421" width="9.85546875" style="69" customWidth="1"/>
    <col min="6422" max="6422" width="21.5703125" style="69" customWidth="1"/>
    <col min="6423" max="6423" width="25.7109375" style="69" customWidth="1"/>
    <col min="6424" max="6426" width="21.5703125" style="69" customWidth="1"/>
    <col min="6427" max="6427" width="29.85546875" style="69" customWidth="1"/>
    <col min="6428" max="6656" width="11.42578125" style="69"/>
    <col min="6657" max="6657" width="2.28515625" style="69" customWidth="1"/>
    <col min="6658" max="6658" width="5.5703125" style="69" customWidth="1"/>
    <col min="6659" max="6659" width="34.28515625" style="69" customWidth="1"/>
    <col min="6660" max="6660" width="41.5703125" style="69" customWidth="1"/>
    <col min="6661" max="6666" width="10.140625" style="69" customWidth="1"/>
    <col min="6667" max="6667" width="11" style="69" customWidth="1"/>
    <col min="6668" max="6668" width="10.140625" style="69" customWidth="1"/>
    <col min="6669" max="6669" width="10.5703125" style="69" customWidth="1"/>
    <col min="6670" max="6672" width="10.140625" style="69" customWidth="1"/>
    <col min="6673" max="6673" width="4.140625" style="69" customWidth="1"/>
    <col min="6674" max="6676" width="10.42578125" style="69" customWidth="1"/>
    <col min="6677" max="6677" width="9.85546875" style="69" customWidth="1"/>
    <col min="6678" max="6678" width="21.5703125" style="69" customWidth="1"/>
    <col min="6679" max="6679" width="25.7109375" style="69" customWidth="1"/>
    <col min="6680" max="6682" width="21.5703125" style="69" customWidth="1"/>
    <col min="6683" max="6683" width="29.85546875" style="69" customWidth="1"/>
    <col min="6684" max="6912" width="11.42578125" style="69"/>
    <col min="6913" max="6913" width="2.28515625" style="69" customWidth="1"/>
    <col min="6914" max="6914" width="5.5703125" style="69" customWidth="1"/>
    <col min="6915" max="6915" width="34.28515625" style="69" customWidth="1"/>
    <col min="6916" max="6916" width="41.5703125" style="69" customWidth="1"/>
    <col min="6917" max="6922" width="10.140625" style="69" customWidth="1"/>
    <col min="6923" max="6923" width="11" style="69" customWidth="1"/>
    <col min="6924" max="6924" width="10.140625" style="69" customWidth="1"/>
    <col min="6925" max="6925" width="10.5703125" style="69" customWidth="1"/>
    <col min="6926" max="6928" width="10.140625" style="69" customWidth="1"/>
    <col min="6929" max="6929" width="4.140625" style="69" customWidth="1"/>
    <col min="6930" max="6932" width="10.42578125" style="69" customWidth="1"/>
    <col min="6933" max="6933" width="9.85546875" style="69" customWidth="1"/>
    <col min="6934" max="6934" width="21.5703125" style="69" customWidth="1"/>
    <col min="6935" max="6935" width="25.7109375" style="69" customWidth="1"/>
    <col min="6936" max="6938" width="21.5703125" style="69" customWidth="1"/>
    <col min="6939" max="6939" width="29.85546875" style="69" customWidth="1"/>
    <col min="6940" max="7168" width="11.42578125" style="69"/>
    <col min="7169" max="7169" width="2.28515625" style="69" customWidth="1"/>
    <col min="7170" max="7170" width="5.5703125" style="69" customWidth="1"/>
    <col min="7171" max="7171" width="34.28515625" style="69" customWidth="1"/>
    <col min="7172" max="7172" width="41.5703125" style="69" customWidth="1"/>
    <col min="7173" max="7178" width="10.140625" style="69" customWidth="1"/>
    <col min="7179" max="7179" width="11" style="69" customWidth="1"/>
    <col min="7180" max="7180" width="10.140625" style="69" customWidth="1"/>
    <col min="7181" max="7181" width="10.5703125" style="69" customWidth="1"/>
    <col min="7182" max="7184" width="10.140625" style="69" customWidth="1"/>
    <col min="7185" max="7185" width="4.140625" style="69" customWidth="1"/>
    <col min="7186" max="7188" width="10.42578125" style="69" customWidth="1"/>
    <col min="7189" max="7189" width="9.85546875" style="69" customWidth="1"/>
    <col min="7190" max="7190" width="21.5703125" style="69" customWidth="1"/>
    <col min="7191" max="7191" width="25.7109375" style="69" customWidth="1"/>
    <col min="7192" max="7194" width="21.5703125" style="69" customWidth="1"/>
    <col min="7195" max="7195" width="29.85546875" style="69" customWidth="1"/>
    <col min="7196" max="7424" width="11.42578125" style="69"/>
    <col min="7425" max="7425" width="2.28515625" style="69" customWidth="1"/>
    <col min="7426" max="7426" width="5.5703125" style="69" customWidth="1"/>
    <col min="7427" max="7427" width="34.28515625" style="69" customWidth="1"/>
    <col min="7428" max="7428" width="41.5703125" style="69" customWidth="1"/>
    <col min="7429" max="7434" width="10.140625" style="69" customWidth="1"/>
    <col min="7435" max="7435" width="11" style="69" customWidth="1"/>
    <col min="7436" max="7436" width="10.140625" style="69" customWidth="1"/>
    <col min="7437" max="7437" width="10.5703125" style="69" customWidth="1"/>
    <col min="7438" max="7440" width="10.140625" style="69" customWidth="1"/>
    <col min="7441" max="7441" width="4.140625" style="69" customWidth="1"/>
    <col min="7442" max="7444" width="10.42578125" style="69" customWidth="1"/>
    <col min="7445" max="7445" width="9.85546875" style="69" customWidth="1"/>
    <col min="7446" max="7446" width="21.5703125" style="69" customWidth="1"/>
    <col min="7447" max="7447" width="25.7109375" style="69" customWidth="1"/>
    <col min="7448" max="7450" width="21.5703125" style="69" customWidth="1"/>
    <col min="7451" max="7451" width="29.85546875" style="69" customWidth="1"/>
    <col min="7452" max="7680" width="11.42578125" style="69"/>
    <col min="7681" max="7681" width="2.28515625" style="69" customWidth="1"/>
    <col min="7682" max="7682" width="5.5703125" style="69" customWidth="1"/>
    <col min="7683" max="7683" width="34.28515625" style="69" customWidth="1"/>
    <col min="7684" max="7684" width="41.5703125" style="69" customWidth="1"/>
    <col min="7685" max="7690" width="10.140625" style="69" customWidth="1"/>
    <col min="7691" max="7691" width="11" style="69" customWidth="1"/>
    <col min="7692" max="7692" width="10.140625" style="69" customWidth="1"/>
    <col min="7693" max="7693" width="10.5703125" style="69" customWidth="1"/>
    <col min="7694" max="7696" width="10.140625" style="69" customWidth="1"/>
    <col min="7697" max="7697" width="4.140625" style="69" customWidth="1"/>
    <col min="7698" max="7700" width="10.42578125" style="69" customWidth="1"/>
    <col min="7701" max="7701" width="9.85546875" style="69" customWidth="1"/>
    <col min="7702" max="7702" width="21.5703125" style="69" customWidth="1"/>
    <col min="7703" max="7703" width="25.7109375" style="69" customWidth="1"/>
    <col min="7704" max="7706" width="21.5703125" style="69" customWidth="1"/>
    <col min="7707" max="7707" width="29.85546875" style="69" customWidth="1"/>
    <col min="7708" max="7936" width="11.42578125" style="69"/>
    <col min="7937" max="7937" width="2.28515625" style="69" customWidth="1"/>
    <col min="7938" max="7938" width="5.5703125" style="69" customWidth="1"/>
    <col min="7939" max="7939" width="34.28515625" style="69" customWidth="1"/>
    <col min="7940" max="7940" width="41.5703125" style="69" customWidth="1"/>
    <col min="7941" max="7946" width="10.140625" style="69" customWidth="1"/>
    <col min="7947" max="7947" width="11" style="69" customWidth="1"/>
    <col min="7948" max="7948" width="10.140625" style="69" customWidth="1"/>
    <col min="7949" max="7949" width="10.5703125" style="69" customWidth="1"/>
    <col min="7950" max="7952" width="10.140625" style="69" customWidth="1"/>
    <col min="7953" max="7953" width="4.140625" style="69" customWidth="1"/>
    <col min="7954" max="7956" width="10.42578125" style="69" customWidth="1"/>
    <col min="7957" max="7957" width="9.85546875" style="69" customWidth="1"/>
    <col min="7958" max="7958" width="21.5703125" style="69" customWidth="1"/>
    <col min="7959" max="7959" width="25.7109375" style="69" customWidth="1"/>
    <col min="7960" max="7962" width="21.5703125" style="69" customWidth="1"/>
    <col min="7963" max="7963" width="29.85546875" style="69" customWidth="1"/>
    <col min="7964" max="8192" width="11.42578125" style="69"/>
    <col min="8193" max="8193" width="2.28515625" style="69" customWidth="1"/>
    <col min="8194" max="8194" width="5.5703125" style="69" customWidth="1"/>
    <col min="8195" max="8195" width="34.28515625" style="69" customWidth="1"/>
    <col min="8196" max="8196" width="41.5703125" style="69" customWidth="1"/>
    <col min="8197" max="8202" width="10.140625" style="69" customWidth="1"/>
    <col min="8203" max="8203" width="11" style="69" customWidth="1"/>
    <col min="8204" max="8204" width="10.140625" style="69" customWidth="1"/>
    <col min="8205" max="8205" width="10.5703125" style="69" customWidth="1"/>
    <col min="8206" max="8208" width="10.140625" style="69" customWidth="1"/>
    <col min="8209" max="8209" width="4.140625" style="69" customWidth="1"/>
    <col min="8210" max="8212" width="10.42578125" style="69" customWidth="1"/>
    <col min="8213" max="8213" width="9.85546875" style="69" customWidth="1"/>
    <col min="8214" max="8214" width="21.5703125" style="69" customWidth="1"/>
    <col min="8215" max="8215" width="25.7109375" style="69" customWidth="1"/>
    <col min="8216" max="8218" width="21.5703125" style="69" customWidth="1"/>
    <col min="8219" max="8219" width="29.85546875" style="69" customWidth="1"/>
    <col min="8220" max="8448" width="11.42578125" style="69"/>
    <col min="8449" max="8449" width="2.28515625" style="69" customWidth="1"/>
    <col min="8450" max="8450" width="5.5703125" style="69" customWidth="1"/>
    <col min="8451" max="8451" width="34.28515625" style="69" customWidth="1"/>
    <col min="8452" max="8452" width="41.5703125" style="69" customWidth="1"/>
    <col min="8453" max="8458" width="10.140625" style="69" customWidth="1"/>
    <col min="8459" max="8459" width="11" style="69" customWidth="1"/>
    <col min="8460" max="8460" width="10.140625" style="69" customWidth="1"/>
    <col min="8461" max="8461" width="10.5703125" style="69" customWidth="1"/>
    <col min="8462" max="8464" width="10.140625" style="69" customWidth="1"/>
    <col min="8465" max="8465" width="4.140625" style="69" customWidth="1"/>
    <col min="8466" max="8468" width="10.42578125" style="69" customWidth="1"/>
    <col min="8469" max="8469" width="9.85546875" style="69" customWidth="1"/>
    <col min="8470" max="8470" width="21.5703125" style="69" customWidth="1"/>
    <col min="8471" max="8471" width="25.7109375" style="69" customWidth="1"/>
    <col min="8472" max="8474" width="21.5703125" style="69" customWidth="1"/>
    <col min="8475" max="8475" width="29.85546875" style="69" customWidth="1"/>
    <col min="8476" max="8704" width="11.42578125" style="69"/>
    <col min="8705" max="8705" width="2.28515625" style="69" customWidth="1"/>
    <col min="8706" max="8706" width="5.5703125" style="69" customWidth="1"/>
    <col min="8707" max="8707" width="34.28515625" style="69" customWidth="1"/>
    <col min="8708" max="8708" width="41.5703125" style="69" customWidth="1"/>
    <col min="8709" max="8714" width="10.140625" style="69" customWidth="1"/>
    <col min="8715" max="8715" width="11" style="69" customWidth="1"/>
    <col min="8716" max="8716" width="10.140625" style="69" customWidth="1"/>
    <col min="8717" max="8717" width="10.5703125" style="69" customWidth="1"/>
    <col min="8718" max="8720" width="10.140625" style="69" customWidth="1"/>
    <col min="8721" max="8721" width="4.140625" style="69" customWidth="1"/>
    <col min="8722" max="8724" width="10.42578125" style="69" customWidth="1"/>
    <col min="8725" max="8725" width="9.85546875" style="69" customWidth="1"/>
    <col min="8726" max="8726" width="21.5703125" style="69" customWidth="1"/>
    <col min="8727" max="8727" width="25.7109375" style="69" customWidth="1"/>
    <col min="8728" max="8730" width="21.5703125" style="69" customWidth="1"/>
    <col min="8731" max="8731" width="29.85546875" style="69" customWidth="1"/>
    <col min="8732" max="8960" width="11.42578125" style="69"/>
    <col min="8961" max="8961" width="2.28515625" style="69" customWidth="1"/>
    <col min="8962" max="8962" width="5.5703125" style="69" customWidth="1"/>
    <col min="8963" max="8963" width="34.28515625" style="69" customWidth="1"/>
    <col min="8964" max="8964" width="41.5703125" style="69" customWidth="1"/>
    <col min="8965" max="8970" width="10.140625" style="69" customWidth="1"/>
    <col min="8971" max="8971" width="11" style="69" customWidth="1"/>
    <col min="8972" max="8972" width="10.140625" style="69" customWidth="1"/>
    <col min="8973" max="8973" width="10.5703125" style="69" customWidth="1"/>
    <col min="8974" max="8976" width="10.140625" style="69" customWidth="1"/>
    <col min="8977" max="8977" width="4.140625" style="69" customWidth="1"/>
    <col min="8978" max="8980" width="10.42578125" style="69" customWidth="1"/>
    <col min="8981" max="8981" width="9.85546875" style="69" customWidth="1"/>
    <col min="8982" max="8982" width="21.5703125" style="69" customWidth="1"/>
    <col min="8983" max="8983" width="25.7109375" style="69" customWidth="1"/>
    <col min="8984" max="8986" width="21.5703125" style="69" customWidth="1"/>
    <col min="8987" max="8987" width="29.85546875" style="69" customWidth="1"/>
    <col min="8988" max="9216" width="11.42578125" style="69"/>
    <col min="9217" max="9217" width="2.28515625" style="69" customWidth="1"/>
    <col min="9218" max="9218" width="5.5703125" style="69" customWidth="1"/>
    <col min="9219" max="9219" width="34.28515625" style="69" customWidth="1"/>
    <col min="9220" max="9220" width="41.5703125" style="69" customWidth="1"/>
    <col min="9221" max="9226" width="10.140625" style="69" customWidth="1"/>
    <col min="9227" max="9227" width="11" style="69" customWidth="1"/>
    <col min="9228" max="9228" width="10.140625" style="69" customWidth="1"/>
    <col min="9229" max="9229" width="10.5703125" style="69" customWidth="1"/>
    <col min="9230" max="9232" width="10.140625" style="69" customWidth="1"/>
    <col min="9233" max="9233" width="4.140625" style="69" customWidth="1"/>
    <col min="9234" max="9236" width="10.42578125" style="69" customWidth="1"/>
    <col min="9237" max="9237" width="9.85546875" style="69" customWidth="1"/>
    <col min="9238" max="9238" width="21.5703125" style="69" customWidth="1"/>
    <col min="9239" max="9239" width="25.7109375" style="69" customWidth="1"/>
    <col min="9240" max="9242" width="21.5703125" style="69" customWidth="1"/>
    <col min="9243" max="9243" width="29.85546875" style="69" customWidth="1"/>
    <col min="9244" max="9472" width="11.42578125" style="69"/>
    <col min="9473" max="9473" width="2.28515625" style="69" customWidth="1"/>
    <col min="9474" max="9474" width="5.5703125" style="69" customWidth="1"/>
    <col min="9475" max="9475" width="34.28515625" style="69" customWidth="1"/>
    <col min="9476" max="9476" width="41.5703125" style="69" customWidth="1"/>
    <col min="9477" max="9482" width="10.140625" style="69" customWidth="1"/>
    <col min="9483" max="9483" width="11" style="69" customWidth="1"/>
    <col min="9484" max="9484" width="10.140625" style="69" customWidth="1"/>
    <col min="9485" max="9485" width="10.5703125" style="69" customWidth="1"/>
    <col min="9486" max="9488" width="10.140625" style="69" customWidth="1"/>
    <col min="9489" max="9489" width="4.140625" style="69" customWidth="1"/>
    <col min="9490" max="9492" width="10.42578125" style="69" customWidth="1"/>
    <col min="9493" max="9493" width="9.85546875" style="69" customWidth="1"/>
    <col min="9494" max="9494" width="21.5703125" style="69" customWidth="1"/>
    <col min="9495" max="9495" width="25.7109375" style="69" customWidth="1"/>
    <col min="9496" max="9498" width="21.5703125" style="69" customWidth="1"/>
    <col min="9499" max="9499" width="29.85546875" style="69" customWidth="1"/>
    <col min="9500" max="9728" width="11.42578125" style="69"/>
    <col min="9729" max="9729" width="2.28515625" style="69" customWidth="1"/>
    <col min="9730" max="9730" width="5.5703125" style="69" customWidth="1"/>
    <col min="9731" max="9731" width="34.28515625" style="69" customWidth="1"/>
    <col min="9732" max="9732" width="41.5703125" style="69" customWidth="1"/>
    <col min="9733" max="9738" width="10.140625" style="69" customWidth="1"/>
    <col min="9739" max="9739" width="11" style="69" customWidth="1"/>
    <col min="9740" max="9740" width="10.140625" style="69" customWidth="1"/>
    <col min="9741" max="9741" width="10.5703125" style="69" customWidth="1"/>
    <col min="9742" max="9744" width="10.140625" style="69" customWidth="1"/>
    <col min="9745" max="9745" width="4.140625" style="69" customWidth="1"/>
    <col min="9746" max="9748" width="10.42578125" style="69" customWidth="1"/>
    <col min="9749" max="9749" width="9.85546875" style="69" customWidth="1"/>
    <col min="9750" max="9750" width="21.5703125" style="69" customWidth="1"/>
    <col min="9751" max="9751" width="25.7109375" style="69" customWidth="1"/>
    <col min="9752" max="9754" width="21.5703125" style="69" customWidth="1"/>
    <col min="9755" max="9755" width="29.85546875" style="69" customWidth="1"/>
    <col min="9756" max="9984" width="11.42578125" style="69"/>
    <col min="9985" max="9985" width="2.28515625" style="69" customWidth="1"/>
    <col min="9986" max="9986" width="5.5703125" style="69" customWidth="1"/>
    <col min="9987" max="9987" width="34.28515625" style="69" customWidth="1"/>
    <col min="9988" max="9988" width="41.5703125" style="69" customWidth="1"/>
    <col min="9989" max="9994" width="10.140625" style="69" customWidth="1"/>
    <col min="9995" max="9995" width="11" style="69" customWidth="1"/>
    <col min="9996" max="9996" width="10.140625" style="69" customWidth="1"/>
    <col min="9997" max="9997" width="10.5703125" style="69" customWidth="1"/>
    <col min="9998" max="10000" width="10.140625" style="69" customWidth="1"/>
    <col min="10001" max="10001" width="4.140625" style="69" customWidth="1"/>
    <col min="10002" max="10004" width="10.42578125" style="69" customWidth="1"/>
    <col min="10005" max="10005" width="9.85546875" style="69" customWidth="1"/>
    <col min="10006" max="10006" width="21.5703125" style="69" customWidth="1"/>
    <col min="10007" max="10007" width="25.7109375" style="69" customWidth="1"/>
    <col min="10008" max="10010" width="21.5703125" style="69" customWidth="1"/>
    <col min="10011" max="10011" width="29.85546875" style="69" customWidth="1"/>
    <col min="10012" max="10240" width="11.42578125" style="69"/>
    <col min="10241" max="10241" width="2.28515625" style="69" customWidth="1"/>
    <col min="10242" max="10242" width="5.5703125" style="69" customWidth="1"/>
    <col min="10243" max="10243" width="34.28515625" style="69" customWidth="1"/>
    <col min="10244" max="10244" width="41.5703125" style="69" customWidth="1"/>
    <col min="10245" max="10250" width="10.140625" style="69" customWidth="1"/>
    <col min="10251" max="10251" width="11" style="69" customWidth="1"/>
    <col min="10252" max="10252" width="10.140625" style="69" customWidth="1"/>
    <col min="10253" max="10253" width="10.5703125" style="69" customWidth="1"/>
    <col min="10254" max="10256" width="10.140625" style="69" customWidth="1"/>
    <col min="10257" max="10257" width="4.140625" style="69" customWidth="1"/>
    <col min="10258" max="10260" width="10.42578125" style="69" customWidth="1"/>
    <col min="10261" max="10261" width="9.85546875" style="69" customWidth="1"/>
    <col min="10262" max="10262" width="21.5703125" style="69" customWidth="1"/>
    <col min="10263" max="10263" width="25.7109375" style="69" customWidth="1"/>
    <col min="10264" max="10266" width="21.5703125" style="69" customWidth="1"/>
    <col min="10267" max="10267" width="29.85546875" style="69" customWidth="1"/>
    <col min="10268" max="10496" width="11.42578125" style="69"/>
    <col min="10497" max="10497" width="2.28515625" style="69" customWidth="1"/>
    <col min="10498" max="10498" width="5.5703125" style="69" customWidth="1"/>
    <col min="10499" max="10499" width="34.28515625" style="69" customWidth="1"/>
    <col min="10500" max="10500" width="41.5703125" style="69" customWidth="1"/>
    <col min="10501" max="10506" width="10.140625" style="69" customWidth="1"/>
    <col min="10507" max="10507" width="11" style="69" customWidth="1"/>
    <col min="10508" max="10508" width="10.140625" style="69" customWidth="1"/>
    <col min="10509" max="10509" width="10.5703125" style="69" customWidth="1"/>
    <col min="10510" max="10512" width="10.140625" style="69" customWidth="1"/>
    <col min="10513" max="10513" width="4.140625" style="69" customWidth="1"/>
    <col min="10514" max="10516" width="10.42578125" style="69" customWidth="1"/>
    <col min="10517" max="10517" width="9.85546875" style="69" customWidth="1"/>
    <col min="10518" max="10518" width="21.5703125" style="69" customWidth="1"/>
    <col min="10519" max="10519" width="25.7109375" style="69" customWidth="1"/>
    <col min="10520" max="10522" width="21.5703125" style="69" customWidth="1"/>
    <col min="10523" max="10523" width="29.85546875" style="69" customWidth="1"/>
    <col min="10524" max="10752" width="11.42578125" style="69"/>
    <col min="10753" max="10753" width="2.28515625" style="69" customWidth="1"/>
    <col min="10754" max="10754" width="5.5703125" style="69" customWidth="1"/>
    <col min="10755" max="10755" width="34.28515625" style="69" customWidth="1"/>
    <col min="10756" max="10756" width="41.5703125" style="69" customWidth="1"/>
    <col min="10757" max="10762" width="10.140625" style="69" customWidth="1"/>
    <col min="10763" max="10763" width="11" style="69" customWidth="1"/>
    <col min="10764" max="10764" width="10.140625" style="69" customWidth="1"/>
    <col min="10765" max="10765" width="10.5703125" style="69" customWidth="1"/>
    <col min="10766" max="10768" width="10.140625" style="69" customWidth="1"/>
    <col min="10769" max="10769" width="4.140625" style="69" customWidth="1"/>
    <col min="10770" max="10772" width="10.42578125" style="69" customWidth="1"/>
    <col min="10773" max="10773" width="9.85546875" style="69" customWidth="1"/>
    <col min="10774" max="10774" width="21.5703125" style="69" customWidth="1"/>
    <col min="10775" max="10775" width="25.7109375" style="69" customWidth="1"/>
    <col min="10776" max="10778" width="21.5703125" style="69" customWidth="1"/>
    <col min="10779" max="10779" width="29.85546875" style="69" customWidth="1"/>
    <col min="10780" max="11008" width="11.42578125" style="69"/>
    <col min="11009" max="11009" width="2.28515625" style="69" customWidth="1"/>
    <col min="11010" max="11010" width="5.5703125" style="69" customWidth="1"/>
    <col min="11011" max="11011" width="34.28515625" style="69" customWidth="1"/>
    <col min="11012" max="11012" width="41.5703125" style="69" customWidth="1"/>
    <col min="11013" max="11018" width="10.140625" style="69" customWidth="1"/>
    <col min="11019" max="11019" width="11" style="69" customWidth="1"/>
    <col min="11020" max="11020" width="10.140625" style="69" customWidth="1"/>
    <col min="11021" max="11021" width="10.5703125" style="69" customWidth="1"/>
    <col min="11022" max="11024" width="10.140625" style="69" customWidth="1"/>
    <col min="11025" max="11025" width="4.140625" style="69" customWidth="1"/>
    <col min="11026" max="11028" width="10.42578125" style="69" customWidth="1"/>
    <col min="11029" max="11029" width="9.85546875" style="69" customWidth="1"/>
    <col min="11030" max="11030" width="21.5703125" style="69" customWidth="1"/>
    <col min="11031" max="11031" width="25.7109375" style="69" customWidth="1"/>
    <col min="11032" max="11034" width="21.5703125" style="69" customWidth="1"/>
    <col min="11035" max="11035" width="29.85546875" style="69" customWidth="1"/>
    <col min="11036" max="11264" width="11.42578125" style="69"/>
    <col min="11265" max="11265" width="2.28515625" style="69" customWidth="1"/>
    <col min="11266" max="11266" width="5.5703125" style="69" customWidth="1"/>
    <col min="11267" max="11267" width="34.28515625" style="69" customWidth="1"/>
    <col min="11268" max="11268" width="41.5703125" style="69" customWidth="1"/>
    <col min="11269" max="11274" width="10.140625" style="69" customWidth="1"/>
    <col min="11275" max="11275" width="11" style="69" customWidth="1"/>
    <col min="11276" max="11276" width="10.140625" style="69" customWidth="1"/>
    <col min="11277" max="11277" width="10.5703125" style="69" customWidth="1"/>
    <col min="11278" max="11280" width="10.140625" style="69" customWidth="1"/>
    <col min="11281" max="11281" width="4.140625" style="69" customWidth="1"/>
    <col min="11282" max="11284" width="10.42578125" style="69" customWidth="1"/>
    <col min="11285" max="11285" width="9.85546875" style="69" customWidth="1"/>
    <col min="11286" max="11286" width="21.5703125" style="69" customWidth="1"/>
    <col min="11287" max="11287" width="25.7109375" style="69" customWidth="1"/>
    <col min="11288" max="11290" width="21.5703125" style="69" customWidth="1"/>
    <col min="11291" max="11291" width="29.85546875" style="69" customWidth="1"/>
    <col min="11292" max="11520" width="11.42578125" style="69"/>
    <col min="11521" max="11521" width="2.28515625" style="69" customWidth="1"/>
    <col min="11522" max="11522" width="5.5703125" style="69" customWidth="1"/>
    <col min="11523" max="11523" width="34.28515625" style="69" customWidth="1"/>
    <col min="11524" max="11524" width="41.5703125" style="69" customWidth="1"/>
    <col min="11525" max="11530" width="10.140625" style="69" customWidth="1"/>
    <col min="11531" max="11531" width="11" style="69" customWidth="1"/>
    <col min="11532" max="11532" width="10.140625" style="69" customWidth="1"/>
    <col min="11533" max="11533" width="10.5703125" style="69" customWidth="1"/>
    <col min="11534" max="11536" width="10.140625" style="69" customWidth="1"/>
    <col min="11537" max="11537" width="4.140625" style="69" customWidth="1"/>
    <col min="11538" max="11540" width="10.42578125" style="69" customWidth="1"/>
    <col min="11541" max="11541" width="9.85546875" style="69" customWidth="1"/>
    <col min="11542" max="11542" width="21.5703125" style="69" customWidth="1"/>
    <col min="11543" max="11543" width="25.7109375" style="69" customWidth="1"/>
    <col min="11544" max="11546" width="21.5703125" style="69" customWidth="1"/>
    <col min="11547" max="11547" width="29.85546875" style="69" customWidth="1"/>
    <col min="11548" max="11776" width="11.42578125" style="69"/>
    <col min="11777" max="11777" width="2.28515625" style="69" customWidth="1"/>
    <col min="11778" max="11778" width="5.5703125" style="69" customWidth="1"/>
    <col min="11779" max="11779" width="34.28515625" style="69" customWidth="1"/>
    <col min="11780" max="11780" width="41.5703125" style="69" customWidth="1"/>
    <col min="11781" max="11786" width="10.140625" style="69" customWidth="1"/>
    <col min="11787" max="11787" width="11" style="69" customWidth="1"/>
    <col min="11788" max="11788" width="10.140625" style="69" customWidth="1"/>
    <col min="11789" max="11789" width="10.5703125" style="69" customWidth="1"/>
    <col min="11790" max="11792" width="10.140625" style="69" customWidth="1"/>
    <col min="11793" max="11793" width="4.140625" style="69" customWidth="1"/>
    <col min="11794" max="11796" width="10.42578125" style="69" customWidth="1"/>
    <col min="11797" max="11797" width="9.85546875" style="69" customWidth="1"/>
    <col min="11798" max="11798" width="21.5703125" style="69" customWidth="1"/>
    <col min="11799" max="11799" width="25.7109375" style="69" customWidth="1"/>
    <col min="11800" max="11802" width="21.5703125" style="69" customWidth="1"/>
    <col min="11803" max="11803" width="29.85546875" style="69" customWidth="1"/>
    <col min="11804" max="12032" width="11.42578125" style="69"/>
    <col min="12033" max="12033" width="2.28515625" style="69" customWidth="1"/>
    <col min="12034" max="12034" width="5.5703125" style="69" customWidth="1"/>
    <col min="12035" max="12035" width="34.28515625" style="69" customWidth="1"/>
    <col min="12036" max="12036" width="41.5703125" style="69" customWidth="1"/>
    <col min="12037" max="12042" width="10.140625" style="69" customWidth="1"/>
    <col min="12043" max="12043" width="11" style="69" customWidth="1"/>
    <col min="12044" max="12044" width="10.140625" style="69" customWidth="1"/>
    <col min="12045" max="12045" width="10.5703125" style="69" customWidth="1"/>
    <col min="12046" max="12048" width="10.140625" style="69" customWidth="1"/>
    <col min="12049" max="12049" width="4.140625" style="69" customWidth="1"/>
    <col min="12050" max="12052" width="10.42578125" style="69" customWidth="1"/>
    <col min="12053" max="12053" width="9.85546875" style="69" customWidth="1"/>
    <col min="12054" max="12054" width="21.5703125" style="69" customWidth="1"/>
    <col min="12055" max="12055" width="25.7109375" style="69" customWidth="1"/>
    <col min="12056" max="12058" width="21.5703125" style="69" customWidth="1"/>
    <col min="12059" max="12059" width="29.85546875" style="69" customWidth="1"/>
    <col min="12060" max="12288" width="11.42578125" style="69"/>
    <col min="12289" max="12289" width="2.28515625" style="69" customWidth="1"/>
    <col min="12290" max="12290" width="5.5703125" style="69" customWidth="1"/>
    <col min="12291" max="12291" width="34.28515625" style="69" customWidth="1"/>
    <col min="12292" max="12292" width="41.5703125" style="69" customWidth="1"/>
    <col min="12293" max="12298" width="10.140625" style="69" customWidth="1"/>
    <col min="12299" max="12299" width="11" style="69" customWidth="1"/>
    <col min="12300" max="12300" width="10.140625" style="69" customWidth="1"/>
    <col min="12301" max="12301" width="10.5703125" style="69" customWidth="1"/>
    <col min="12302" max="12304" width="10.140625" style="69" customWidth="1"/>
    <col min="12305" max="12305" width="4.140625" style="69" customWidth="1"/>
    <col min="12306" max="12308" width="10.42578125" style="69" customWidth="1"/>
    <col min="12309" max="12309" width="9.85546875" style="69" customWidth="1"/>
    <col min="12310" max="12310" width="21.5703125" style="69" customWidth="1"/>
    <col min="12311" max="12311" width="25.7109375" style="69" customWidth="1"/>
    <col min="12312" max="12314" width="21.5703125" style="69" customWidth="1"/>
    <col min="12315" max="12315" width="29.85546875" style="69" customWidth="1"/>
    <col min="12316" max="12544" width="11.42578125" style="69"/>
    <col min="12545" max="12545" width="2.28515625" style="69" customWidth="1"/>
    <col min="12546" max="12546" width="5.5703125" style="69" customWidth="1"/>
    <col min="12547" max="12547" width="34.28515625" style="69" customWidth="1"/>
    <col min="12548" max="12548" width="41.5703125" style="69" customWidth="1"/>
    <col min="12549" max="12554" width="10.140625" style="69" customWidth="1"/>
    <col min="12555" max="12555" width="11" style="69" customWidth="1"/>
    <col min="12556" max="12556" width="10.140625" style="69" customWidth="1"/>
    <col min="12557" max="12557" width="10.5703125" style="69" customWidth="1"/>
    <col min="12558" max="12560" width="10.140625" style="69" customWidth="1"/>
    <col min="12561" max="12561" width="4.140625" style="69" customWidth="1"/>
    <col min="12562" max="12564" width="10.42578125" style="69" customWidth="1"/>
    <col min="12565" max="12565" width="9.85546875" style="69" customWidth="1"/>
    <col min="12566" max="12566" width="21.5703125" style="69" customWidth="1"/>
    <col min="12567" max="12567" width="25.7109375" style="69" customWidth="1"/>
    <col min="12568" max="12570" width="21.5703125" style="69" customWidth="1"/>
    <col min="12571" max="12571" width="29.85546875" style="69" customWidth="1"/>
    <col min="12572" max="12800" width="11.42578125" style="69"/>
    <col min="12801" max="12801" width="2.28515625" style="69" customWidth="1"/>
    <col min="12802" max="12802" width="5.5703125" style="69" customWidth="1"/>
    <col min="12803" max="12803" width="34.28515625" style="69" customWidth="1"/>
    <col min="12804" max="12804" width="41.5703125" style="69" customWidth="1"/>
    <col min="12805" max="12810" width="10.140625" style="69" customWidth="1"/>
    <col min="12811" max="12811" width="11" style="69" customWidth="1"/>
    <col min="12812" max="12812" width="10.140625" style="69" customWidth="1"/>
    <col min="12813" max="12813" width="10.5703125" style="69" customWidth="1"/>
    <col min="12814" max="12816" width="10.140625" style="69" customWidth="1"/>
    <col min="12817" max="12817" width="4.140625" style="69" customWidth="1"/>
    <col min="12818" max="12820" width="10.42578125" style="69" customWidth="1"/>
    <col min="12821" max="12821" width="9.85546875" style="69" customWidth="1"/>
    <col min="12822" max="12822" width="21.5703125" style="69" customWidth="1"/>
    <col min="12823" max="12823" width="25.7109375" style="69" customWidth="1"/>
    <col min="12824" max="12826" width="21.5703125" style="69" customWidth="1"/>
    <col min="12827" max="12827" width="29.85546875" style="69" customWidth="1"/>
    <col min="12828" max="13056" width="11.42578125" style="69"/>
    <col min="13057" max="13057" width="2.28515625" style="69" customWidth="1"/>
    <col min="13058" max="13058" width="5.5703125" style="69" customWidth="1"/>
    <col min="13059" max="13059" width="34.28515625" style="69" customWidth="1"/>
    <col min="13060" max="13060" width="41.5703125" style="69" customWidth="1"/>
    <col min="13061" max="13066" width="10.140625" style="69" customWidth="1"/>
    <col min="13067" max="13067" width="11" style="69" customWidth="1"/>
    <col min="13068" max="13068" width="10.140625" style="69" customWidth="1"/>
    <col min="13069" max="13069" width="10.5703125" style="69" customWidth="1"/>
    <col min="13070" max="13072" width="10.140625" style="69" customWidth="1"/>
    <col min="13073" max="13073" width="4.140625" style="69" customWidth="1"/>
    <col min="13074" max="13076" width="10.42578125" style="69" customWidth="1"/>
    <col min="13077" max="13077" width="9.85546875" style="69" customWidth="1"/>
    <col min="13078" max="13078" width="21.5703125" style="69" customWidth="1"/>
    <col min="13079" max="13079" width="25.7109375" style="69" customWidth="1"/>
    <col min="13080" max="13082" width="21.5703125" style="69" customWidth="1"/>
    <col min="13083" max="13083" width="29.85546875" style="69" customWidth="1"/>
    <col min="13084" max="13312" width="11.42578125" style="69"/>
    <col min="13313" max="13313" width="2.28515625" style="69" customWidth="1"/>
    <col min="13314" max="13314" width="5.5703125" style="69" customWidth="1"/>
    <col min="13315" max="13315" width="34.28515625" style="69" customWidth="1"/>
    <col min="13316" max="13316" width="41.5703125" style="69" customWidth="1"/>
    <col min="13317" max="13322" width="10.140625" style="69" customWidth="1"/>
    <col min="13323" max="13323" width="11" style="69" customWidth="1"/>
    <col min="13324" max="13324" width="10.140625" style="69" customWidth="1"/>
    <col min="13325" max="13325" width="10.5703125" style="69" customWidth="1"/>
    <col min="13326" max="13328" width="10.140625" style="69" customWidth="1"/>
    <col min="13329" max="13329" width="4.140625" style="69" customWidth="1"/>
    <col min="13330" max="13332" width="10.42578125" style="69" customWidth="1"/>
    <col min="13333" max="13333" width="9.85546875" style="69" customWidth="1"/>
    <col min="13334" max="13334" width="21.5703125" style="69" customWidth="1"/>
    <col min="13335" max="13335" width="25.7109375" style="69" customWidth="1"/>
    <col min="13336" max="13338" width="21.5703125" style="69" customWidth="1"/>
    <col min="13339" max="13339" width="29.85546875" style="69" customWidth="1"/>
    <col min="13340" max="13568" width="11.42578125" style="69"/>
    <col min="13569" max="13569" width="2.28515625" style="69" customWidth="1"/>
    <col min="13570" max="13570" width="5.5703125" style="69" customWidth="1"/>
    <col min="13571" max="13571" width="34.28515625" style="69" customWidth="1"/>
    <col min="13572" max="13572" width="41.5703125" style="69" customWidth="1"/>
    <col min="13573" max="13578" width="10.140625" style="69" customWidth="1"/>
    <col min="13579" max="13579" width="11" style="69" customWidth="1"/>
    <col min="13580" max="13580" width="10.140625" style="69" customWidth="1"/>
    <col min="13581" max="13581" width="10.5703125" style="69" customWidth="1"/>
    <col min="13582" max="13584" width="10.140625" style="69" customWidth="1"/>
    <col min="13585" max="13585" width="4.140625" style="69" customWidth="1"/>
    <col min="13586" max="13588" width="10.42578125" style="69" customWidth="1"/>
    <col min="13589" max="13589" width="9.85546875" style="69" customWidth="1"/>
    <col min="13590" max="13590" width="21.5703125" style="69" customWidth="1"/>
    <col min="13591" max="13591" width="25.7109375" style="69" customWidth="1"/>
    <col min="13592" max="13594" width="21.5703125" style="69" customWidth="1"/>
    <col min="13595" max="13595" width="29.85546875" style="69" customWidth="1"/>
    <col min="13596" max="13824" width="11.42578125" style="69"/>
    <col min="13825" max="13825" width="2.28515625" style="69" customWidth="1"/>
    <col min="13826" max="13826" width="5.5703125" style="69" customWidth="1"/>
    <col min="13827" max="13827" width="34.28515625" style="69" customWidth="1"/>
    <col min="13828" max="13828" width="41.5703125" style="69" customWidth="1"/>
    <col min="13829" max="13834" width="10.140625" style="69" customWidth="1"/>
    <col min="13835" max="13835" width="11" style="69" customWidth="1"/>
    <col min="13836" max="13836" width="10.140625" style="69" customWidth="1"/>
    <col min="13837" max="13837" width="10.5703125" style="69" customWidth="1"/>
    <col min="13838" max="13840" width="10.140625" style="69" customWidth="1"/>
    <col min="13841" max="13841" width="4.140625" style="69" customWidth="1"/>
    <col min="13842" max="13844" width="10.42578125" style="69" customWidth="1"/>
    <col min="13845" max="13845" width="9.85546875" style="69" customWidth="1"/>
    <col min="13846" max="13846" width="21.5703125" style="69" customWidth="1"/>
    <col min="13847" max="13847" width="25.7109375" style="69" customWidth="1"/>
    <col min="13848" max="13850" width="21.5703125" style="69" customWidth="1"/>
    <col min="13851" max="13851" width="29.85546875" style="69" customWidth="1"/>
    <col min="13852" max="14080" width="11.42578125" style="69"/>
    <col min="14081" max="14081" width="2.28515625" style="69" customWidth="1"/>
    <col min="14082" max="14082" width="5.5703125" style="69" customWidth="1"/>
    <col min="14083" max="14083" width="34.28515625" style="69" customWidth="1"/>
    <col min="14084" max="14084" width="41.5703125" style="69" customWidth="1"/>
    <col min="14085" max="14090" width="10.140625" style="69" customWidth="1"/>
    <col min="14091" max="14091" width="11" style="69" customWidth="1"/>
    <col min="14092" max="14092" width="10.140625" style="69" customWidth="1"/>
    <col min="14093" max="14093" width="10.5703125" style="69" customWidth="1"/>
    <col min="14094" max="14096" width="10.140625" style="69" customWidth="1"/>
    <col min="14097" max="14097" width="4.140625" style="69" customWidth="1"/>
    <col min="14098" max="14100" width="10.42578125" style="69" customWidth="1"/>
    <col min="14101" max="14101" width="9.85546875" style="69" customWidth="1"/>
    <col min="14102" max="14102" width="21.5703125" style="69" customWidth="1"/>
    <col min="14103" max="14103" width="25.7109375" style="69" customWidth="1"/>
    <col min="14104" max="14106" width="21.5703125" style="69" customWidth="1"/>
    <col min="14107" max="14107" width="29.85546875" style="69" customWidth="1"/>
    <col min="14108" max="14336" width="11.42578125" style="69"/>
    <col min="14337" max="14337" width="2.28515625" style="69" customWidth="1"/>
    <col min="14338" max="14338" width="5.5703125" style="69" customWidth="1"/>
    <col min="14339" max="14339" width="34.28515625" style="69" customWidth="1"/>
    <col min="14340" max="14340" width="41.5703125" style="69" customWidth="1"/>
    <col min="14341" max="14346" width="10.140625" style="69" customWidth="1"/>
    <col min="14347" max="14347" width="11" style="69" customWidth="1"/>
    <col min="14348" max="14348" width="10.140625" style="69" customWidth="1"/>
    <col min="14349" max="14349" width="10.5703125" style="69" customWidth="1"/>
    <col min="14350" max="14352" width="10.140625" style="69" customWidth="1"/>
    <col min="14353" max="14353" width="4.140625" style="69" customWidth="1"/>
    <col min="14354" max="14356" width="10.42578125" style="69" customWidth="1"/>
    <col min="14357" max="14357" width="9.85546875" style="69" customWidth="1"/>
    <col min="14358" max="14358" width="21.5703125" style="69" customWidth="1"/>
    <col min="14359" max="14359" width="25.7109375" style="69" customWidth="1"/>
    <col min="14360" max="14362" width="21.5703125" style="69" customWidth="1"/>
    <col min="14363" max="14363" width="29.85546875" style="69" customWidth="1"/>
    <col min="14364" max="14592" width="11.42578125" style="69"/>
    <col min="14593" max="14593" width="2.28515625" style="69" customWidth="1"/>
    <col min="14594" max="14594" width="5.5703125" style="69" customWidth="1"/>
    <col min="14595" max="14595" width="34.28515625" style="69" customWidth="1"/>
    <col min="14596" max="14596" width="41.5703125" style="69" customWidth="1"/>
    <col min="14597" max="14602" width="10.140625" style="69" customWidth="1"/>
    <col min="14603" max="14603" width="11" style="69" customWidth="1"/>
    <col min="14604" max="14604" width="10.140625" style="69" customWidth="1"/>
    <col min="14605" max="14605" width="10.5703125" style="69" customWidth="1"/>
    <col min="14606" max="14608" width="10.140625" style="69" customWidth="1"/>
    <col min="14609" max="14609" width="4.140625" style="69" customWidth="1"/>
    <col min="14610" max="14612" width="10.42578125" style="69" customWidth="1"/>
    <col min="14613" max="14613" width="9.85546875" style="69" customWidth="1"/>
    <col min="14614" max="14614" width="21.5703125" style="69" customWidth="1"/>
    <col min="14615" max="14615" width="25.7109375" style="69" customWidth="1"/>
    <col min="14616" max="14618" width="21.5703125" style="69" customWidth="1"/>
    <col min="14619" max="14619" width="29.85546875" style="69" customWidth="1"/>
    <col min="14620" max="14848" width="11.42578125" style="69"/>
    <col min="14849" max="14849" width="2.28515625" style="69" customWidth="1"/>
    <col min="14850" max="14850" width="5.5703125" style="69" customWidth="1"/>
    <col min="14851" max="14851" width="34.28515625" style="69" customWidth="1"/>
    <col min="14852" max="14852" width="41.5703125" style="69" customWidth="1"/>
    <col min="14853" max="14858" width="10.140625" style="69" customWidth="1"/>
    <col min="14859" max="14859" width="11" style="69" customWidth="1"/>
    <col min="14860" max="14860" width="10.140625" style="69" customWidth="1"/>
    <col min="14861" max="14861" width="10.5703125" style="69" customWidth="1"/>
    <col min="14862" max="14864" width="10.140625" style="69" customWidth="1"/>
    <col min="14865" max="14865" width="4.140625" style="69" customWidth="1"/>
    <col min="14866" max="14868" width="10.42578125" style="69" customWidth="1"/>
    <col min="14869" max="14869" width="9.85546875" style="69" customWidth="1"/>
    <col min="14870" max="14870" width="21.5703125" style="69" customWidth="1"/>
    <col min="14871" max="14871" width="25.7109375" style="69" customWidth="1"/>
    <col min="14872" max="14874" width="21.5703125" style="69" customWidth="1"/>
    <col min="14875" max="14875" width="29.85546875" style="69" customWidth="1"/>
    <col min="14876" max="15104" width="11.42578125" style="69"/>
    <col min="15105" max="15105" width="2.28515625" style="69" customWidth="1"/>
    <col min="15106" max="15106" width="5.5703125" style="69" customWidth="1"/>
    <col min="15107" max="15107" width="34.28515625" style="69" customWidth="1"/>
    <col min="15108" max="15108" width="41.5703125" style="69" customWidth="1"/>
    <col min="15109" max="15114" width="10.140625" style="69" customWidth="1"/>
    <col min="15115" max="15115" width="11" style="69" customWidth="1"/>
    <col min="15116" max="15116" width="10.140625" style="69" customWidth="1"/>
    <col min="15117" max="15117" width="10.5703125" style="69" customWidth="1"/>
    <col min="15118" max="15120" width="10.140625" style="69" customWidth="1"/>
    <col min="15121" max="15121" width="4.140625" style="69" customWidth="1"/>
    <col min="15122" max="15124" width="10.42578125" style="69" customWidth="1"/>
    <col min="15125" max="15125" width="9.85546875" style="69" customWidth="1"/>
    <col min="15126" max="15126" width="21.5703125" style="69" customWidth="1"/>
    <col min="15127" max="15127" width="25.7109375" style="69" customWidth="1"/>
    <col min="15128" max="15130" width="21.5703125" style="69" customWidth="1"/>
    <col min="15131" max="15131" width="29.85546875" style="69" customWidth="1"/>
    <col min="15132" max="15360" width="11.42578125" style="69"/>
    <col min="15361" max="15361" width="2.28515625" style="69" customWidth="1"/>
    <col min="15362" max="15362" width="5.5703125" style="69" customWidth="1"/>
    <col min="15363" max="15363" width="34.28515625" style="69" customWidth="1"/>
    <col min="15364" max="15364" width="41.5703125" style="69" customWidth="1"/>
    <col min="15365" max="15370" width="10.140625" style="69" customWidth="1"/>
    <col min="15371" max="15371" width="11" style="69" customWidth="1"/>
    <col min="15372" max="15372" width="10.140625" style="69" customWidth="1"/>
    <col min="15373" max="15373" width="10.5703125" style="69" customWidth="1"/>
    <col min="15374" max="15376" width="10.140625" style="69" customWidth="1"/>
    <col min="15377" max="15377" width="4.140625" style="69" customWidth="1"/>
    <col min="15378" max="15380" width="10.42578125" style="69" customWidth="1"/>
    <col min="15381" max="15381" width="9.85546875" style="69" customWidth="1"/>
    <col min="15382" max="15382" width="21.5703125" style="69" customWidth="1"/>
    <col min="15383" max="15383" width="25.7109375" style="69" customWidth="1"/>
    <col min="15384" max="15386" width="21.5703125" style="69" customWidth="1"/>
    <col min="15387" max="15387" width="29.85546875" style="69" customWidth="1"/>
    <col min="15388" max="15616" width="11.42578125" style="69"/>
    <col min="15617" max="15617" width="2.28515625" style="69" customWidth="1"/>
    <col min="15618" max="15618" width="5.5703125" style="69" customWidth="1"/>
    <col min="15619" max="15619" width="34.28515625" style="69" customWidth="1"/>
    <col min="15620" max="15620" width="41.5703125" style="69" customWidth="1"/>
    <col min="15621" max="15626" width="10.140625" style="69" customWidth="1"/>
    <col min="15627" max="15627" width="11" style="69" customWidth="1"/>
    <col min="15628" max="15628" width="10.140625" style="69" customWidth="1"/>
    <col min="15629" max="15629" width="10.5703125" style="69" customWidth="1"/>
    <col min="15630" max="15632" width="10.140625" style="69" customWidth="1"/>
    <col min="15633" max="15633" width="4.140625" style="69" customWidth="1"/>
    <col min="15634" max="15636" width="10.42578125" style="69" customWidth="1"/>
    <col min="15637" max="15637" width="9.85546875" style="69" customWidth="1"/>
    <col min="15638" max="15638" width="21.5703125" style="69" customWidth="1"/>
    <col min="15639" max="15639" width="25.7109375" style="69" customWidth="1"/>
    <col min="15640" max="15642" width="21.5703125" style="69" customWidth="1"/>
    <col min="15643" max="15643" width="29.85546875" style="69" customWidth="1"/>
    <col min="15644" max="15872" width="11.42578125" style="69"/>
    <col min="15873" max="15873" width="2.28515625" style="69" customWidth="1"/>
    <col min="15874" max="15874" width="5.5703125" style="69" customWidth="1"/>
    <col min="15875" max="15875" width="34.28515625" style="69" customWidth="1"/>
    <col min="15876" max="15876" width="41.5703125" style="69" customWidth="1"/>
    <col min="15877" max="15882" width="10.140625" style="69" customWidth="1"/>
    <col min="15883" max="15883" width="11" style="69" customWidth="1"/>
    <col min="15884" max="15884" width="10.140625" style="69" customWidth="1"/>
    <col min="15885" max="15885" width="10.5703125" style="69" customWidth="1"/>
    <col min="15886" max="15888" width="10.140625" style="69" customWidth="1"/>
    <col min="15889" max="15889" width="4.140625" style="69" customWidth="1"/>
    <col min="15890" max="15892" width="10.42578125" style="69" customWidth="1"/>
    <col min="15893" max="15893" width="9.85546875" style="69" customWidth="1"/>
    <col min="15894" max="15894" width="21.5703125" style="69" customWidth="1"/>
    <col min="15895" max="15895" width="25.7109375" style="69" customWidth="1"/>
    <col min="15896" max="15898" width="21.5703125" style="69" customWidth="1"/>
    <col min="15899" max="15899" width="29.85546875" style="69" customWidth="1"/>
    <col min="15900" max="16128" width="11.42578125" style="69"/>
    <col min="16129" max="16129" width="2.28515625" style="69" customWidth="1"/>
    <col min="16130" max="16130" width="5.5703125" style="69" customWidth="1"/>
    <col min="16131" max="16131" width="34.28515625" style="69" customWidth="1"/>
    <col min="16132" max="16132" width="41.5703125" style="69" customWidth="1"/>
    <col min="16133" max="16138" width="10.140625" style="69" customWidth="1"/>
    <col min="16139" max="16139" width="11" style="69" customWidth="1"/>
    <col min="16140" max="16140" width="10.140625" style="69" customWidth="1"/>
    <col min="16141" max="16141" width="10.5703125" style="69" customWidth="1"/>
    <col min="16142" max="16144" width="10.140625" style="69" customWidth="1"/>
    <col min="16145" max="16145" width="4.140625" style="69" customWidth="1"/>
    <col min="16146" max="16148" width="10.42578125" style="69" customWidth="1"/>
    <col min="16149" max="16149" width="9.85546875" style="69" customWidth="1"/>
    <col min="16150" max="16150" width="21.5703125" style="69" customWidth="1"/>
    <col min="16151" max="16151" width="25.7109375" style="69" customWidth="1"/>
    <col min="16152" max="16154" width="21.5703125" style="69" customWidth="1"/>
    <col min="16155" max="16155" width="29.85546875" style="69" customWidth="1"/>
    <col min="16156" max="16384" width="11.42578125" style="69"/>
  </cols>
  <sheetData>
    <row r="1" spans="2:27" ht="20.100000000000001" customHeight="1">
      <c r="C1" s="62"/>
      <c r="D1" s="63"/>
      <c r="E1" s="64"/>
      <c r="F1" s="65"/>
      <c r="G1" s="65"/>
      <c r="H1" s="66"/>
      <c r="I1" s="66"/>
      <c r="J1" s="66"/>
      <c r="K1" s="67"/>
      <c r="L1" s="67"/>
      <c r="M1" s="67"/>
      <c r="N1" s="67"/>
      <c r="O1" s="68"/>
      <c r="P1" s="68"/>
    </row>
    <row r="2" spans="2:27" s="80" customFormat="1" ht="20.100000000000001" hidden="1" customHeight="1">
      <c r="B2" s="70"/>
      <c r="C2" s="71"/>
      <c r="D2" s="72"/>
      <c r="E2" s="73"/>
      <c r="F2" s="73"/>
      <c r="G2" s="73"/>
      <c r="H2" s="74"/>
      <c r="I2" s="74"/>
      <c r="J2" s="74"/>
      <c r="K2" s="75"/>
      <c r="L2" s="75"/>
      <c r="M2" s="71"/>
      <c r="N2" s="76"/>
      <c r="O2" s="76"/>
      <c r="P2" s="77"/>
      <c r="Q2" s="78"/>
      <c r="R2" s="79"/>
      <c r="S2" s="78"/>
      <c r="T2" s="78"/>
      <c r="U2" s="78"/>
      <c r="V2" s="78"/>
      <c r="W2" s="78"/>
      <c r="X2" s="78"/>
      <c r="Y2" s="78"/>
      <c r="Z2" s="78"/>
      <c r="AA2" s="78"/>
    </row>
    <row r="3" spans="2:27" ht="12" customHeight="1">
      <c r="B3" s="81"/>
      <c r="D3" s="63"/>
      <c r="E3" s="65"/>
      <c r="F3" s="65"/>
      <c r="G3" s="65"/>
      <c r="H3" s="82">
        <f>18.17%</f>
        <v>0.18170000000000003</v>
      </c>
      <c r="I3" s="82">
        <f>9.72%</f>
        <v>9.7200000000000009E-2</v>
      </c>
      <c r="J3" s="82">
        <f>8.333333%</f>
        <v>8.3333329999999997E-2</v>
      </c>
      <c r="K3" s="83">
        <v>0.09</v>
      </c>
      <c r="L3" s="83"/>
      <c r="O3" s="67"/>
      <c r="P3" s="67"/>
    </row>
    <row r="4" spans="2:27" s="65" customFormat="1" ht="20.100000000000001" customHeight="1">
      <c r="B4" s="84" t="s">
        <v>0</v>
      </c>
      <c r="E4" s="85"/>
      <c r="H4" s="82">
        <f>18.17%/2</f>
        <v>9.0850000000000014E-2</v>
      </c>
      <c r="I4" s="82">
        <f>9.72%/2</f>
        <v>4.8600000000000004E-2</v>
      </c>
      <c r="J4" s="82">
        <f>8.333333%/2</f>
        <v>4.1666664999999999E-2</v>
      </c>
      <c r="K4" s="83">
        <v>0.09</v>
      </c>
      <c r="L4" s="83"/>
      <c r="M4" s="86" t="s">
        <v>1</v>
      </c>
      <c r="N4" s="87">
        <v>30</v>
      </c>
      <c r="O4" s="87">
        <v>8</v>
      </c>
      <c r="P4" s="87">
        <v>60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</row>
    <row r="5" spans="2:27" s="65" customFormat="1" ht="20.100000000000001" customHeight="1" thickBot="1">
      <c r="B5" s="84"/>
      <c r="E5" s="85"/>
      <c r="H5" s="82"/>
      <c r="I5" s="82"/>
      <c r="J5" s="82"/>
      <c r="K5" s="83"/>
      <c r="L5" s="83"/>
      <c r="M5" s="86"/>
      <c r="N5" s="87"/>
      <c r="O5" s="87"/>
      <c r="P5" s="87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</row>
    <row r="6" spans="2:27" ht="20.100000000000001" customHeight="1">
      <c r="B6" s="1471" t="s">
        <v>2</v>
      </c>
      <c r="C6" s="1472" t="s">
        <v>3</v>
      </c>
      <c r="D6" s="1472" t="s">
        <v>4</v>
      </c>
      <c r="E6" s="1466" t="s">
        <v>5</v>
      </c>
      <c r="F6" s="1466" t="s">
        <v>6</v>
      </c>
      <c r="G6" s="1466" t="s">
        <v>7</v>
      </c>
      <c r="H6" s="1464" t="s">
        <v>8</v>
      </c>
      <c r="I6" s="1464" t="s">
        <v>9</v>
      </c>
      <c r="J6" s="1464" t="s">
        <v>10</v>
      </c>
      <c r="K6" s="1467" t="s">
        <v>11</v>
      </c>
      <c r="L6" s="89"/>
      <c r="M6" s="1468" t="s">
        <v>12</v>
      </c>
      <c r="N6" s="1470" t="s">
        <v>13</v>
      </c>
      <c r="O6" s="1464" t="s">
        <v>14</v>
      </c>
      <c r="P6" s="1464" t="s">
        <v>15</v>
      </c>
      <c r="Q6" s="69"/>
      <c r="R6" s="1464" t="s">
        <v>16</v>
      </c>
      <c r="S6" s="1464" t="s">
        <v>17</v>
      </c>
      <c r="T6" s="1464" t="s">
        <v>18</v>
      </c>
      <c r="U6" s="69"/>
      <c r="V6" s="69"/>
      <c r="W6" s="69"/>
      <c r="X6" s="69"/>
      <c r="Y6" s="69"/>
      <c r="Z6" s="69"/>
      <c r="AA6" s="69"/>
    </row>
    <row r="7" spans="2:27" ht="20.100000000000001" customHeight="1">
      <c r="B7" s="1471"/>
      <c r="C7" s="1472"/>
      <c r="D7" s="1472"/>
      <c r="E7" s="1466"/>
      <c r="F7" s="1466"/>
      <c r="G7" s="1466"/>
      <c r="H7" s="1464"/>
      <c r="I7" s="1464"/>
      <c r="J7" s="1464"/>
      <c r="K7" s="1467"/>
      <c r="L7" s="90" t="s">
        <v>19</v>
      </c>
      <c r="M7" s="1469"/>
      <c r="N7" s="1470"/>
      <c r="O7" s="1464"/>
      <c r="P7" s="1464"/>
      <c r="Q7" s="91"/>
      <c r="R7" s="1464"/>
      <c r="S7" s="1464"/>
      <c r="T7" s="1464"/>
      <c r="U7" s="69"/>
      <c r="V7" s="69"/>
      <c r="W7" s="69"/>
      <c r="X7" s="69"/>
      <c r="Y7" s="69"/>
      <c r="Z7" s="69"/>
      <c r="AA7" s="69"/>
    </row>
    <row r="8" spans="2:27" ht="20.100000000000001" customHeight="1">
      <c r="B8" s="1471"/>
      <c r="C8" s="1472"/>
      <c r="D8" s="1472"/>
      <c r="E8" s="1466"/>
      <c r="F8" s="1466"/>
      <c r="G8" s="1466"/>
      <c r="H8" s="1464"/>
      <c r="I8" s="1464"/>
      <c r="J8" s="1464"/>
      <c r="K8" s="1467"/>
      <c r="L8" s="92"/>
      <c r="M8" s="1469"/>
      <c r="N8" s="1470"/>
      <c r="O8" s="1464"/>
      <c r="P8" s="1464"/>
      <c r="Q8" s="69"/>
      <c r="R8" s="1464"/>
      <c r="S8" s="1464"/>
      <c r="T8" s="1465"/>
      <c r="U8" s="69"/>
      <c r="V8" s="69"/>
      <c r="W8" s="69"/>
      <c r="X8" s="69"/>
      <c r="Y8" s="69"/>
      <c r="Z8" s="69"/>
      <c r="AA8" s="69"/>
    </row>
    <row r="9" spans="2:27" ht="20.100000000000001" customHeight="1">
      <c r="B9" s="93">
        <v>1</v>
      </c>
      <c r="C9" s="94" t="s">
        <v>20</v>
      </c>
      <c r="D9" s="95" t="s">
        <v>21</v>
      </c>
      <c r="E9" s="96">
        <v>779.8</v>
      </c>
      <c r="F9" s="97">
        <v>0</v>
      </c>
      <c r="G9" s="98">
        <f t="shared" ref="G9:G16" si="0">E9+F9</f>
        <v>779.8</v>
      </c>
      <c r="H9" s="99">
        <f>G9*$H$3</f>
        <v>141.68966</v>
      </c>
      <c r="I9" s="99">
        <f>G9*$I$3</f>
        <v>75.796559999999999</v>
      </c>
      <c r="J9" s="99">
        <f>G9*$J$3</f>
        <v>64.983330733999992</v>
      </c>
      <c r="K9" s="100">
        <f t="shared" ref="K9:K16" si="1">G9*$K$4</f>
        <v>70.181999999999988</v>
      </c>
      <c r="L9" s="101">
        <v>0</v>
      </c>
      <c r="M9" s="102">
        <f t="shared" ref="M9:M16" si="2">G9+H9+I9+J9+K9+L9</f>
        <v>1132.451550734</v>
      </c>
      <c r="N9" s="103">
        <f t="shared" ref="N9:N16" si="3">M9/$N$4</f>
        <v>37.748385024466664</v>
      </c>
      <c r="O9" s="99">
        <f t="shared" ref="O9:O16" si="4">N9/$O$4</f>
        <v>4.718548128058333</v>
      </c>
      <c r="P9" s="99">
        <f t="shared" ref="P9:P16" si="5">O9/$P$4</f>
        <v>7.8642468800972212E-2</v>
      </c>
      <c r="Q9" s="69"/>
      <c r="R9" s="104">
        <f>G9*11.97%</f>
        <v>93.342059999999989</v>
      </c>
      <c r="S9" s="105">
        <v>0</v>
      </c>
      <c r="T9" s="104">
        <f t="shared" ref="T9:T16" si="6">G9+L9-R9-S9</f>
        <v>686.45794000000001</v>
      </c>
      <c r="U9" s="69"/>
      <c r="V9" s="69"/>
      <c r="W9" s="69"/>
      <c r="X9" s="69"/>
      <c r="Y9" s="69"/>
      <c r="Z9" s="69"/>
      <c r="AA9" s="69"/>
    </row>
    <row r="10" spans="2:27" ht="20.100000000000001" customHeight="1">
      <c r="B10" s="93">
        <f>B9+1</f>
        <v>2</v>
      </c>
      <c r="C10" s="106" t="s">
        <v>22</v>
      </c>
      <c r="D10" s="107" t="s">
        <v>23</v>
      </c>
      <c r="E10" s="108">
        <v>1908.19</v>
      </c>
      <c r="F10" s="97">
        <v>102.5</v>
      </c>
      <c r="G10" s="109">
        <f t="shared" si="0"/>
        <v>2010.69</v>
      </c>
      <c r="H10" s="99">
        <f t="shared" ref="H10:H16" si="7">G10*$H$4</f>
        <v>182.67118650000003</v>
      </c>
      <c r="I10" s="99">
        <f t="shared" ref="I10:I16" si="8">G10*$I$4</f>
        <v>97.71953400000001</v>
      </c>
      <c r="J10" s="99">
        <f t="shared" ref="J10:J16" si="9">G10*$J$4</f>
        <v>83.778746648850003</v>
      </c>
      <c r="K10" s="100">
        <f t="shared" si="1"/>
        <v>180.96209999999999</v>
      </c>
      <c r="L10" s="99">
        <v>0</v>
      </c>
      <c r="M10" s="102">
        <f t="shared" si="2"/>
        <v>2555.8215671488501</v>
      </c>
      <c r="N10" s="103">
        <f t="shared" si="3"/>
        <v>85.194052238295001</v>
      </c>
      <c r="O10" s="99">
        <f t="shared" si="4"/>
        <v>10.649256529786875</v>
      </c>
      <c r="P10" s="99">
        <f t="shared" si="5"/>
        <v>0.17748760882978126</v>
      </c>
      <c r="Q10" s="110"/>
      <c r="R10" s="104">
        <f>G10*11.74%</f>
        <v>236.05500600000002</v>
      </c>
      <c r="S10" s="105">
        <v>0</v>
      </c>
      <c r="T10" s="104">
        <f t="shared" si="6"/>
        <v>1774.634994</v>
      </c>
      <c r="U10" s="110"/>
      <c r="V10" s="69"/>
      <c r="W10" s="69"/>
      <c r="X10" s="69"/>
      <c r="Y10" s="69"/>
      <c r="Z10" s="69"/>
      <c r="AA10" s="69"/>
    </row>
    <row r="11" spans="2:27" ht="20.100000000000001" customHeight="1">
      <c r="B11" s="93">
        <f>B10+1</f>
        <v>3</v>
      </c>
      <c r="C11" s="111" t="s">
        <v>24</v>
      </c>
      <c r="D11" s="112" t="s">
        <v>25</v>
      </c>
      <c r="E11" s="108">
        <v>1537.34</v>
      </c>
      <c r="F11" s="97"/>
      <c r="G11" s="109">
        <f t="shared" si="0"/>
        <v>1537.34</v>
      </c>
      <c r="H11" s="99">
        <f t="shared" si="7"/>
        <v>139.66733900000003</v>
      </c>
      <c r="I11" s="99">
        <f t="shared" si="8"/>
        <v>74.714724000000004</v>
      </c>
      <c r="J11" s="99">
        <f t="shared" si="9"/>
        <v>64.055830771099991</v>
      </c>
      <c r="K11" s="100">
        <f t="shared" si="1"/>
        <v>138.36059999999998</v>
      </c>
      <c r="L11" s="99">
        <v>0</v>
      </c>
      <c r="M11" s="113">
        <f t="shared" si="2"/>
        <v>1954.1384937711</v>
      </c>
      <c r="N11" s="103">
        <f t="shared" si="3"/>
        <v>65.137949792369994</v>
      </c>
      <c r="O11" s="103">
        <f t="shared" si="4"/>
        <v>8.1422437240462493</v>
      </c>
      <c r="P11" s="103">
        <f t="shared" si="5"/>
        <v>0.13570406206743749</v>
      </c>
      <c r="Q11" s="110"/>
      <c r="R11" s="104">
        <f>G11*11.92%</f>
        <v>183.25092799999999</v>
      </c>
      <c r="S11" s="105">
        <v>0</v>
      </c>
      <c r="T11" s="104">
        <f t="shared" si="6"/>
        <v>1354.089072</v>
      </c>
      <c r="U11" s="110"/>
      <c r="V11" s="69"/>
      <c r="W11" s="69"/>
      <c r="X11" s="69"/>
      <c r="Y11" s="69"/>
      <c r="Z11" s="69"/>
      <c r="AA11" s="69"/>
    </row>
    <row r="12" spans="2:27" s="63" customFormat="1" ht="20.100000000000001" customHeight="1">
      <c r="B12" s="93">
        <v>4</v>
      </c>
      <c r="C12" s="106" t="s">
        <v>26</v>
      </c>
      <c r="D12" s="112" t="s">
        <v>27</v>
      </c>
      <c r="E12" s="96">
        <v>1422.21</v>
      </c>
      <c r="F12" s="96">
        <v>0</v>
      </c>
      <c r="G12" s="109">
        <f t="shared" si="0"/>
        <v>1422.21</v>
      </c>
      <c r="H12" s="99">
        <f t="shared" si="7"/>
        <v>129.20777850000002</v>
      </c>
      <c r="I12" s="99">
        <f t="shared" si="8"/>
        <v>69.119406000000012</v>
      </c>
      <c r="J12" s="99">
        <f t="shared" si="9"/>
        <v>59.258747629650003</v>
      </c>
      <c r="K12" s="100">
        <f t="shared" si="1"/>
        <v>127.99889999999999</v>
      </c>
      <c r="L12" s="99">
        <v>0</v>
      </c>
      <c r="M12" s="102">
        <f t="shared" si="2"/>
        <v>1807.7948321296503</v>
      </c>
      <c r="N12" s="114">
        <f t="shared" si="3"/>
        <v>60.259827737655009</v>
      </c>
      <c r="O12" s="104">
        <f t="shared" si="4"/>
        <v>7.5324784672068761</v>
      </c>
      <c r="P12" s="104">
        <f t="shared" si="5"/>
        <v>0.12554130778678127</v>
      </c>
      <c r="Q12" s="110"/>
      <c r="R12" s="104">
        <f>G12*11.97%</f>
        <v>170.23853700000001</v>
      </c>
      <c r="S12" s="105">
        <v>0</v>
      </c>
      <c r="T12" s="104">
        <f t="shared" si="6"/>
        <v>1251.9714630000001</v>
      </c>
      <c r="U12" s="110"/>
    </row>
    <row r="13" spans="2:27" s="63" customFormat="1" ht="20.100000000000001" customHeight="1">
      <c r="B13" s="93">
        <v>5</v>
      </c>
      <c r="C13" s="106" t="s">
        <v>28</v>
      </c>
      <c r="D13" s="106" t="s">
        <v>29</v>
      </c>
      <c r="E13" s="96">
        <v>1025</v>
      </c>
      <c r="F13" s="96"/>
      <c r="G13" s="109">
        <f t="shared" si="0"/>
        <v>1025</v>
      </c>
      <c r="H13" s="99">
        <f t="shared" si="7"/>
        <v>93.121250000000018</v>
      </c>
      <c r="I13" s="99">
        <f t="shared" si="8"/>
        <v>49.815000000000005</v>
      </c>
      <c r="J13" s="99">
        <f t="shared" si="9"/>
        <v>42.708331625</v>
      </c>
      <c r="K13" s="100">
        <f t="shared" si="1"/>
        <v>92.25</v>
      </c>
      <c r="L13" s="99">
        <v>0</v>
      </c>
      <c r="M13" s="102">
        <f t="shared" si="2"/>
        <v>1302.894581625</v>
      </c>
      <c r="N13" s="114">
        <f t="shared" si="3"/>
        <v>43.429819387499997</v>
      </c>
      <c r="O13" s="104">
        <f t="shared" si="4"/>
        <v>5.4287274234374996</v>
      </c>
      <c r="P13" s="104">
        <f t="shared" si="5"/>
        <v>9.0478790390624994E-2</v>
      </c>
      <c r="Q13" s="110"/>
      <c r="R13" s="104">
        <f>G13*11.92%</f>
        <v>122.18</v>
      </c>
      <c r="S13" s="105">
        <v>0</v>
      </c>
      <c r="T13" s="104">
        <f t="shared" si="6"/>
        <v>902.81999999999994</v>
      </c>
      <c r="U13" s="110"/>
    </row>
    <row r="14" spans="2:27" ht="20.100000000000001" customHeight="1">
      <c r="B14" s="93">
        <v>6</v>
      </c>
      <c r="C14" s="106" t="s">
        <v>30</v>
      </c>
      <c r="D14" s="107" t="s">
        <v>31</v>
      </c>
      <c r="E14" s="108">
        <v>800</v>
      </c>
      <c r="F14" s="97"/>
      <c r="G14" s="109">
        <f t="shared" si="0"/>
        <v>800</v>
      </c>
      <c r="H14" s="99">
        <f t="shared" si="7"/>
        <v>72.680000000000007</v>
      </c>
      <c r="I14" s="99">
        <f t="shared" si="8"/>
        <v>38.880000000000003</v>
      </c>
      <c r="J14" s="99">
        <f t="shared" si="9"/>
        <v>33.333331999999999</v>
      </c>
      <c r="K14" s="100">
        <f t="shared" si="1"/>
        <v>72</v>
      </c>
      <c r="L14" s="99">
        <v>0</v>
      </c>
      <c r="M14" s="102">
        <f t="shared" si="2"/>
        <v>1016.8933320000001</v>
      </c>
      <c r="N14" s="103">
        <f t="shared" si="3"/>
        <v>33.8964444</v>
      </c>
      <c r="O14" s="99">
        <f t="shared" si="4"/>
        <v>4.23705555</v>
      </c>
      <c r="P14" s="99">
        <f t="shared" si="5"/>
        <v>7.0617592500000007E-2</v>
      </c>
      <c r="Q14" s="110"/>
      <c r="R14" s="104">
        <f>G14*11.92%</f>
        <v>95.36</v>
      </c>
      <c r="S14" s="105">
        <v>0</v>
      </c>
      <c r="T14" s="104">
        <f t="shared" si="6"/>
        <v>704.64</v>
      </c>
      <c r="U14" s="110"/>
      <c r="V14" s="69"/>
      <c r="W14" s="69"/>
      <c r="X14" s="69"/>
      <c r="Y14" s="69"/>
      <c r="Z14" s="69"/>
      <c r="AA14" s="69"/>
    </row>
    <row r="15" spans="2:27" ht="20.100000000000001" customHeight="1">
      <c r="B15" s="93">
        <v>7</v>
      </c>
      <c r="C15" s="106" t="s">
        <v>32</v>
      </c>
      <c r="D15" s="134" t="s">
        <v>33</v>
      </c>
      <c r="E15" s="108">
        <v>3000</v>
      </c>
      <c r="F15" s="97">
        <v>102.5</v>
      </c>
      <c r="G15" s="109">
        <f t="shared" si="0"/>
        <v>3102.5</v>
      </c>
      <c r="H15" s="99">
        <f t="shared" si="7"/>
        <v>281.86212500000005</v>
      </c>
      <c r="I15" s="99">
        <f t="shared" si="8"/>
        <v>150.78150000000002</v>
      </c>
      <c r="J15" s="99">
        <f t="shared" si="9"/>
        <v>129.27082816250001</v>
      </c>
      <c r="K15" s="100">
        <f t="shared" si="1"/>
        <v>279.22499999999997</v>
      </c>
      <c r="L15" s="99">
        <v>0</v>
      </c>
      <c r="M15" s="102">
        <f t="shared" si="2"/>
        <v>3943.6394531625001</v>
      </c>
      <c r="N15" s="103">
        <f t="shared" si="3"/>
        <v>131.45464843875001</v>
      </c>
      <c r="O15" s="99">
        <f t="shared" si="4"/>
        <v>16.431831054843752</v>
      </c>
      <c r="P15" s="99">
        <f t="shared" si="5"/>
        <v>0.27386385091406251</v>
      </c>
      <c r="Q15" s="110"/>
      <c r="R15" s="104">
        <f>G15*11.92%</f>
        <v>369.81799999999998</v>
      </c>
      <c r="S15" s="105">
        <v>0</v>
      </c>
      <c r="T15" s="104">
        <f t="shared" si="6"/>
        <v>2732.6819999999998</v>
      </c>
      <c r="U15" s="110"/>
      <c r="V15" s="69"/>
      <c r="W15" s="69"/>
      <c r="X15" s="69"/>
      <c r="Y15" s="69"/>
      <c r="Z15" s="69"/>
      <c r="AA15" s="69"/>
    </row>
    <row r="16" spans="2:27" ht="20.100000000000001" customHeight="1">
      <c r="B16" s="93">
        <v>8</v>
      </c>
      <c r="C16" s="106" t="s">
        <v>20</v>
      </c>
      <c r="D16" s="134" t="s">
        <v>34</v>
      </c>
      <c r="E16" s="96">
        <v>1270.8</v>
      </c>
      <c r="F16" s="97"/>
      <c r="G16" s="109">
        <f t="shared" si="0"/>
        <v>1270.8</v>
      </c>
      <c r="H16" s="99">
        <f t="shared" si="7"/>
        <v>115.45218000000001</v>
      </c>
      <c r="I16" s="99">
        <f t="shared" si="8"/>
        <v>61.76088</v>
      </c>
      <c r="J16" s="99">
        <f t="shared" si="9"/>
        <v>52.949997881999998</v>
      </c>
      <c r="K16" s="100">
        <f t="shared" si="1"/>
        <v>114.37199999999999</v>
      </c>
      <c r="L16" s="99">
        <v>0</v>
      </c>
      <c r="M16" s="102">
        <f t="shared" si="2"/>
        <v>1615.335057882</v>
      </c>
      <c r="N16" s="103">
        <f t="shared" si="3"/>
        <v>53.844501929400003</v>
      </c>
      <c r="O16" s="99">
        <f t="shared" si="4"/>
        <v>6.7305627411750004</v>
      </c>
      <c r="P16" s="99">
        <f t="shared" si="5"/>
        <v>0.11217604568625</v>
      </c>
      <c r="Q16" s="110"/>
      <c r="R16" s="104">
        <f>G16*11.92%</f>
        <v>151.47935999999999</v>
      </c>
      <c r="S16" s="105">
        <v>0</v>
      </c>
      <c r="T16" s="104">
        <f t="shared" si="6"/>
        <v>1119.3206399999999</v>
      </c>
      <c r="U16" s="110"/>
      <c r="V16" s="69"/>
      <c r="W16" s="69"/>
      <c r="X16" s="69"/>
      <c r="Y16" s="69"/>
      <c r="Z16" s="69"/>
      <c r="AA16" s="69"/>
    </row>
    <row r="17" spans="2:27" ht="20.100000000000001" customHeight="1" thickBot="1">
      <c r="B17" s="93"/>
      <c r="C17" s="115"/>
      <c r="D17" s="106"/>
      <c r="E17" s="116"/>
      <c r="F17" s="117"/>
      <c r="G17" s="118"/>
      <c r="H17" s="119"/>
      <c r="I17" s="119"/>
      <c r="J17" s="120"/>
      <c r="K17" s="121"/>
      <c r="L17" s="120"/>
      <c r="M17" s="113"/>
      <c r="N17" s="122"/>
      <c r="O17" s="122"/>
      <c r="P17" s="122"/>
      <c r="Q17" s="110"/>
      <c r="R17" s="123"/>
      <c r="S17" s="124"/>
      <c r="T17" s="123"/>
      <c r="U17" s="110"/>
      <c r="V17" s="69"/>
      <c r="W17" s="69"/>
      <c r="X17" s="69"/>
      <c r="Y17" s="69"/>
      <c r="Z17" s="69"/>
      <c r="AA17" s="69"/>
    </row>
    <row r="18" spans="2:27" s="63" customFormat="1" ht="20.100000000000001" customHeight="1" thickBot="1">
      <c r="B18" s="125"/>
      <c r="C18" s="126"/>
      <c r="D18" s="127" t="s">
        <v>35</v>
      </c>
      <c r="E18" s="128">
        <f t="shared" ref="E18:M18" si="10">SUM(E9:E17)</f>
        <v>11743.34</v>
      </c>
      <c r="F18" s="128">
        <f t="shared" si="10"/>
        <v>205</v>
      </c>
      <c r="G18" s="128">
        <f t="shared" si="10"/>
        <v>11948.34</v>
      </c>
      <c r="H18" s="128">
        <f t="shared" si="10"/>
        <v>1156.3515190000003</v>
      </c>
      <c r="I18" s="128">
        <f t="shared" si="10"/>
        <v>618.58760400000006</v>
      </c>
      <c r="J18" s="128">
        <f t="shared" si="10"/>
        <v>530.33914545310006</v>
      </c>
      <c r="K18" s="128">
        <f t="shared" si="10"/>
        <v>1075.3506</v>
      </c>
      <c r="L18" s="128">
        <f t="shared" si="10"/>
        <v>0</v>
      </c>
      <c r="M18" s="129">
        <f t="shared" si="10"/>
        <v>15328.968868453099</v>
      </c>
      <c r="N18" s="128">
        <f>SUM(N9:N13)</f>
        <v>291.77003418028664</v>
      </c>
      <c r="O18" s="128">
        <f>SUM(O9:O13)</f>
        <v>36.47125427253583</v>
      </c>
      <c r="P18" s="128">
        <f>SUM(P9:P13)</f>
        <v>0.60785423787559723</v>
      </c>
      <c r="R18" s="130">
        <f>SUM(R9:R17)</f>
        <v>1421.7238909999999</v>
      </c>
      <c r="S18" s="130">
        <f>SUM(S9:S17)</f>
        <v>0</v>
      </c>
      <c r="T18" s="130">
        <f>SUM(T9:T17)</f>
        <v>10526.616109000001</v>
      </c>
    </row>
    <row r="19" spans="2:27" s="65" customFormat="1" ht="20.100000000000001" customHeight="1">
      <c r="B19" s="84"/>
      <c r="E19" s="85"/>
      <c r="H19" s="82"/>
      <c r="I19" s="82"/>
      <c r="J19" s="82"/>
      <c r="K19" s="83"/>
      <c r="L19" s="83"/>
      <c r="M19" s="86"/>
      <c r="N19" s="87"/>
      <c r="O19" s="87"/>
      <c r="P19" s="87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</row>
    <row r="20" spans="2:27" s="65" customFormat="1" ht="20.100000000000001" customHeight="1" thickBot="1">
      <c r="B20" s="84"/>
      <c r="E20" s="85"/>
      <c r="H20" s="82"/>
      <c r="I20" s="82"/>
      <c r="J20" s="82"/>
      <c r="K20" s="83"/>
      <c r="L20" s="83"/>
      <c r="M20" s="86"/>
      <c r="N20" s="87"/>
      <c r="O20" s="87"/>
      <c r="P20" s="87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</row>
    <row r="21" spans="2:27" ht="20.100000000000001" customHeight="1">
      <c r="B21" s="1471" t="s">
        <v>2</v>
      </c>
      <c r="C21" s="1472" t="s">
        <v>3</v>
      </c>
      <c r="D21" s="1472" t="s">
        <v>4</v>
      </c>
      <c r="E21" s="1466" t="s">
        <v>5</v>
      </c>
      <c r="F21" s="1466" t="s">
        <v>6</v>
      </c>
      <c r="G21" s="1466" t="s">
        <v>7</v>
      </c>
      <c r="H21" s="1464" t="s">
        <v>8</v>
      </c>
      <c r="I21" s="1464" t="s">
        <v>9</v>
      </c>
      <c r="J21" s="1464" t="s">
        <v>10</v>
      </c>
      <c r="K21" s="1467" t="s">
        <v>11</v>
      </c>
      <c r="L21" s="89"/>
      <c r="M21" s="1468" t="s">
        <v>12</v>
      </c>
      <c r="N21" s="1470" t="s">
        <v>13</v>
      </c>
      <c r="O21" s="1464" t="s">
        <v>14</v>
      </c>
      <c r="P21" s="1464" t="s">
        <v>15</v>
      </c>
      <c r="Q21" s="69"/>
      <c r="R21" s="1464" t="s">
        <v>16</v>
      </c>
      <c r="S21" s="1464" t="s">
        <v>17</v>
      </c>
      <c r="T21" s="1464" t="s">
        <v>18</v>
      </c>
      <c r="U21" s="69"/>
      <c r="V21" s="69"/>
      <c r="W21" s="69"/>
      <c r="X21" s="69"/>
      <c r="Y21" s="69"/>
      <c r="Z21" s="69"/>
      <c r="AA21" s="69"/>
    </row>
    <row r="22" spans="2:27" ht="20.100000000000001" customHeight="1">
      <c r="B22" s="1471"/>
      <c r="C22" s="1472"/>
      <c r="D22" s="1472"/>
      <c r="E22" s="1466"/>
      <c r="F22" s="1466"/>
      <c r="G22" s="1466"/>
      <c r="H22" s="1464"/>
      <c r="I22" s="1464"/>
      <c r="J22" s="1464"/>
      <c r="K22" s="1467"/>
      <c r="L22" s="90" t="s">
        <v>19</v>
      </c>
      <c r="M22" s="1469"/>
      <c r="N22" s="1470"/>
      <c r="O22" s="1464"/>
      <c r="P22" s="1464"/>
      <c r="Q22" s="91"/>
      <c r="R22" s="1464"/>
      <c r="S22" s="1464"/>
      <c r="T22" s="1464"/>
      <c r="U22" s="69"/>
      <c r="V22" s="69"/>
      <c r="W22" s="69"/>
      <c r="X22" s="69"/>
      <c r="Y22" s="69"/>
      <c r="Z22" s="69"/>
      <c r="AA22" s="69"/>
    </row>
    <row r="23" spans="2:27" ht="20.100000000000001" customHeight="1">
      <c r="B23" s="1471"/>
      <c r="C23" s="1472"/>
      <c r="D23" s="1472"/>
      <c r="E23" s="1466"/>
      <c r="F23" s="1466"/>
      <c r="G23" s="1466"/>
      <c r="H23" s="1464"/>
      <c r="I23" s="1464"/>
      <c r="J23" s="1464"/>
      <c r="K23" s="1467"/>
      <c r="L23" s="92"/>
      <c r="M23" s="1469"/>
      <c r="N23" s="1470"/>
      <c r="O23" s="1464"/>
      <c r="P23" s="1464"/>
      <c r="Q23" s="69"/>
      <c r="R23" s="1464"/>
      <c r="S23" s="1464"/>
      <c r="T23" s="1465"/>
      <c r="U23" s="69"/>
      <c r="V23" s="69"/>
      <c r="W23" s="69"/>
      <c r="X23" s="69"/>
      <c r="Y23" s="69"/>
      <c r="Z23" s="69"/>
      <c r="AA23" s="69"/>
    </row>
    <row r="24" spans="2:27" ht="20.100000000000001" customHeight="1">
      <c r="B24" s="93">
        <v>1</v>
      </c>
      <c r="C24" s="94" t="s">
        <v>36</v>
      </c>
      <c r="D24" s="95" t="s">
        <v>37</v>
      </c>
      <c r="E24" s="96">
        <v>4208.6000000000004</v>
      </c>
      <c r="F24" s="97">
        <v>0</v>
      </c>
      <c r="G24" s="98">
        <f>E24+F24</f>
        <v>4208.6000000000004</v>
      </c>
      <c r="H24" s="99">
        <f>G24*$H$3</f>
        <v>764.70262000000014</v>
      </c>
      <c r="I24" s="99">
        <f>G24*$I$3</f>
        <v>409.07592000000005</v>
      </c>
      <c r="J24" s="99">
        <f>G24*$J$3</f>
        <v>350.71665263800003</v>
      </c>
      <c r="K24" s="100">
        <f t="shared" ref="K24:K33" si="11">G24*$K$4</f>
        <v>378.774</v>
      </c>
      <c r="L24" s="101">
        <v>0</v>
      </c>
      <c r="M24" s="102">
        <f>G24+H24+I24+J24+K24+L24</f>
        <v>6111.8691926380006</v>
      </c>
      <c r="N24" s="103">
        <f t="shared" ref="N24:N33" si="12">M24/$N$4</f>
        <v>203.72897308793335</v>
      </c>
      <c r="O24" s="99">
        <f t="shared" ref="O24:O33" si="13">N24/$O$4</f>
        <v>25.466121635991669</v>
      </c>
      <c r="P24" s="99">
        <f t="shared" ref="P24:P33" si="14">O24/$P$4</f>
        <v>0.42443536059986114</v>
      </c>
      <c r="Q24" s="69"/>
      <c r="R24" s="104">
        <f>G24*11.97%</f>
        <v>503.76942000000003</v>
      </c>
      <c r="S24" s="105">
        <v>204</v>
      </c>
      <c r="T24" s="104">
        <f t="shared" ref="T24:T33" si="15">G24+L24-R24-S24</f>
        <v>3500.8305800000003</v>
      </c>
      <c r="U24" s="69"/>
      <c r="V24" s="69"/>
      <c r="W24" s="69"/>
      <c r="X24" s="69"/>
      <c r="Y24" s="69"/>
      <c r="Z24" s="69"/>
      <c r="AA24" s="69"/>
    </row>
    <row r="25" spans="2:27" ht="20.100000000000001" customHeight="1">
      <c r="B25" s="93">
        <f>B24+1</f>
        <v>2</v>
      </c>
      <c r="C25" s="94" t="s">
        <v>38</v>
      </c>
      <c r="D25" s="107" t="s">
        <v>39</v>
      </c>
      <c r="E25" s="108">
        <v>1706.7</v>
      </c>
      <c r="F25" s="97">
        <v>102.5</v>
      </c>
      <c r="G25" s="109">
        <f t="shared" ref="G25:G33" si="16">E25+F25</f>
        <v>1809.2</v>
      </c>
      <c r="H25" s="99">
        <f t="shared" ref="H25:H33" si="17">G25*$H$4</f>
        <v>164.36582000000004</v>
      </c>
      <c r="I25" s="99">
        <f>G25*$I$4</f>
        <v>87.927120000000016</v>
      </c>
      <c r="J25" s="99">
        <f>G25*$J$4</f>
        <v>75.383330318000006</v>
      </c>
      <c r="K25" s="100">
        <f t="shared" si="11"/>
        <v>162.828</v>
      </c>
      <c r="L25" s="99">
        <v>0</v>
      </c>
      <c r="M25" s="102">
        <f>G25+H25+I25+J25+K25+L25</f>
        <v>2299.704270318</v>
      </c>
      <c r="N25" s="103">
        <f>M25/$N$4</f>
        <v>76.6568090106</v>
      </c>
      <c r="O25" s="99">
        <f>N25/$O$4</f>
        <v>9.582101126325</v>
      </c>
      <c r="P25" s="99">
        <f>O25/$P$4</f>
        <v>0.15970168543874999</v>
      </c>
      <c r="Q25" s="110"/>
      <c r="R25" s="104">
        <f>G25*11.74%</f>
        <v>212.40008</v>
      </c>
      <c r="S25" s="105">
        <v>0</v>
      </c>
      <c r="T25" s="104">
        <f t="shared" si="15"/>
        <v>1596.7999199999999</v>
      </c>
      <c r="U25" s="110"/>
      <c r="V25" s="69"/>
      <c r="W25" s="69"/>
      <c r="X25" s="69"/>
      <c r="Y25" s="69"/>
      <c r="Z25" s="69"/>
      <c r="AA25" s="69"/>
    </row>
    <row r="26" spans="2:27" ht="20.100000000000001" customHeight="1">
      <c r="B26" s="93">
        <f>B25+1</f>
        <v>3</v>
      </c>
      <c r="C26" s="94" t="s">
        <v>40</v>
      </c>
      <c r="D26" s="112" t="s">
        <v>41</v>
      </c>
      <c r="E26" s="108">
        <v>1562.4</v>
      </c>
      <c r="F26" s="97"/>
      <c r="G26" s="109">
        <f t="shared" si="16"/>
        <v>1562.4</v>
      </c>
      <c r="H26" s="99">
        <f t="shared" si="17"/>
        <v>141.94404000000003</v>
      </c>
      <c r="I26" s="99">
        <f>G26*$I$4</f>
        <v>75.932640000000006</v>
      </c>
      <c r="J26" s="99">
        <f>G26*$J$4</f>
        <v>65.099997396000006</v>
      </c>
      <c r="K26" s="100">
        <f t="shared" si="11"/>
        <v>140.61600000000001</v>
      </c>
      <c r="L26" s="99">
        <v>0</v>
      </c>
      <c r="M26" s="113">
        <f>G26+H26+I26+J26+K26+L26</f>
        <v>1985.9926773960001</v>
      </c>
      <c r="N26" s="103">
        <f>M26/$N$4</f>
        <v>66.199755913200008</v>
      </c>
      <c r="O26" s="103">
        <f>N26/$O$4</f>
        <v>8.274969489150001</v>
      </c>
      <c r="P26" s="103">
        <f>O26/$P$4</f>
        <v>0.13791615815250002</v>
      </c>
      <c r="Q26" s="110"/>
      <c r="R26" s="104">
        <f>G26*11.92%</f>
        <v>186.23808000000002</v>
      </c>
      <c r="S26" s="105">
        <v>0</v>
      </c>
      <c r="T26" s="104">
        <f t="shared" si="15"/>
        <v>1376.16192</v>
      </c>
      <c r="U26" s="110"/>
      <c r="V26" s="69"/>
      <c r="W26" s="69"/>
      <c r="X26" s="69"/>
      <c r="Y26" s="69"/>
      <c r="Z26" s="69"/>
      <c r="AA26" s="69"/>
    </row>
    <row r="27" spans="2:27" s="63" customFormat="1" ht="20.100000000000001" customHeight="1">
      <c r="B27" s="93">
        <v>4</v>
      </c>
      <c r="C27" s="94" t="s">
        <v>42</v>
      </c>
      <c r="D27" s="112" t="s">
        <v>43</v>
      </c>
      <c r="E27" s="96">
        <v>1463.2</v>
      </c>
      <c r="F27" s="96"/>
      <c r="G27" s="109">
        <f>E27+F27</f>
        <v>1463.2</v>
      </c>
      <c r="H27" s="99">
        <f t="shared" si="17"/>
        <v>132.93172000000001</v>
      </c>
      <c r="I27" s="99">
        <f t="shared" ref="I27:I33" si="18">G27*$I$4</f>
        <v>71.111520000000013</v>
      </c>
      <c r="J27" s="99">
        <f t="shared" ref="J27:J33" si="19">G27*$J$4</f>
        <v>60.966664227999999</v>
      </c>
      <c r="K27" s="100">
        <f t="shared" si="11"/>
        <v>131.68799999999999</v>
      </c>
      <c r="L27" s="99">
        <v>0</v>
      </c>
      <c r="M27" s="102">
        <f t="shared" ref="M27:M33" si="20">G27+H27+I27+J27+K27+L27</f>
        <v>1859.8979042279998</v>
      </c>
      <c r="N27" s="114">
        <f t="shared" si="12"/>
        <v>61.996596807599992</v>
      </c>
      <c r="O27" s="104">
        <f t="shared" si="13"/>
        <v>7.7495746009499991</v>
      </c>
      <c r="P27" s="104">
        <f t="shared" si="14"/>
        <v>0.12915957668249997</v>
      </c>
      <c r="Q27" s="110"/>
      <c r="R27" s="104">
        <f>G27*13%</f>
        <v>190.21600000000001</v>
      </c>
      <c r="S27" s="105">
        <v>0</v>
      </c>
      <c r="T27" s="104">
        <f t="shared" si="15"/>
        <v>1272.9839999999999</v>
      </c>
      <c r="U27" s="110"/>
    </row>
    <row r="28" spans="2:27" s="63" customFormat="1" ht="20.100000000000001" customHeight="1">
      <c r="B28" s="93">
        <v>5</v>
      </c>
      <c r="C28" s="94" t="s">
        <v>44</v>
      </c>
      <c r="D28" s="112" t="s">
        <v>45</v>
      </c>
      <c r="E28" s="96">
        <v>1459.7</v>
      </c>
      <c r="F28" s="96">
        <v>0</v>
      </c>
      <c r="G28" s="109">
        <f t="shared" si="16"/>
        <v>1459.7</v>
      </c>
      <c r="H28" s="99">
        <f t="shared" si="17"/>
        <v>132.61374500000002</v>
      </c>
      <c r="I28" s="99">
        <f t="shared" si="18"/>
        <v>70.941420000000008</v>
      </c>
      <c r="J28" s="99">
        <f t="shared" si="19"/>
        <v>60.820830900499999</v>
      </c>
      <c r="K28" s="100">
        <f t="shared" si="11"/>
        <v>131.37299999999999</v>
      </c>
      <c r="L28" s="99">
        <v>0</v>
      </c>
      <c r="M28" s="102">
        <f>G28+H28+I28+J28+K28+L28</f>
        <v>1855.4489959005002</v>
      </c>
      <c r="N28" s="114">
        <f t="shared" si="12"/>
        <v>61.848299863350007</v>
      </c>
      <c r="O28" s="104">
        <f t="shared" si="13"/>
        <v>7.7310374829187509</v>
      </c>
      <c r="P28" s="104">
        <f t="shared" si="14"/>
        <v>0.12885062471531253</v>
      </c>
      <c r="Q28" s="110"/>
      <c r="R28" s="104">
        <f>G28*11.97%</f>
        <v>174.72609</v>
      </c>
      <c r="S28" s="105">
        <v>0</v>
      </c>
      <c r="T28" s="104">
        <f t="shared" si="15"/>
        <v>1284.9739100000002</v>
      </c>
      <c r="U28" s="110"/>
    </row>
    <row r="29" spans="2:27" ht="20.100000000000001" customHeight="1">
      <c r="B29" s="93">
        <v>6</v>
      </c>
      <c r="C29" s="94" t="s">
        <v>24</v>
      </c>
      <c r="D29" s="107" t="s">
        <v>46</v>
      </c>
      <c r="E29" s="108">
        <v>1686.22</v>
      </c>
      <c r="F29" s="97"/>
      <c r="G29" s="109">
        <f t="shared" si="16"/>
        <v>1686.22</v>
      </c>
      <c r="H29" s="99">
        <f t="shared" si="17"/>
        <v>153.19308700000002</v>
      </c>
      <c r="I29" s="99">
        <f t="shared" si="18"/>
        <v>81.950292000000005</v>
      </c>
      <c r="J29" s="99">
        <f t="shared" si="19"/>
        <v>70.259163856299992</v>
      </c>
      <c r="K29" s="100">
        <f t="shared" si="11"/>
        <v>151.75979999999998</v>
      </c>
      <c r="L29" s="99">
        <v>0</v>
      </c>
      <c r="M29" s="102">
        <f t="shared" si="20"/>
        <v>2143.3823428563001</v>
      </c>
      <c r="N29" s="103">
        <f t="shared" si="12"/>
        <v>71.446078095209998</v>
      </c>
      <c r="O29" s="99">
        <f t="shared" si="13"/>
        <v>8.9307597619012498</v>
      </c>
      <c r="P29" s="99">
        <f t="shared" si="14"/>
        <v>0.14884599603168749</v>
      </c>
      <c r="Q29" s="110"/>
      <c r="R29" s="104">
        <f>G29*11.74%</f>
        <v>197.96222800000001</v>
      </c>
      <c r="S29" s="105">
        <v>0</v>
      </c>
      <c r="T29" s="104">
        <f t="shared" si="15"/>
        <v>1488.2577719999999</v>
      </c>
      <c r="U29" s="110"/>
      <c r="V29" s="69"/>
      <c r="W29" s="69"/>
      <c r="X29" s="69"/>
      <c r="Y29" s="69"/>
      <c r="Z29" s="69"/>
      <c r="AA29" s="69"/>
    </row>
    <row r="30" spans="2:27" ht="20.100000000000001" customHeight="1">
      <c r="B30" s="93">
        <v>7</v>
      </c>
      <c r="C30" s="94" t="s">
        <v>30</v>
      </c>
      <c r="D30" s="107" t="s">
        <v>31</v>
      </c>
      <c r="E30" s="108">
        <v>800</v>
      </c>
      <c r="F30" s="97"/>
      <c r="G30" s="109">
        <f t="shared" si="16"/>
        <v>800</v>
      </c>
      <c r="H30" s="99">
        <f t="shared" si="17"/>
        <v>72.680000000000007</v>
      </c>
      <c r="I30" s="99">
        <f t="shared" si="18"/>
        <v>38.880000000000003</v>
      </c>
      <c r="J30" s="99">
        <f t="shared" si="19"/>
        <v>33.333331999999999</v>
      </c>
      <c r="K30" s="100">
        <f t="shared" si="11"/>
        <v>72</v>
      </c>
      <c r="L30" s="99">
        <v>0</v>
      </c>
      <c r="M30" s="102">
        <f t="shared" si="20"/>
        <v>1016.8933320000001</v>
      </c>
      <c r="N30" s="103">
        <f t="shared" si="12"/>
        <v>33.8964444</v>
      </c>
      <c r="O30" s="99">
        <f t="shared" si="13"/>
        <v>4.23705555</v>
      </c>
      <c r="P30" s="99">
        <f t="shared" si="14"/>
        <v>7.0617592500000007E-2</v>
      </c>
      <c r="Q30" s="110"/>
      <c r="R30" s="104">
        <f>G30*11.92%</f>
        <v>95.36</v>
      </c>
      <c r="S30" s="105">
        <v>0</v>
      </c>
      <c r="T30" s="104">
        <f t="shared" si="15"/>
        <v>704.64</v>
      </c>
      <c r="U30" s="110"/>
      <c r="V30" s="69"/>
      <c r="W30" s="69"/>
      <c r="X30" s="69"/>
      <c r="Y30" s="69"/>
      <c r="Z30" s="69"/>
      <c r="AA30" s="69"/>
    </row>
    <row r="31" spans="2:27" ht="20.100000000000001" customHeight="1">
      <c r="B31" s="93">
        <v>8</v>
      </c>
      <c r="C31" s="94" t="s">
        <v>24</v>
      </c>
      <c r="D31" s="112" t="s">
        <v>47</v>
      </c>
      <c r="E31" s="108">
        <v>2104.35</v>
      </c>
      <c r="F31" s="97"/>
      <c r="G31" s="109">
        <f t="shared" si="16"/>
        <v>2104.35</v>
      </c>
      <c r="H31" s="99">
        <f t="shared" si="17"/>
        <v>191.18019750000002</v>
      </c>
      <c r="I31" s="99">
        <f t="shared" si="18"/>
        <v>102.27141</v>
      </c>
      <c r="J31" s="99">
        <f t="shared" si="19"/>
        <v>87.681246492749992</v>
      </c>
      <c r="K31" s="100">
        <f t="shared" si="11"/>
        <v>189.39149999999998</v>
      </c>
      <c r="L31" s="99">
        <v>0</v>
      </c>
      <c r="M31" s="113">
        <f t="shared" si="20"/>
        <v>2674.8743539927495</v>
      </c>
      <c r="N31" s="103">
        <f t="shared" si="12"/>
        <v>89.162478466424986</v>
      </c>
      <c r="O31" s="103">
        <f t="shared" si="13"/>
        <v>11.145309808303123</v>
      </c>
      <c r="P31" s="103">
        <f t="shared" si="14"/>
        <v>0.18575516347171872</v>
      </c>
      <c r="Q31" s="110"/>
      <c r="R31" s="104">
        <f>G31*13.29%</f>
        <v>279.66811499999994</v>
      </c>
      <c r="S31" s="105">
        <v>0</v>
      </c>
      <c r="T31" s="104">
        <f t="shared" si="15"/>
        <v>1824.681885</v>
      </c>
      <c r="U31" s="110"/>
      <c r="V31" s="69"/>
      <c r="W31" s="69"/>
      <c r="X31" s="69"/>
      <c r="Y31" s="69"/>
      <c r="Z31" s="69"/>
      <c r="AA31" s="69"/>
    </row>
    <row r="32" spans="2:27" ht="20.100000000000001" customHeight="1">
      <c r="B32" s="93">
        <v>9</v>
      </c>
      <c r="C32" s="94" t="s">
        <v>28</v>
      </c>
      <c r="D32" s="106" t="s">
        <v>48</v>
      </c>
      <c r="E32" s="96">
        <v>1300</v>
      </c>
      <c r="F32" s="97"/>
      <c r="G32" s="109">
        <f t="shared" si="16"/>
        <v>1300</v>
      </c>
      <c r="H32" s="99">
        <f t="shared" si="17"/>
        <v>118.10500000000002</v>
      </c>
      <c r="I32" s="99">
        <f t="shared" si="18"/>
        <v>63.180000000000007</v>
      </c>
      <c r="J32" s="120">
        <f t="shared" si="19"/>
        <v>54.166664499999996</v>
      </c>
      <c r="K32" s="121">
        <f t="shared" si="11"/>
        <v>117</v>
      </c>
      <c r="L32" s="99">
        <v>0</v>
      </c>
      <c r="M32" s="113">
        <f t="shared" si="20"/>
        <v>1652.4516645000001</v>
      </c>
      <c r="N32" s="122">
        <f t="shared" si="12"/>
        <v>55.081722150000004</v>
      </c>
      <c r="O32" s="122">
        <f t="shared" si="13"/>
        <v>6.8852152687500006</v>
      </c>
      <c r="P32" s="122">
        <f t="shared" si="14"/>
        <v>0.11475358781250002</v>
      </c>
      <c r="Q32" s="110"/>
      <c r="R32" s="104">
        <f>G32*13.29%</f>
        <v>172.76999999999998</v>
      </c>
      <c r="S32" s="105">
        <v>0</v>
      </c>
      <c r="T32" s="104">
        <f t="shared" si="15"/>
        <v>1127.23</v>
      </c>
      <c r="U32" s="110"/>
      <c r="V32" s="69"/>
      <c r="W32" s="69"/>
      <c r="X32" s="69"/>
      <c r="Y32" s="69"/>
      <c r="Z32" s="69"/>
      <c r="AA32" s="69"/>
    </row>
    <row r="33" spans="2:27" ht="20.100000000000001" customHeight="1">
      <c r="B33" s="93">
        <v>10</v>
      </c>
      <c r="C33" s="94" t="s">
        <v>22</v>
      </c>
      <c r="D33" s="106" t="s">
        <v>49</v>
      </c>
      <c r="E33" s="96">
        <v>1762.5</v>
      </c>
      <c r="F33" s="97"/>
      <c r="G33" s="109">
        <f t="shared" si="16"/>
        <v>1762.5</v>
      </c>
      <c r="H33" s="99">
        <f t="shared" si="17"/>
        <v>160.12312500000002</v>
      </c>
      <c r="I33" s="99">
        <f t="shared" si="18"/>
        <v>85.657500000000013</v>
      </c>
      <c r="J33" s="120">
        <f t="shared" si="19"/>
        <v>73.4374970625</v>
      </c>
      <c r="K33" s="121">
        <f t="shared" si="11"/>
        <v>158.625</v>
      </c>
      <c r="L33" s="99">
        <v>0</v>
      </c>
      <c r="M33" s="113">
        <f t="shared" si="20"/>
        <v>2240.3431220625002</v>
      </c>
      <c r="N33" s="122">
        <f t="shared" si="12"/>
        <v>74.678104068750002</v>
      </c>
      <c r="O33" s="122">
        <f t="shared" si="13"/>
        <v>9.3347630085937503</v>
      </c>
      <c r="P33" s="122">
        <f t="shared" si="14"/>
        <v>0.1555793834765625</v>
      </c>
      <c r="Q33" s="110"/>
      <c r="R33" s="104">
        <f>G33*13.29%</f>
        <v>234.23624999999998</v>
      </c>
      <c r="S33" s="105">
        <v>0</v>
      </c>
      <c r="T33" s="104">
        <f t="shared" si="15"/>
        <v>1528.2637500000001</v>
      </c>
      <c r="U33" s="110"/>
      <c r="V33" s="69"/>
      <c r="W33" s="69"/>
      <c r="X33" s="69"/>
      <c r="Y33" s="69"/>
      <c r="Z33" s="69"/>
      <c r="AA33" s="69"/>
    </row>
    <row r="34" spans="2:27" ht="20.100000000000001" customHeight="1" thickBot="1">
      <c r="B34" s="93"/>
      <c r="C34" s="115"/>
      <c r="D34" s="106"/>
      <c r="E34" s="116"/>
      <c r="F34" s="117"/>
      <c r="G34" s="118"/>
      <c r="H34" s="119"/>
      <c r="I34" s="119"/>
      <c r="J34" s="120"/>
      <c r="K34" s="121"/>
      <c r="L34" s="120"/>
      <c r="M34" s="113"/>
      <c r="N34" s="122"/>
      <c r="O34" s="122"/>
      <c r="P34" s="122"/>
      <c r="Q34" s="110"/>
      <c r="R34" s="123"/>
      <c r="S34" s="124"/>
      <c r="T34" s="123"/>
      <c r="U34" s="110"/>
      <c r="V34" s="69"/>
      <c r="W34" s="69"/>
      <c r="X34" s="69"/>
      <c r="Y34" s="69"/>
      <c r="Z34" s="69"/>
      <c r="AA34" s="69"/>
    </row>
    <row r="35" spans="2:27" s="63" customFormat="1" ht="20.100000000000001" customHeight="1" thickBot="1">
      <c r="B35" s="125"/>
      <c r="C35" s="126"/>
      <c r="D35" s="127" t="s">
        <v>35</v>
      </c>
      <c r="E35" s="128">
        <f t="shared" ref="E35:M35" si="21">SUM(E24:E34)</f>
        <v>18053.670000000002</v>
      </c>
      <c r="F35" s="128">
        <f t="shared" si="21"/>
        <v>102.5</v>
      </c>
      <c r="G35" s="128">
        <f t="shared" si="21"/>
        <v>18156.170000000002</v>
      </c>
      <c r="H35" s="128">
        <f t="shared" si="21"/>
        <v>2031.8393545000008</v>
      </c>
      <c r="I35" s="128">
        <f t="shared" si="21"/>
        <v>1086.9278220000001</v>
      </c>
      <c r="J35" s="128">
        <f t="shared" si="21"/>
        <v>931.86537939205016</v>
      </c>
      <c r="K35" s="128">
        <f t="shared" si="21"/>
        <v>1634.0553</v>
      </c>
      <c r="L35" s="128">
        <f t="shared" si="21"/>
        <v>0</v>
      </c>
      <c r="M35" s="129">
        <f t="shared" si="21"/>
        <v>23840.857855892049</v>
      </c>
      <c r="N35" s="128">
        <f>SUM(N24:N33)</f>
        <v>794.69526186306837</v>
      </c>
      <c r="O35" s="128">
        <f>SUM(O24:O33)</f>
        <v>99.336907732883546</v>
      </c>
      <c r="P35" s="128">
        <f>SUM(P24:P33)</f>
        <v>1.6556151288813925</v>
      </c>
      <c r="R35" s="130">
        <f>SUM(R24:R34)</f>
        <v>2247.3462629999999</v>
      </c>
      <c r="S35" s="130">
        <f>SUM(S24:S34)</f>
        <v>204</v>
      </c>
      <c r="T35" s="130">
        <f>SUM(T24:T34)</f>
        <v>15704.823736999999</v>
      </c>
    </row>
    <row r="36" spans="2:27" ht="20.100000000000001" customHeight="1">
      <c r="D36" s="65"/>
      <c r="E36" s="131"/>
      <c r="F36" s="87"/>
      <c r="G36" s="131"/>
      <c r="H36" s="132"/>
      <c r="I36" s="132"/>
      <c r="J36" s="132"/>
      <c r="K36" s="132"/>
      <c r="L36" s="132"/>
      <c r="M36" s="133"/>
      <c r="N36" s="133"/>
      <c r="O36" s="133"/>
      <c r="P36" s="133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</row>
    <row r="37" spans="2:27" ht="20.100000000000001" customHeight="1">
      <c r="E37" s="132">
        <f>+E18+E35</f>
        <v>29797.010000000002</v>
      </c>
    </row>
  </sheetData>
  <mergeCells count="34">
    <mergeCell ref="N6:N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M6:M8"/>
    <mergeCell ref="B21:B23"/>
    <mergeCell ref="C21:C23"/>
    <mergeCell ref="D21:D23"/>
    <mergeCell ref="E21:E23"/>
    <mergeCell ref="F21:F23"/>
    <mergeCell ref="O6:O8"/>
    <mergeCell ref="P6:P8"/>
    <mergeCell ref="R6:R8"/>
    <mergeCell ref="S6:S8"/>
    <mergeCell ref="T6:T8"/>
    <mergeCell ref="T21:T23"/>
    <mergeCell ref="G21:G23"/>
    <mergeCell ref="H21:H23"/>
    <mergeCell ref="I21:I23"/>
    <mergeCell ref="J21:J23"/>
    <mergeCell ref="K21:K23"/>
    <mergeCell ref="M21:M23"/>
    <mergeCell ref="N21:N23"/>
    <mergeCell ref="O21:O23"/>
    <mergeCell ref="P21:P23"/>
    <mergeCell ref="R21:R23"/>
    <mergeCell ref="S21:S23"/>
  </mergeCells>
  <pageMargins left="0.70866141732283472" right="0.70866141732283472" top="0.55118110236220474" bottom="0.23622047244094491" header="0.31496062992125984" footer="0.31496062992125984"/>
  <pageSetup paperSize="8" scale="75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499984740745262"/>
  </sheetPr>
  <dimension ref="C2:E13"/>
  <sheetViews>
    <sheetView workbookViewId="0">
      <selection activeCell="H8" sqref="H8"/>
    </sheetView>
  </sheetViews>
  <sheetFormatPr baseColWidth="10" defaultColWidth="11.42578125" defaultRowHeight="15"/>
  <cols>
    <col min="3" max="3" width="21.5703125" customWidth="1"/>
    <col min="4" max="4" width="2.85546875" customWidth="1"/>
    <col min="5" max="5" width="66.140625" bestFit="1" customWidth="1"/>
    <col min="6" max="6" width="13" customWidth="1"/>
  </cols>
  <sheetData>
    <row r="2" spans="3:5" ht="23.25">
      <c r="D2" s="332" t="s">
        <v>2</v>
      </c>
      <c r="E2" s="331" t="s">
        <v>50</v>
      </c>
    </row>
    <row r="3" spans="3:5" ht="21">
      <c r="C3" s="232"/>
      <c r="D3" s="333">
        <v>1</v>
      </c>
      <c r="E3" s="329" t="s">
        <v>51</v>
      </c>
    </row>
    <row r="4" spans="3:5" ht="21">
      <c r="C4" s="316"/>
      <c r="D4" s="333">
        <v>2</v>
      </c>
      <c r="E4" s="329" t="s">
        <v>52</v>
      </c>
    </row>
    <row r="5" spans="3:5" ht="21">
      <c r="C5" s="6"/>
      <c r="D5" s="333">
        <v>3</v>
      </c>
      <c r="E5" s="329" t="s">
        <v>53</v>
      </c>
    </row>
    <row r="6" spans="3:5" ht="21">
      <c r="C6" s="6"/>
      <c r="D6" s="333">
        <v>4</v>
      </c>
      <c r="E6" s="329" t="s">
        <v>54</v>
      </c>
    </row>
    <row r="7" spans="3:5" ht="21">
      <c r="C7" s="232"/>
      <c r="D7" s="333">
        <v>5</v>
      </c>
      <c r="E7" s="329" t="s">
        <v>55</v>
      </c>
    </row>
    <row r="8" spans="3:5" ht="21">
      <c r="C8" s="6"/>
      <c r="D8" s="333">
        <v>6</v>
      </c>
      <c r="E8" s="329" t="s">
        <v>56</v>
      </c>
    </row>
    <row r="9" spans="3:5" ht="21">
      <c r="C9" s="6"/>
      <c r="D9" s="333">
        <v>7</v>
      </c>
      <c r="E9" s="329" t="s">
        <v>57</v>
      </c>
    </row>
    <row r="10" spans="3:5" ht="21">
      <c r="C10" s="6"/>
      <c r="D10" s="333">
        <v>8</v>
      </c>
      <c r="E10" s="329" t="s">
        <v>54</v>
      </c>
    </row>
    <row r="11" spans="3:5" ht="21">
      <c r="C11" s="6"/>
      <c r="D11" s="333">
        <v>9</v>
      </c>
      <c r="E11" s="329" t="s">
        <v>58</v>
      </c>
    </row>
    <row r="12" spans="3:5" ht="21">
      <c r="C12" s="284"/>
      <c r="D12" s="333">
        <v>10</v>
      </c>
      <c r="E12" s="330" t="s">
        <v>59</v>
      </c>
    </row>
    <row r="13" spans="3:5" ht="21">
      <c r="C13" s="6"/>
      <c r="D13" s="333">
        <v>11</v>
      </c>
      <c r="E13" s="329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8263-548C-4F42-AA91-AFE7AF1A0756}">
  <sheetPr codeName="Hoja1"/>
  <dimension ref="A2:H240"/>
  <sheetViews>
    <sheetView topLeftCell="A227" workbookViewId="0">
      <selection activeCell="F237" sqref="F237"/>
    </sheetView>
  </sheetViews>
  <sheetFormatPr baseColWidth="10" defaultColWidth="11.42578125" defaultRowHeight="15"/>
  <cols>
    <col min="1" max="1" width="12.5703125" customWidth="1"/>
  </cols>
  <sheetData>
    <row r="2" spans="1:6" ht="15.75" thickBot="1"/>
    <row r="3" spans="1:6">
      <c r="A3" s="1491" t="s">
        <v>61</v>
      </c>
      <c r="B3" s="1492"/>
      <c r="C3" s="1492"/>
      <c r="D3" s="1492"/>
      <c r="E3" s="1492"/>
      <c r="F3" s="1493"/>
    </row>
    <row r="4" spans="1:6" ht="26.25" customHeight="1">
      <c r="A4" s="1494" t="s">
        <v>62</v>
      </c>
      <c r="B4" s="617" t="s">
        <v>63</v>
      </c>
      <c r="C4" s="617" t="s">
        <v>63</v>
      </c>
      <c r="D4" s="617" t="s">
        <v>64</v>
      </c>
      <c r="E4" s="1494" t="s">
        <v>65</v>
      </c>
      <c r="F4" s="1494" t="s">
        <v>66</v>
      </c>
    </row>
    <row r="5" spans="1:6" ht="18.75" thickBot="1">
      <c r="A5" s="1495"/>
      <c r="B5" s="618" t="s">
        <v>67</v>
      </c>
      <c r="C5" s="618" t="s">
        <v>68</v>
      </c>
      <c r="D5" s="618" t="s">
        <v>69</v>
      </c>
      <c r="E5" s="1495"/>
      <c r="F5" s="1495"/>
    </row>
    <row r="6" spans="1:6">
      <c r="A6" s="623" t="s">
        <v>70</v>
      </c>
      <c r="B6" s="619"/>
      <c r="C6" s="620">
        <v>1.47</v>
      </c>
      <c r="D6" s="620">
        <v>1.37</v>
      </c>
      <c r="E6" s="620">
        <v>10</v>
      </c>
      <c r="F6" s="624">
        <v>12027.91</v>
      </c>
    </row>
    <row r="7" spans="1:6">
      <c r="A7" s="625" t="s">
        <v>71</v>
      </c>
      <c r="B7" s="621"/>
      <c r="C7" s="622">
        <v>1.55</v>
      </c>
      <c r="D7" s="622">
        <v>1.37</v>
      </c>
      <c r="E7" s="622">
        <v>10</v>
      </c>
      <c r="F7" s="626">
        <v>12027.91</v>
      </c>
    </row>
    <row r="8" spans="1:6">
      <c r="A8" s="623" t="s">
        <v>72</v>
      </c>
      <c r="B8" s="619"/>
      <c r="C8" s="620">
        <v>1.6</v>
      </c>
      <c r="D8" s="620">
        <v>1.37</v>
      </c>
      <c r="E8" s="620">
        <v>10</v>
      </c>
      <c r="F8" s="624">
        <v>12027.91</v>
      </c>
    </row>
    <row r="9" spans="1:6" ht="15.75" thickBot="1">
      <c r="A9" s="627" t="s">
        <v>73</v>
      </c>
      <c r="B9" s="628"/>
      <c r="C9" s="629">
        <v>1.69</v>
      </c>
      <c r="D9" s="629">
        <v>1.37</v>
      </c>
      <c r="E9" s="629">
        <v>10</v>
      </c>
      <c r="F9" s="630">
        <v>12027.91</v>
      </c>
    </row>
    <row r="10" spans="1:6">
      <c r="A10" s="1496"/>
      <c r="B10" s="1496"/>
      <c r="C10" s="1496"/>
      <c r="D10" s="1496"/>
      <c r="E10" s="1496"/>
      <c r="F10" s="1496"/>
    </row>
    <row r="11" spans="1:6" ht="27" customHeight="1">
      <c r="A11" s="1497" t="s">
        <v>74</v>
      </c>
      <c r="B11" s="1497"/>
      <c r="C11" s="1497"/>
      <c r="D11" s="1497"/>
      <c r="E11" s="1497"/>
      <c r="F11" s="1497"/>
    </row>
    <row r="12" spans="1:6" ht="27" customHeight="1">
      <c r="A12" s="1497" t="s">
        <v>75</v>
      </c>
      <c r="B12" s="1497"/>
      <c r="C12" s="1497"/>
      <c r="D12" s="1497"/>
      <c r="E12" s="1497"/>
      <c r="F12" s="1497"/>
    </row>
    <row r="13" spans="1:6">
      <c r="A13" s="1497" t="s">
        <v>76</v>
      </c>
      <c r="B13" s="1497"/>
      <c r="C13" s="1497"/>
      <c r="D13" s="1497"/>
      <c r="E13" s="1497"/>
      <c r="F13" s="1497"/>
    </row>
    <row r="14" spans="1:6" ht="40.5" customHeight="1">
      <c r="A14" s="1497" t="s">
        <v>77</v>
      </c>
      <c r="B14" s="1497"/>
      <c r="C14" s="1497"/>
      <c r="D14" s="1497"/>
      <c r="E14" s="1497"/>
      <c r="F14" s="1497"/>
    </row>
    <row r="15" spans="1:6" ht="15.75" thickBot="1"/>
    <row r="16" spans="1:6">
      <c r="A16" s="1491" t="s">
        <v>78</v>
      </c>
      <c r="B16" s="1492"/>
      <c r="C16" s="1492"/>
      <c r="D16" s="1492"/>
      <c r="E16" s="1492"/>
      <c r="F16" s="1493"/>
    </row>
    <row r="17" spans="1:6" ht="26.25" customHeight="1">
      <c r="A17" s="1494" t="s">
        <v>62</v>
      </c>
      <c r="B17" s="617" t="s">
        <v>63</v>
      </c>
      <c r="C17" s="617" t="s">
        <v>63</v>
      </c>
      <c r="D17" s="617" t="s">
        <v>64</v>
      </c>
      <c r="E17" s="1494" t="s">
        <v>65</v>
      </c>
      <c r="F17" s="1494" t="s">
        <v>66</v>
      </c>
    </row>
    <row r="18" spans="1:6" ht="18.75" thickBot="1">
      <c r="A18" s="1495"/>
      <c r="B18" s="618" t="s">
        <v>67</v>
      </c>
      <c r="C18" s="618" t="s">
        <v>68</v>
      </c>
      <c r="D18" s="618" t="s">
        <v>69</v>
      </c>
      <c r="E18" s="1495"/>
      <c r="F18" s="1495"/>
    </row>
    <row r="19" spans="1:6">
      <c r="A19" s="623" t="s">
        <v>70</v>
      </c>
      <c r="B19" s="619"/>
      <c r="C19" s="620">
        <v>1.47</v>
      </c>
      <c r="D19" s="620">
        <v>1.37</v>
      </c>
      <c r="E19" s="620">
        <v>10</v>
      </c>
      <c r="F19" s="624">
        <v>12027.91</v>
      </c>
    </row>
    <row r="20" spans="1:6">
      <c r="A20" s="625" t="s">
        <v>71</v>
      </c>
      <c r="B20" s="621"/>
      <c r="C20" s="622">
        <v>1.55</v>
      </c>
      <c r="D20" s="622">
        <v>1.37</v>
      </c>
      <c r="E20" s="622">
        <v>10</v>
      </c>
      <c r="F20" s="626">
        <v>12027.91</v>
      </c>
    </row>
    <row r="21" spans="1:6">
      <c r="A21" s="623" t="s">
        <v>72</v>
      </c>
      <c r="B21" s="619"/>
      <c r="C21" s="620">
        <v>1.6</v>
      </c>
      <c r="D21" s="620">
        <v>1.37</v>
      </c>
      <c r="E21" s="620">
        <v>10</v>
      </c>
      <c r="F21" s="624">
        <v>12027.91</v>
      </c>
    </row>
    <row r="22" spans="1:6" ht="15.75" thickBot="1">
      <c r="A22" s="627" t="s">
        <v>73</v>
      </c>
      <c r="B22" s="628"/>
      <c r="C22" s="629">
        <v>1.69</v>
      </c>
      <c r="D22" s="629">
        <v>1.37</v>
      </c>
      <c r="E22" s="629">
        <v>10</v>
      </c>
      <c r="F22" s="630">
        <v>12027.91</v>
      </c>
    </row>
    <row r="23" spans="1:6">
      <c r="A23" s="1496"/>
      <c r="B23" s="1496"/>
      <c r="C23" s="1496"/>
      <c r="D23" s="1496"/>
      <c r="E23" s="1496"/>
      <c r="F23" s="1496"/>
    </row>
    <row r="24" spans="1:6" ht="27" customHeight="1">
      <c r="A24" s="1497" t="s">
        <v>74</v>
      </c>
      <c r="B24" s="1497"/>
      <c r="C24" s="1497"/>
      <c r="D24" s="1497"/>
      <c r="E24" s="1497"/>
      <c r="F24" s="1497"/>
    </row>
    <row r="25" spans="1:6" ht="27" customHeight="1">
      <c r="A25" s="1497" t="s">
        <v>75</v>
      </c>
      <c r="B25" s="1497"/>
      <c r="C25" s="1497"/>
      <c r="D25" s="1497"/>
      <c r="E25" s="1497"/>
      <c r="F25" s="1497"/>
    </row>
    <row r="26" spans="1:6">
      <c r="A26" s="1497" t="s">
        <v>76</v>
      </c>
      <c r="B26" s="1497"/>
      <c r="C26" s="1497"/>
      <c r="D26" s="1497"/>
      <c r="E26" s="1497"/>
      <c r="F26" s="1497"/>
    </row>
    <row r="27" spans="1:6" ht="40.5" customHeight="1">
      <c r="A27" s="1497" t="s">
        <v>77</v>
      </c>
      <c r="B27" s="1497"/>
      <c r="C27" s="1497"/>
      <c r="D27" s="1497"/>
      <c r="E27" s="1497"/>
      <c r="F27" s="1497"/>
    </row>
    <row r="28" spans="1:6" ht="15.75" thickBot="1"/>
    <row r="29" spans="1:6">
      <c r="A29" s="1491" t="s">
        <v>79</v>
      </c>
      <c r="B29" s="1492"/>
      <c r="C29" s="1492"/>
      <c r="D29" s="1492"/>
      <c r="E29" s="1492"/>
      <c r="F29" s="1493"/>
    </row>
    <row r="30" spans="1:6" ht="26.25" customHeight="1">
      <c r="A30" s="1494" t="s">
        <v>62</v>
      </c>
      <c r="B30" s="617" t="s">
        <v>63</v>
      </c>
      <c r="C30" s="617" t="s">
        <v>63</v>
      </c>
      <c r="D30" s="617" t="s">
        <v>64</v>
      </c>
      <c r="E30" s="1494" t="s">
        <v>65</v>
      </c>
      <c r="F30" s="1494" t="s">
        <v>66</v>
      </c>
    </row>
    <row r="31" spans="1:6" ht="18.75" thickBot="1">
      <c r="A31" s="1495"/>
      <c r="B31" s="618" t="s">
        <v>67</v>
      </c>
      <c r="C31" s="618" t="s">
        <v>68</v>
      </c>
      <c r="D31" s="618" t="s">
        <v>69</v>
      </c>
      <c r="E31" s="1495"/>
      <c r="F31" s="1495"/>
    </row>
    <row r="32" spans="1:6">
      <c r="A32" s="623" t="s">
        <v>70</v>
      </c>
      <c r="B32" s="619"/>
      <c r="C32" s="620">
        <v>1.47</v>
      </c>
      <c r="D32" s="620">
        <v>1.37</v>
      </c>
      <c r="E32" s="620">
        <v>10</v>
      </c>
      <c r="F32" s="624">
        <v>12137.47</v>
      </c>
    </row>
    <row r="33" spans="1:6">
      <c r="A33" s="625" t="s">
        <v>71</v>
      </c>
      <c r="B33" s="621"/>
      <c r="C33" s="622">
        <v>1.55</v>
      </c>
      <c r="D33" s="622">
        <v>1.37</v>
      </c>
      <c r="E33" s="622">
        <v>10</v>
      </c>
      <c r="F33" s="626">
        <v>12137.47</v>
      </c>
    </row>
    <row r="34" spans="1:6">
      <c r="A34" s="623" t="s">
        <v>72</v>
      </c>
      <c r="B34" s="619"/>
      <c r="C34" s="620">
        <v>1.6</v>
      </c>
      <c r="D34" s="620">
        <v>1.37</v>
      </c>
      <c r="E34" s="620">
        <v>10</v>
      </c>
      <c r="F34" s="624">
        <v>12137.47</v>
      </c>
    </row>
    <row r="35" spans="1:6" ht="15.75" thickBot="1">
      <c r="A35" s="627" t="s">
        <v>73</v>
      </c>
      <c r="B35" s="628"/>
      <c r="C35" s="629">
        <v>1.69</v>
      </c>
      <c r="D35" s="629">
        <v>1.37</v>
      </c>
      <c r="E35" s="629">
        <v>10</v>
      </c>
      <c r="F35" s="630">
        <v>12137.47</v>
      </c>
    </row>
    <row r="36" spans="1:6" ht="27" customHeight="1">
      <c r="A36" s="1497" t="s">
        <v>74</v>
      </c>
      <c r="B36" s="1497"/>
      <c r="C36" s="1497"/>
      <c r="D36" s="1497"/>
      <c r="E36" s="1497"/>
      <c r="F36" s="1497"/>
    </row>
    <row r="37" spans="1:6" s="836" customFormat="1" ht="27" customHeight="1">
      <c r="A37" s="1497" t="s">
        <v>75</v>
      </c>
      <c r="B37" s="1497"/>
      <c r="C37" s="1497"/>
      <c r="D37" s="1497"/>
      <c r="E37" s="1497"/>
      <c r="F37" s="1497"/>
    </row>
    <row r="38" spans="1:6" ht="27" customHeight="1">
      <c r="A38" s="1497" t="s">
        <v>76</v>
      </c>
      <c r="B38" s="1497"/>
      <c r="C38" s="1497"/>
      <c r="D38" s="1497"/>
      <c r="E38" s="1497"/>
      <c r="F38" s="1497"/>
    </row>
    <row r="39" spans="1:6" ht="27" customHeight="1">
      <c r="A39" s="1497" t="s">
        <v>77</v>
      </c>
      <c r="B39" s="1497"/>
      <c r="C39" s="1497"/>
      <c r="D39" s="1497"/>
      <c r="E39" s="1497"/>
      <c r="F39" s="1497"/>
    </row>
    <row r="40" spans="1:6" ht="27" customHeight="1" thickBot="1">
      <c r="A40" s="831"/>
    </row>
    <row r="41" spans="1:6">
      <c r="A41" s="1491" t="s">
        <v>80</v>
      </c>
      <c r="B41" s="1492"/>
      <c r="C41" s="1492"/>
      <c r="D41" s="1492"/>
      <c r="E41" s="1492"/>
      <c r="F41" s="1493"/>
    </row>
    <row r="42" spans="1:6" ht="26.25" customHeight="1">
      <c r="A42" s="1494" t="s">
        <v>62</v>
      </c>
      <c r="B42" s="617" t="s">
        <v>63</v>
      </c>
      <c r="C42" s="617" t="s">
        <v>63</v>
      </c>
      <c r="D42" s="617" t="s">
        <v>64</v>
      </c>
      <c r="E42" s="1494" t="s">
        <v>65</v>
      </c>
      <c r="F42" s="1494" t="s">
        <v>66</v>
      </c>
    </row>
    <row r="43" spans="1:6" ht="18.75" thickBot="1">
      <c r="A43" s="1495"/>
      <c r="B43" s="618" t="s">
        <v>67</v>
      </c>
      <c r="C43" s="618" t="s">
        <v>68</v>
      </c>
      <c r="D43" s="618" t="s">
        <v>69</v>
      </c>
      <c r="E43" s="1495"/>
      <c r="F43" s="1495"/>
    </row>
    <row r="44" spans="1:6">
      <c r="A44" s="623" t="s">
        <v>70</v>
      </c>
      <c r="B44" s="619"/>
      <c r="C44" s="620">
        <v>1.47</v>
      </c>
      <c r="D44" s="620">
        <v>1.37</v>
      </c>
      <c r="E44" s="620">
        <v>10</v>
      </c>
      <c r="F44" s="624">
        <v>12137.47</v>
      </c>
    </row>
    <row r="45" spans="1:6">
      <c r="A45" s="625" t="s">
        <v>71</v>
      </c>
      <c r="B45" s="621"/>
      <c r="C45" s="622">
        <v>1.55</v>
      </c>
      <c r="D45" s="622">
        <v>1.37</v>
      </c>
      <c r="E45" s="622">
        <v>10</v>
      </c>
      <c r="F45" s="626">
        <v>12137.47</v>
      </c>
    </row>
    <row r="46" spans="1:6">
      <c r="A46" s="623" t="s">
        <v>72</v>
      </c>
      <c r="B46" s="619"/>
      <c r="C46" s="620">
        <v>1.6</v>
      </c>
      <c r="D46" s="620">
        <v>1.37</v>
      </c>
      <c r="E46" s="620">
        <v>10</v>
      </c>
      <c r="F46" s="624">
        <v>12137.47</v>
      </c>
    </row>
    <row r="47" spans="1:6" ht="15.75" thickBot="1">
      <c r="A47" s="627" t="s">
        <v>73</v>
      </c>
      <c r="B47" s="628"/>
      <c r="C47" s="629">
        <v>1.69</v>
      </c>
      <c r="D47" s="629">
        <v>1.37</v>
      </c>
      <c r="E47" s="629">
        <v>10</v>
      </c>
      <c r="F47" s="630">
        <v>12137.47</v>
      </c>
    </row>
    <row r="48" spans="1:6">
      <c r="A48" s="1496"/>
      <c r="B48" s="1496"/>
      <c r="C48" s="1496"/>
      <c r="D48" s="1496"/>
      <c r="E48" s="1496"/>
      <c r="F48" s="1496"/>
    </row>
    <row r="49" spans="1:6" ht="27" customHeight="1">
      <c r="A49" s="1497" t="s">
        <v>74</v>
      </c>
      <c r="B49" s="1497"/>
      <c r="C49" s="1497"/>
      <c r="D49" s="1497"/>
      <c r="E49" s="1497"/>
      <c r="F49" s="1497"/>
    </row>
    <row r="50" spans="1:6" ht="27" customHeight="1">
      <c r="A50" s="1497" t="s">
        <v>75</v>
      </c>
      <c r="B50" s="1497"/>
      <c r="C50" s="1497"/>
      <c r="D50" s="1497"/>
      <c r="E50" s="1497"/>
      <c r="F50" s="1497"/>
    </row>
    <row r="51" spans="1:6">
      <c r="A51" s="1497" t="s">
        <v>76</v>
      </c>
      <c r="B51" s="1497"/>
      <c r="C51" s="1497"/>
      <c r="D51" s="1497"/>
      <c r="E51" s="1497"/>
      <c r="F51" s="1497"/>
    </row>
    <row r="52" spans="1:6" ht="40.5" customHeight="1">
      <c r="A52" s="1497" t="s">
        <v>77</v>
      </c>
      <c r="B52" s="1497"/>
      <c r="C52" s="1497"/>
      <c r="D52" s="1497"/>
      <c r="E52" s="1497"/>
      <c r="F52" s="1497"/>
    </row>
    <row r="53" spans="1:6" ht="15.75" thickBot="1"/>
    <row r="54" spans="1:6">
      <c r="A54" s="1491" t="s">
        <v>81</v>
      </c>
      <c r="B54" s="1492"/>
      <c r="C54" s="1492"/>
      <c r="D54" s="1492"/>
      <c r="E54" s="1492"/>
      <c r="F54" s="1493"/>
    </row>
    <row r="55" spans="1:6" ht="26.25" customHeight="1">
      <c r="A55" s="1494" t="s">
        <v>62</v>
      </c>
      <c r="B55" s="617" t="s">
        <v>63</v>
      </c>
      <c r="C55" s="617" t="s">
        <v>63</v>
      </c>
      <c r="D55" s="617" t="s">
        <v>64</v>
      </c>
      <c r="E55" s="1494" t="s">
        <v>65</v>
      </c>
      <c r="F55" s="1494" t="s">
        <v>66</v>
      </c>
    </row>
    <row r="56" spans="1:6" ht="18.75" thickBot="1">
      <c r="A56" s="1495"/>
      <c r="B56" s="618" t="s">
        <v>67</v>
      </c>
      <c r="C56" s="618" t="s">
        <v>68</v>
      </c>
      <c r="D56" s="618" t="s">
        <v>69</v>
      </c>
      <c r="E56" s="1495"/>
      <c r="F56" s="1495"/>
    </row>
    <row r="57" spans="1:6">
      <c r="A57" s="623" t="s">
        <v>70</v>
      </c>
      <c r="B57" s="619"/>
      <c r="C57" s="620">
        <v>1.47</v>
      </c>
      <c r="D57" s="620">
        <v>1.37</v>
      </c>
      <c r="E57" s="620">
        <v>10</v>
      </c>
      <c r="F57" s="624">
        <v>12137.47</v>
      </c>
    </row>
    <row r="58" spans="1:6">
      <c r="A58" s="625" t="s">
        <v>71</v>
      </c>
      <c r="B58" s="621"/>
      <c r="C58" s="622">
        <v>1.55</v>
      </c>
      <c r="D58" s="622">
        <v>1.37</v>
      </c>
      <c r="E58" s="622">
        <v>10</v>
      </c>
      <c r="F58" s="626">
        <v>12137.47</v>
      </c>
    </row>
    <row r="59" spans="1:6">
      <c r="A59" s="623" t="s">
        <v>72</v>
      </c>
      <c r="B59" s="619"/>
      <c r="C59" s="620">
        <v>1.6</v>
      </c>
      <c r="D59" s="620">
        <v>1.37</v>
      </c>
      <c r="E59" s="620">
        <v>10</v>
      </c>
      <c r="F59" s="624">
        <v>12137.47</v>
      </c>
    </row>
    <row r="60" spans="1:6" ht="15.75" thickBot="1">
      <c r="A60" s="627" t="s">
        <v>73</v>
      </c>
      <c r="B60" s="628"/>
      <c r="C60" s="629">
        <v>1.69</v>
      </c>
      <c r="D60" s="629">
        <v>1.37</v>
      </c>
      <c r="E60" s="629">
        <v>10</v>
      </c>
      <c r="F60" s="630">
        <v>12137.47</v>
      </c>
    </row>
    <row r="62" spans="1:6">
      <c r="A62" s="922" t="s">
        <v>74</v>
      </c>
    </row>
    <row r="63" spans="1:6">
      <c r="A63" s="922" t="s">
        <v>75</v>
      </c>
    </row>
    <row r="64" spans="1:6">
      <c r="A64" s="922" t="s">
        <v>76</v>
      </c>
    </row>
    <row r="65" spans="1:6">
      <c r="A65" s="922" t="s">
        <v>77</v>
      </c>
    </row>
    <row r="66" spans="1:6" ht="15.75" thickBot="1"/>
    <row r="67" spans="1:6">
      <c r="A67" s="1491" t="s">
        <v>82</v>
      </c>
      <c r="B67" s="1492"/>
      <c r="C67" s="1492"/>
      <c r="D67" s="1492"/>
      <c r="E67" s="1492"/>
      <c r="F67" s="1493"/>
    </row>
    <row r="68" spans="1:6" ht="26.25" customHeight="1">
      <c r="A68" s="1494" t="s">
        <v>62</v>
      </c>
      <c r="B68" s="617" t="s">
        <v>63</v>
      </c>
      <c r="C68" s="617" t="s">
        <v>63</v>
      </c>
      <c r="D68" s="617" t="s">
        <v>64</v>
      </c>
      <c r="E68" s="1494" t="s">
        <v>65</v>
      </c>
      <c r="F68" s="1494" t="s">
        <v>66</v>
      </c>
    </row>
    <row r="69" spans="1:6" ht="18.75" thickBot="1">
      <c r="A69" s="1495"/>
      <c r="B69" s="618" t="s">
        <v>67</v>
      </c>
      <c r="C69" s="618" t="s">
        <v>68</v>
      </c>
      <c r="D69" s="618" t="s">
        <v>69</v>
      </c>
      <c r="E69" s="1495"/>
      <c r="F69" s="1495"/>
    </row>
    <row r="70" spans="1:6">
      <c r="A70" s="623" t="s">
        <v>70</v>
      </c>
      <c r="B70" s="619"/>
      <c r="C70" s="620">
        <v>1.47</v>
      </c>
      <c r="D70" s="620">
        <v>1.37</v>
      </c>
      <c r="E70" s="620">
        <v>10</v>
      </c>
      <c r="F70" s="624">
        <v>12184.88</v>
      </c>
    </row>
    <row r="71" spans="1:6">
      <c r="A71" s="625" t="s">
        <v>71</v>
      </c>
      <c r="B71" s="621"/>
      <c r="C71" s="622">
        <v>1.55</v>
      </c>
      <c r="D71" s="622">
        <v>1.37</v>
      </c>
      <c r="E71" s="622">
        <v>10</v>
      </c>
      <c r="F71" s="626">
        <v>12184.88</v>
      </c>
    </row>
    <row r="72" spans="1:6">
      <c r="A72" s="623" t="s">
        <v>72</v>
      </c>
      <c r="B72" s="619"/>
      <c r="C72" s="620">
        <v>1.6</v>
      </c>
      <c r="D72" s="620">
        <v>1.37</v>
      </c>
      <c r="E72" s="620">
        <v>10</v>
      </c>
      <c r="F72" s="624">
        <v>12184.88</v>
      </c>
    </row>
    <row r="73" spans="1:6" ht="15.75" thickBot="1">
      <c r="A73" s="627" t="s">
        <v>73</v>
      </c>
      <c r="B73" s="628"/>
      <c r="C73" s="629">
        <v>1.69</v>
      </c>
      <c r="D73" s="629">
        <v>1.37</v>
      </c>
      <c r="E73" s="629">
        <v>10</v>
      </c>
      <c r="F73" s="630">
        <v>12184.88</v>
      </c>
    </row>
    <row r="74" spans="1:6" ht="15" customHeight="1">
      <c r="A74" s="1496"/>
      <c r="B74" s="1496"/>
      <c r="C74" s="1496"/>
      <c r="D74" s="1496"/>
      <c r="E74" s="1496"/>
      <c r="F74" s="1496"/>
    </row>
    <row r="75" spans="1:6" ht="15" customHeight="1">
      <c r="A75" s="922" t="s">
        <v>74</v>
      </c>
      <c r="B75" s="922"/>
      <c r="C75" s="922"/>
      <c r="D75" s="922"/>
      <c r="E75" s="922"/>
      <c r="F75" s="922"/>
    </row>
    <row r="76" spans="1:6" ht="15" customHeight="1">
      <c r="A76" s="922" t="s">
        <v>75</v>
      </c>
      <c r="B76" s="922"/>
      <c r="C76" s="922"/>
      <c r="D76" s="922"/>
      <c r="E76" s="922"/>
      <c r="F76" s="922"/>
    </row>
    <row r="77" spans="1:6" ht="15" customHeight="1">
      <c r="A77" s="922" t="s">
        <v>76</v>
      </c>
      <c r="B77" s="922"/>
      <c r="C77" s="922"/>
      <c r="D77" s="922"/>
      <c r="E77" s="922"/>
      <c r="F77" s="922"/>
    </row>
    <row r="78" spans="1:6" ht="15" customHeight="1">
      <c r="A78" s="922" t="s">
        <v>77</v>
      </c>
      <c r="B78" s="922"/>
      <c r="C78" s="922"/>
      <c r="D78" s="922"/>
      <c r="E78" s="922"/>
      <c r="F78" s="922"/>
    </row>
    <row r="79" spans="1:6" ht="15.75" thickBot="1"/>
    <row r="80" spans="1:6">
      <c r="A80" s="1491" t="s">
        <v>83</v>
      </c>
      <c r="B80" s="1492"/>
      <c r="C80" s="1492"/>
      <c r="D80" s="1492"/>
      <c r="E80" s="1492"/>
      <c r="F80" s="1493"/>
    </row>
    <row r="81" spans="1:6" ht="26.25" customHeight="1">
      <c r="A81" s="1494" t="s">
        <v>62</v>
      </c>
      <c r="B81" s="617" t="s">
        <v>63</v>
      </c>
      <c r="C81" s="617" t="s">
        <v>63</v>
      </c>
      <c r="D81" s="617" t="s">
        <v>64</v>
      </c>
      <c r="E81" s="1494" t="s">
        <v>65</v>
      </c>
      <c r="F81" s="1494" t="s">
        <v>66</v>
      </c>
    </row>
    <row r="82" spans="1:6" ht="18.75" thickBot="1">
      <c r="A82" s="1495"/>
      <c r="B82" s="618" t="s">
        <v>67</v>
      </c>
      <c r="C82" s="618" t="s">
        <v>68</v>
      </c>
      <c r="D82" s="618" t="s">
        <v>69</v>
      </c>
      <c r="E82" s="1495"/>
      <c r="F82" s="1495"/>
    </row>
    <row r="83" spans="1:6">
      <c r="A83" s="623" t="s">
        <v>70</v>
      </c>
      <c r="B83" s="619"/>
      <c r="C83" s="620">
        <v>1.47</v>
      </c>
      <c r="D83" s="620">
        <v>1.37</v>
      </c>
      <c r="E83" s="620">
        <v>10</v>
      </c>
      <c r="F83" s="624">
        <v>12178.56</v>
      </c>
    </row>
    <row r="84" spans="1:6">
      <c r="A84" s="625" t="s">
        <v>71</v>
      </c>
      <c r="B84" s="621"/>
      <c r="C84" s="622">
        <v>1.55</v>
      </c>
      <c r="D84" s="622">
        <v>1.37</v>
      </c>
      <c r="E84" s="622">
        <v>10</v>
      </c>
      <c r="F84" s="626">
        <v>12178.56</v>
      </c>
    </row>
    <row r="85" spans="1:6">
      <c r="A85" s="623" t="s">
        <v>72</v>
      </c>
      <c r="B85" s="619"/>
      <c r="C85" s="620">
        <v>1.6</v>
      </c>
      <c r="D85" s="620">
        <v>1.37</v>
      </c>
      <c r="E85" s="620">
        <v>10</v>
      </c>
      <c r="F85" s="626">
        <v>12178.56</v>
      </c>
    </row>
    <row r="86" spans="1:6" ht="15.75" thickBot="1">
      <c r="A86" s="627" t="s">
        <v>73</v>
      </c>
      <c r="B86" s="628"/>
      <c r="C86" s="629">
        <v>1.69</v>
      </c>
      <c r="D86" s="629">
        <v>1.37</v>
      </c>
      <c r="E86" s="629">
        <v>10</v>
      </c>
      <c r="F86" s="626">
        <v>12178.56</v>
      </c>
    </row>
    <row r="88" spans="1:6">
      <c r="A88" s="922" t="s">
        <v>74</v>
      </c>
    </row>
    <row r="89" spans="1:6">
      <c r="A89" s="922" t="s">
        <v>75</v>
      </c>
    </row>
    <row r="90" spans="1:6">
      <c r="A90" s="922" t="s">
        <v>76</v>
      </c>
    </row>
    <row r="91" spans="1:6">
      <c r="A91" s="922" t="s">
        <v>77</v>
      </c>
    </row>
    <row r="93" spans="1:6" ht="15.75" thickBot="1">
      <c r="A93" s="1022" t="s">
        <v>84</v>
      </c>
      <c r="B93" s="1023" t="s">
        <v>85</v>
      </c>
      <c r="C93" s="1024"/>
    </row>
    <row r="94" spans="1:6" ht="18" customHeight="1" thickBot="1">
      <c r="A94" s="1482" t="s">
        <v>86</v>
      </c>
      <c r="B94" s="1483"/>
      <c r="C94" s="1483"/>
      <c r="D94" s="1483"/>
      <c r="E94" s="1483"/>
      <c r="F94" s="1484"/>
    </row>
    <row r="95" spans="1:6" ht="15.75">
      <c r="A95" s="1485" t="s">
        <v>62</v>
      </c>
      <c r="B95" s="1025" t="s">
        <v>87</v>
      </c>
      <c r="C95" s="1026" t="s">
        <v>87</v>
      </c>
      <c r="D95" s="1027" t="s">
        <v>88</v>
      </c>
      <c r="E95" s="1027" t="s">
        <v>89</v>
      </c>
      <c r="F95" s="1488" t="s">
        <v>90</v>
      </c>
    </row>
    <row r="96" spans="1:6" ht="18.75">
      <c r="A96" s="1486"/>
      <c r="B96" s="1028" t="s">
        <v>91</v>
      </c>
      <c r="C96" s="1029" t="s">
        <v>92</v>
      </c>
      <c r="D96" s="1030" t="s">
        <v>93</v>
      </c>
      <c r="E96" s="1031" t="s">
        <v>94</v>
      </c>
      <c r="F96" s="1489"/>
    </row>
    <row r="97" spans="1:6" ht="16.5" thickBot="1">
      <c r="A97" s="1487"/>
      <c r="B97" s="1032" t="s">
        <v>94</v>
      </c>
      <c r="C97" s="1033" t="s">
        <v>95</v>
      </c>
      <c r="D97" s="1034" t="s">
        <v>94</v>
      </c>
      <c r="E97" s="1035"/>
      <c r="F97" s="1490"/>
    </row>
    <row r="98" spans="1:6" ht="15.75" thickBot="1">
      <c r="A98" s="1019" t="s">
        <v>70</v>
      </c>
      <c r="B98" s="1020" t="s">
        <v>96</v>
      </c>
      <c r="C98" s="1020" t="s">
        <v>97</v>
      </c>
      <c r="D98" s="1020" t="s">
        <v>98</v>
      </c>
      <c r="E98" s="1020" t="s">
        <v>99</v>
      </c>
      <c r="F98" s="1020">
        <v>12178.56</v>
      </c>
    </row>
    <row r="99" spans="1:6" ht="15.75" thickBot="1">
      <c r="A99" s="1019" t="s">
        <v>71</v>
      </c>
      <c r="B99" s="1020" t="s">
        <v>100</v>
      </c>
      <c r="C99" s="1020" t="s">
        <v>101</v>
      </c>
      <c r="D99" s="1020" t="s">
        <v>98</v>
      </c>
      <c r="E99" s="1020" t="s">
        <v>99</v>
      </c>
      <c r="F99" s="1020">
        <v>12178.56</v>
      </c>
    </row>
    <row r="100" spans="1:6" ht="15.75" thickBot="1">
      <c r="A100" s="1019" t="s">
        <v>72</v>
      </c>
      <c r="B100" s="1020" t="s">
        <v>102</v>
      </c>
      <c r="C100" s="1020" t="s">
        <v>97</v>
      </c>
      <c r="D100" s="1020" t="s">
        <v>98</v>
      </c>
      <c r="E100" s="1020" t="s">
        <v>99</v>
      </c>
      <c r="F100" s="1020">
        <v>12178.56</v>
      </c>
    </row>
    <row r="101" spans="1:6" ht="29.25" thickBot="1">
      <c r="A101" s="1019" t="s">
        <v>73</v>
      </c>
      <c r="B101" s="1020" t="s">
        <v>103</v>
      </c>
      <c r="C101" s="1020" t="s">
        <v>104</v>
      </c>
      <c r="D101" s="1020" t="s">
        <v>98</v>
      </c>
      <c r="E101" s="1020" t="s">
        <v>99</v>
      </c>
      <c r="F101" s="1020">
        <v>12178.56</v>
      </c>
    </row>
    <row r="102" spans="1:6" ht="18.75">
      <c r="A102" s="1021"/>
    </row>
    <row r="103" spans="1:6">
      <c r="A103" s="1036" t="s">
        <v>105</v>
      </c>
    </row>
    <row r="104" spans="1:6">
      <c r="A104" s="1036" t="s">
        <v>76</v>
      </c>
    </row>
    <row r="105" spans="1:6">
      <c r="A105" s="1036" t="s">
        <v>106</v>
      </c>
    </row>
    <row r="106" spans="1:6">
      <c r="A106" s="1036" t="s">
        <v>107</v>
      </c>
    </row>
    <row r="107" spans="1:6" ht="15.75" thickBot="1"/>
    <row r="108" spans="1:6" ht="18" customHeight="1" thickBot="1">
      <c r="A108" s="1473" t="s">
        <v>108</v>
      </c>
      <c r="B108" s="1474"/>
      <c r="C108" s="1474"/>
      <c r="D108" s="1474"/>
      <c r="E108" s="1474"/>
      <c r="F108" s="1475"/>
    </row>
    <row r="109" spans="1:6" ht="42" customHeight="1">
      <c r="A109" s="1476" t="s">
        <v>62</v>
      </c>
      <c r="B109" s="1037" t="s">
        <v>87</v>
      </c>
      <c r="C109" s="1040" t="s">
        <v>87</v>
      </c>
      <c r="D109" s="1043" t="s">
        <v>88</v>
      </c>
      <c r="E109" s="1043" t="s">
        <v>89</v>
      </c>
      <c r="F109" s="1479" t="s">
        <v>90</v>
      </c>
    </row>
    <row r="110" spans="1:6" ht="39">
      <c r="A110" s="1477"/>
      <c r="B110" s="1038" t="s">
        <v>91</v>
      </c>
      <c r="C110" s="1041" t="s">
        <v>92</v>
      </c>
      <c r="D110" s="1044" t="s">
        <v>93</v>
      </c>
      <c r="E110" s="1046" t="s">
        <v>94</v>
      </c>
      <c r="F110" s="1480"/>
    </row>
    <row r="111" spans="1:6" ht="39.75" thickBot="1">
      <c r="A111" s="1478"/>
      <c r="B111" s="1039" t="s">
        <v>94</v>
      </c>
      <c r="C111" s="1042" t="s">
        <v>95</v>
      </c>
      <c r="D111" s="1045" t="s">
        <v>94</v>
      </c>
      <c r="E111" s="1047"/>
      <c r="F111" s="1481"/>
    </row>
    <row r="112" spans="1:6" ht="15.75" thickBot="1">
      <c r="A112" s="1019" t="s">
        <v>70</v>
      </c>
      <c r="B112" s="1020" t="s">
        <v>96</v>
      </c>
      <c r="C112" s="1020" t="s">
        <v>97</v>
      </c>
      <c r="D112" s="1020" t="s">
        <v>98</v>
      </c>
      <c r="E112" s="1020" t="s">
        <v>99</v>
      </c>
      <c r="F112" s="1020" t="s">
        <v>109</v>
      </c>
    </row>
    <row r="113" spans="1:6" ht="15.75" thickBot="1">
      <c r="A113" s="1019" t="s">
        <v>71</v>
      </c>
      <c r="B113" s="1020" t="s">
        <v>100</v>
      </c>
      <c r="C113" s="1020" t="s">
        <v>101</v>
      </c>
      <c r="D113" s="1020" t="s">
        <v>98</v>
      </c>
      <c r="E113" s="1020" t="s">
        <v>99</v>
      </c>
      <c r="F113" s="1020" t="s">
        <v>109</v>
      </c>
    </row>
    <row r="114" spans="1:6" ht="15.75" thickBot="1">
      <c r="A114" s="1019" t="s">
        <v>72</v>
      </c>
      <c r="B114" s="1020" t="s">
        <v>102</v>
      </c>
      <c r="C114" s="1020" t="s">
        <v>97</v>
      </c>
      <c r="D114" s="1020" t="s">
        <v>98</v>
      </c>
      <c r="E114" s="1020" t="s">
        <v>99</v>
      </c>
      <c r="F114" s="1020" t="s">
        <v>109</v>
      </c>
    </row>
    <row r="115" spans="1:6" ht="29.25" thickBot="1">
      <c r="A115" s="1019" t="s">
        <v>73</v>
      </c>
      <c r="B115" s="1020" t="s">
        <v>103</v>
      </c>
      <c r="C115" s="1020" t="s">
        <v>104</v>
      </c>
      <c r="D115" s="1020" t="s">
        <v>98</v>
      </c>
      <c r="E115" s="1020" t="s">
        <v>99</v>
      </c>
      <c r="F115" s="1020" t="s">
        <v>109</v>
      </c>
    </row>
    <row r="116" spans="1:6" ht="18.75">
      <c r="A116" s="1021"/>
    </row>
    <row r="117" spans="1:6">
      <c r="A117" s="1036" t="s">
        <v>105</v>
      </c>
    </row>
    <row r="118" spans="1:6">
      <c r="A118" s="1036" t="s">
        <v>76</v>
      </c>
    </row>
    <row r="119" spans="1:6">
      <c r="A119" s="1036" t="s">
        <v>106</v>
      </c>
    </row>
    <row r="120" spans="1:6">
      <c r="A120" s="1036" t="s">
        <v>107</v>
      </c>
    </row>
    <row r="122" spans="1:6" ht="15.75" thickBot="1">
      <c r="A122" s="1022" t="s">
        <v>84</v>
      </c>
      <c r="B122" s="1023" t="s">
        <v>110</v>
      </c>
      <c r="C122" s="1024"/>
    </row>
    <row r="123" spans="1:6" ht="18" customHeight="1" thickBot="1">
      <c r="A123" s="1473" t="s">
        <v>111</v>
      </c>
      <c r="B123" s="1474"/>
      <c r="C123" s="1474"/>
      <c r="D123" s="1474"/>
      <c r="E123" s="1474"/>
      <c r="F123" s="1475"/>
    </row>
    <row r="124" spans="1:6" ht="33.75" customHeight="1">
      <c r="A124" s="1476" t="s">
        <v>62</v>
      </c>
      <c r="B124" s="1037" t="s">
        <v>87</v>
      </c>
      <c r="C124" s="1040" t="s">
        <v>87</v>
      </c>
      <c r="D124" s="1043" t="s">
        <v>88</v>
      </c>
      <c r="E124" s="1043" t="s">
        <v>89</v>
      </c>
      <c r="F124" s="1479" t="s">
        <v>90</v>
      </c>
    </row>
    <row r="125" spans="1:6" ht="33.75" customHeight="1">
      <c r="A125" s="1477"/>
      <c r="B125" s="1038" t="s">
        <v>91</v>
      </c>
      <c r="C125" s="1041" t="s">
        <v>92</v>
      </c>
      <c r="D125" s="1044" t="s">
        <v>93</v>
      </c>
      <c r="E125" s="1046" t="s">
        <v>94</v>
      </c>
      <c r="F125" s="1480"/>
    </row>
    <row r="126" spans="1:6" ht="33.75" customHeight="1" thickBot="1">
      <c r="A126" s="1478"/>
      <c r="B126" s="1039" t="s">
        <v>94</v>
      </c>
      <c r="C126" s="1042" t="s">
        <v>95</v>
      </c>
      <c r="D126" s="1045" t="s">
        <v>94</v>
      </c>
      <c r="E126" s="1047"/>
      <c r="F126" s="1481"/>
    </row>
    <row r="127" spans="1:6" ht="15.75" thickBot="1">
      <c r="A127" s="1019" t="s">
        <v>70</v>
      </c>
      <c r="B127" s="1020" t="s">
        <v>96</v>
      </c>
      <c r="C127" s="1020" t="s">
        <v>97</v>
      </c>
      <c r="D127" s="1020" t="s">
        <v>98</v>
      </c>
      <c r="E127" s="1020" t="s">
        <v>99</v>
      </c>
      <c r="F127" s="1020" t="s">
        <v>109</v>
      </c>
    </row>
    <row r="128" spans="1:6" ht="15.75" thickBot="1">
      <c r="A128" s="1019" t="s">
        <v>71</v>
      </c>
      <c r="B128" s="1020" t="s">
        <v>100</v>
      </c>
      <c r="C128" s="1020" t="s">
        <v>101</v>
      </c>
      <c r="D128" s="1020" t="s">
        <v>98</v>
      </c>
      <c r="E128" s="1020" t="s">
        <v>99</v>
      </c>
      <c r="F128" s="1020" t="s">
        <v>109</v>
      </c>
    </row>
    <row r="129" spans="1:6" ht="15.75" thickBot="1">
      <c r="A129" s="1019" t="s">
        <v>72</v>
      </c>
      <c r="B129" s="1020" t="s">
        <v>102</v>
      </c>
      <c r="C129" s="1020" t="s">
        <v>97</v>
      </c>
      <c r="D129" s="1020" t="s">
        <v>98</v>
      </c>
      <c r="E129" s="1020" t="s">
        <v>99</v>
      </c>
      <c r="F129" s="1020" t="s">
        <v>109</v>
      </c>
    </row>
    <row r="130" spans="1:6" ht="29.25" thickBot="1">
      <c r="A130" s="1019" t="s">
        <v>73</v>
      </c>
      <c r="B130" s="1020" t="s">
        <v>103</v>
      </c>
      <c r="C130" s="1020" t="s">
        <v>104</v>
      </c>
      <c r="D130" s="1020" t="s">
        <v>98</v>
      </c>
      <c r="E130" s="1020" t="s">
        <v>99</v>
      </c>
      <c r="F130" s="1020" t="s">
        <v>109</v>
      </c>
    </row>
    <row r="131" spans="1:6" ht="18.75">
      <c r="A131" s="1021"/>
    </row>
    <row r="132" spans="1:6">
      <c r="A132" s="1036" t="s">
        <v>105</v>
      </c>
    </row>
    <row r="133" spans="1:6">
      <c r="A133" s="1036" t="s">
        <v>76</v>
      </c>
    </row>
    <row r="134" spans="1:6">
      <c r="A134" s="1036" t="s">
        <v>106</v>
      </c>
    </row>
    <row r="135" spans="1:6">
      <c r="A135" s="1036" t="s">
        <v>107</v>
      </c>
    </row>
    <row r="136" spans="1:6" ht="15.75" thickBot="1"/>
    <row r="137" spans="1:6" ht="18" customHeight="1" thickBot="1">
      <c r="A137" s="1473" t="s">
        <v>112</v>
      </c>
      <c r="B137" s="1474"/>
      <c r="C137" s="1474"/>
      <c r="D137" s="1474"/>
      <c r="E137" s="1474"/>
      <c r="F137" s="1475"/>
    </row>
    <row r="138" spans="1:6" ht="74.25" customHeight="1">
      <c r="A138" s="1476" t="s">
        <v>62</v>
      </c>
      <c r="B138" s="1037" t="s">
        <v>87</v>
      </c>
      <c r="C138" s="1040" t="s">
        <v>87</v>
      </c>
      <c r="D138" s="1043" t="s">
        <v>88</v>
      </c>
      <c r="E138" s="1043" t="s">
        <v>89</v>
      </c>
      <c r="F138" s="1479" t="s">
        <v>90</v>
      </c>
    </row>
    <row r="139" spans="1:6" ht="39">
      <c r="A139" s="1477"/>
      <c r="B139" s="1038" t="s">
        <v>91</v>
      </c>
      <c r="C139" s="1041" t="s">
        <v>92</v>
      </c>
      <c r="D139" s="1044" t="s">
        <v>93</v>
      </c>
      <c r="E139" s="1046" t="s">
        <v>94</v>
      </c>
      <c r="F139" s="1480"/>
    </row>
    <row r="140" spans="1:6" ht="39.75" thickBot="1">
      <c r="A140" s="1478"/>
      <c r="B140" s="1039" t="s">
        <v>94</v>
      </c>
      <c r="C140" s="1042" t="s">
        <v>95</v>
      </c>
      <c r="D140" s="1045" t="s">
        <v>94</v>
      </c>
      <c r="E140" s="1047"/>
      <c r="F140" s="1481"/>
    </row>
    <row r="141" spans="1:6" ht="15.75" thickBot="1">
      <c r="A141" s="1019" t="s">
        <v>70</v>
      </c>
      <c r="B141" s="1020" t="s">
        <v>96</v>
      </c>
      <c r="C141" s="1020" t="s">
        <v>97</v>
      </c>
      <c r="D141" s="1020" t="s">
        <v>98</v>
      </c>
      <c r="E141" s="1020" t="s">
        <v>99</v>
      </c>
      <c r="F141" s="1020" t="s">
        <v>109</v>
      </c>
    </row>
    <row r="142" spans="1:6" ht="15.75" thickBot="1">
      <c r="A142" s="1019" t="s">
        <v>71</v>
      </c>
      <c r="B142" s="1020" t="s">
        <v>100</v>
      </c>
      <c r="C142" s="1020" t="s">
        <v>101</v>
      </c>
      <c r="D142" s="1020" t="s">
        <v>98</v>
      </c>
      <c r="E142" s="1020" t="s">
        <v>99</v>
      </c>
      <c r="F142" s="1020" t="s">
        <v>109</v>
      </c>
    </row>
    <row r="143" spans="1:6" ht="15.75" thickBot="1">
      <c r="A143" s="1019" t="s">
        <v>72</v>
      </c>
      <c r="B143" s="1020" t="s">
        <v>102</v>
      </c>
      <c r="C143" s="1020" t="s">
        <v>97</v>
      </c>
      <c r="D143" s="1020" t="s">
        <v>98</v>
      </c>
      <c r="E143" s="1020" t="s">
        <v>99</v>
      </c>
      <c r="F143" s="1020" t="s">
        <v>109</v>
      </c>
    </row>
    <row r="144" spans="1:6" ht="29.25" thickBot="1">
      <c r="A144" s="1019" t="s">
        <v>73</v>
      </c>
      <c r="B144" s="1020" t="s">
        <v>103</v>
      </c>
      <c r="C144" s="1020" t="s">
        <v>104</v>
      </c>
      <c r="D144" s="1020" t="s">
        <v>98</v>
      </c>
      <c r="E144" s="1020" t="s">
        <v>99</v>
      </c>
      <c r="F144" s="1020" t="s">
        <v>109</v>
      </c>
    </row>
    <row r="145" spans="1:8" ht="18.75">
      <c r="A145" s="1021"/>
    </row>
    <row r="146" spans="1:8">
      <c r="A146" s="1036" t="s">
        <v>105</v>
      </c>
    </row>
    <row r="147" spans="1:8">
      <c r="A147" s="1036" t="s">
        <v>76</v>
      </c>
    </row>
    <row r="148" spans="1:8">
      <c r="A148" s="1036" t="s">
        <v>106</v>
      </c>
    </row>
    <row r="149" spans="1:8">
      <c r="A149" s="1036" t="s">
        <v>107</v>
      </c>
    </row>
    <row r="150" spans="1:8" ht="15.75" thickBot="1"/>
    <row r="151" spans="1:8" ht="18" customHeight="1" thickBot="1">
      <c r="A151" s="1473" t="s">
        <v>113</v>
      </c>
      <c r="B151" s="1474"/>
      <c r="C151" s="1474"/>
      <c r="D151" s="1474"/>
      <c r="E151" s="1474"/>
      <c r="F151" s="1475"/>
    </row>
    <row r="152" spans="1:8" ht="110.25">
      <c r="A152" s="1476" t="s">
        <v>62</v>
      </c>
      <c r="B152" s="1037" t="s">
        <v>87</v>
      </c>
      <c r="C152" s="1040" t="s">
        <v>87</v>
      </c>
      <c r="D152" s="1043" t="s">
        <v>88</v>
      </c>
      <c r="E152" s="1043" t="s">
        <v>89</v>
      </c>
      <c r="F152" s="1479" t="s">
        <v>90</v>
      </c>
    </row>
    <row r="153" spans="1:8" ht="39">
      <c r="A153" s="1477"/>
      <c r="B153" s="1038" t="s">
        <v>91</v>
      </c>
      <c r="C153" s="1041" t="s">
        <v>92</v>
      </c>
      <c r="D153" s="1044" t="s">
        <v>93</v>
      </c>
      <c r="E153" s="1046" t="s">
        <v>94</v>
      </c>
      <c r="F153" s="1480"/>
    </row>
    <row r="154" spans="1:8" ht="39.75" thickBot="1">
      <c r="A154" s="1478"/>
      <c r="B154" s="1039" t="s">
        <v>94</v>
      </c>
      <c r="C154" s="1042" t="s">
        <v>95</v>
      </c>
      <c r="D154" s="1045" t="s">
        <v>94</v>
      </c>
      <c r="E154" s="1047"/>
      <c r="F154" s="1481"/>
    </row>
    <row r="155" spans="1:8" ht="15.75" thickBot="1">
      <c r="A155" s="1019" t="s">
        <v>70</v>
      </c>
      <c r="B155" s="1020" t="s">
        <v>96</v>
      </c>
      <c r="C155" s="1020" t="s">
        <v>97</v>
      </c>
      <c r="D155" s="1020" t="s">
        <v>98</v>
      </c>
      <c r="E155" s="1020" t="s">
        <v>99</v>
      </c>
      <c r="F155" s="1020" t="s">
        <v>114</v>
      </c>
      <c r="H155" s="1074" t="s">
        <v>115</v>
      </c>
    </row>
    <row r="156" spans="1:8" ht="15.75" thickBot="1">
      <c r="A156" s="1019" t="s">
        <v>71</v>
      </c>
      <c r="B156" s="1020" t="s">
        <v>100</v>
      </c>
      <c r="C156" s="1020" t="s">
        <v>101</v>
      </c>
      <c r="D156" s="1020" t="s">
        <v>98</v>
      </c>
      <c r="E156" s="1020" t="s">
        <v>99</v>
      </c>
      <c r="F156" s="1020" t="s">
        <v>114</v>
      </c>
    </row>
    <row r="157" spans="1:8" ht="15.75" thickBot="1">
      <c r="A157" s="1019" t="s">
        <v>72</v>
      </c>
      <c r="B157" s="1020" t="s">
        <v>102</v>
      </c>
      <c r="C157" s="1020" t="s">
        <v>97</v>
      </c>
      <c r="D157" s="1020" t="s">
        <v>98</v>
      </c>
      <c r="E157" s="1020" t="s">
        <v>99</v>
      </c>
      <c r="F157" s="1020" t="s">
        <v>114</v>
      </c>
    </row>
    <row r="158" spans="1:8" ht="29.25" thickBot="1">
      <c r="A158" s="1019" t="s">
        <v>73</v>
      </c>
      <c r="B158" s="1020" t="s">
        <v>103</v>
      </c>
      <c r="C158" s="1020" t="s">
        <v>104</v>
      </c>
      <c r="D158" s="1020" t="s">
        <v>98</v>
      </c>
      <c r="E158" s="1020" t="s">
        <v>99</v>
      </c>
      <c r="F158" s="1020" t="s">
        <v>114</v>
      </c>
    </row>
    <row r="159" spans="1:8" ht="18.75">
      <c r="A159" s="1021"/>
    </row>
    <row r="160" spans="1:8">
      <c r="A160" s="1036" t="s">
        <v>105</v>
      </c>
    </row>
    <row r="161" spans="1:6">
      <c r="A161" s="1036" t="s">
        <v>76</v>
      </c>
    </row>
    <row r="162" spans="1:6">
      <c r="A162" s="1036" t="s">
        <v>106</v>
      </c>
    </row>
    <row r="163" spans="1:6">
      <c r="A163" s="1036" t="s">
        <v>107</v>
      </c>
    </row>
    <row r="164" spans="1:6" ht="15.75" thickBot="1"/>
    <row r="165" spans="1:6" ht="18" customHeight="1" thickBot="1">
      <c r="A165" s="1473" t="s">
        <v>116</v>
      </c>
      <c r="B165" s="1474"/>
      <c r="C165" s="1474"/>
      <c r="D165" s="1474"/>
      <c r="E165" s="1474"/>
      <c r="F165" s="1475"/>
    </row>
    <row r="166" spans="1:6" ht="65.25" customHeight="1">
      <c r="A166" s="1476" t="s">
        <v>62</v>
      </c>
      <c r="B166" s="1037" t="s">
        <v>87</v>
      </c>
      <c r="C166" s="1040" t="s">
        <v>87</v>
      </c>
      <c r="D166" s="1043" t="s">
        <v>88</v>
      </c>
      <c r="E166" s="1043" t="s">
        <v>89</v>
      </c>
      <c r="F166" s="1479" t="s">
        <v>90</v>
      </c>
    </row>
    <row r="167" spans="1:6" ht="39">
      <c r="A167" s="1477"/>
      <c r="B167" s="1038" t="s">
        <v>91</v>
      </c>
      <c r="C167" s="1041" t="s">
        <v>92</v>
      </c>
      <c r="D167" s="1044" t="s">
        <v>93</v>
      </c>
      <c r="E167" s="1046" t="s">
        <v>94</v>
      </c>
      <c r="F167" s="1480"/>
    </row>
    <row r="168" spans="1:6" ht="39.75" thickBot="1">
      <c r="A168" s="1478"/>
      <c r="B168" s="1039" t="s">
        <v>94</v>
      </c>
      <c r="C168" s="1042" t="s">
        <v>95</v>
      </c>
      <c r="D168" s="1045" t="s">
        <v>94</v>
      </c>
      <c r="E168" s="1047"/>
      <c r="F168" s="1481"/>
    </row>
    <row r="169" spans="1:6" ht="15.75" thickBot="1">
      <c r="A169" s="1019" t="s">
        <v>70</v>
      </c>
      <c r="B169" s="1020" t="s">
        <v>96</v>
      </c>
      <c r="C169" s="1020" t="s">
        <v>97</v>
      </c>
      <c r="D169" s="1020" t="s">
        <v>98</v>
      </c>
      <c r="E169" s="1020" t="s">
        <v>99</v>
      </c>
      <c r="F169" s="1020" t="s">
        <v>114</v>
      </c>
    </row>
    <row r="170" spans="1:6" ht="15.75" thickBot="1">
      <c r="A170" s="1019" t="s">
        <v>71</v>
      </c>
      <c r="B170" s="1020" t="s">
        <v>100</v>
      </c>
      <c r="C170" s="1020" t="s">
        <v>101</v>
      </c>
      <c r="D170" s="1020" t="s">
        <v>98</v>
      </c>
      <c r="E170" s="1020" t="s">
        <v>99</v>
      </c>
      <c r="F170" s="1020" t="s">
        <v>114</v>
      </c>
    </row>
    <row r="171" spans="1:6" ht="15.75" thickBot="1">
      <c r="A171" s="1019" t="s">
        <v>72</v>
      </c>
      <c r="B171" s="1020" t="s">
        <v>102</v>
      </c>
      <c r="C171" s="1020" t="s">
        <v>97</v>
      </c>
      <c r="D171" s="1020" t="s">
        <v>98</v>
      </c>
      <c r="E171" s="1020" t="s">
        <v>99</v>
      </c>
      <c r="F171" s="1020" t="s">
        <v>114</v>
      </c>
    </row>
    <row r="172" spans="1:6" ht="29.25" thickBot="1">
      <c r="A172" s="1019" t="s">
        <v>73</v>
      </c>
      <c r="B172" s="1020" t="s">
        <v>103</v>
      </c>
      <c r="C172" s="1020" t="s">
        <v>104</v>
      </c>
      <c r="D172" s="1020" t="s">
        <v>98</v>
      </c>
      <c r="E172" s="1020" t="s">
        <v>99</v>
      </c>
      <c r="F172" s="1020" t="s">
        <v>114</v>
      </c>
    </row>
    <row r="173" spans="1:6" ht="18.75">
      <c r="A173" s="1021"/>
    </row>
    <row r="174" spans="1:6">
      <c r="A174" s="1036" t="s">
        <v>105</v>
      </c>
    </row>
    <row r="175" spans="1:6">
      <c r="A175" s="1036" t="s">
        <v>76</v>
      </c>
    </row>
    <row r="176" spans="1:6">
      <c r="A176" s="1036" t="s">
        <v>106</v>
      </c>
    </row>
    <row r="177" spans="1:6">
      <c r="A177" s="1036" t="s">
        <v>107</v>
      </c>
    </row>
    <row r="178" spans="1:6" ht="15.75" thickBot="1"/>
    <row r="179" spans="1:6" ht="18" customHeight="1" thickBot="1">
      <c r="A179" s="1473" t="s">
        <v>117</v>
      </c>
      <c r="B179" s="1474"/>
      <c r="C179" s="1474"/>
      <c r="D179" s="1474"/>
      <c r="E179" s="1474"/>
      <c r="F179" s="1475"/>
    </row>
    <row r="180" spans="1:6" ht="68.25" customHeight="1">
      <c r="A180" s="1476" t="s">
        <v>62</v>
      </c>
      <c r="B180" s="1037" t="s">
        <v>87</v>
      </c>
      <c r="C180" s="1040" t="s">
        <v>87</v>
      </c>
      <c r="D180" s="1043" t="s">
        <v>88</v>
      </c>
      <c r="E180" s="1043" t="s">
        <v>89</v>
      </c>
      <c r="F180" s="1479" t="s">
        <v>90</v>
      </c>
    </row>
    <row r="181" spans="1:6" ht="39">
      <c r="A181" s="1477"/>
      <c r="B181" s="1038" t="s">
        <v>91</v>
      </c>
      <c r="C181" s="1041" t="s">
        <v>92</v>
      </c>
      <c r="D181" s="1044" t="s">
        <v>93</v>
      </c>
      <c r="E181" s="1046" t="s">
        <v>94</v>
      </c>
      <c r="F181" s="1480"/>
    </row>
    <row r="182" spans="1:6" ht="39.75" thickBot="1">
      <c r="A182" s="1478"/>
      <c r="B182" s="1039" t="s">
        <v>94</v>
      </c>
      <c r="C182" s="1042" t="s">
        <v>95</v>
      </c>
      <c r="D182" s="1045" t="s">
        <v>94</v>
      </c>
      <c r="E182" s="1047"/>
      <c r="F182" s="1481"/>
    </row>
    <row r="183" spans="1:6" ht="15.75" thickBot="1">
      <c r="A183" s="1019" t="s">
        <v>70</v>
      </c>
      <c r="B183" s="1020" t="s">
        <v>96</v>
      </c>
      <c r="C183" s="1020" t="s">
        <v>97</v>
      </c>
      <c r="D183" s="1020" t="s">
        <v>98</v>
      </c>
      <c r="E183" s="1020" t="s">
        <v>99</v>
      </c>
      <c r="F183" s="1020" t="s">
        <v>114</v>
      </c>
    </row>
    <row r="184" spans="1:6" ht="15.75" thickBot="1">
      <c r="A184" s="1019" t="s">
        <v>71</v>
      </c>
      <c r="B184" s="1020" t="s">
        <v>100</v>
      </c>
      <c r="C184" s="1020" t="s">
        <v>101</v>
      </c>
      <c r="D184" s="1020" t="s">
        <v>98</v>
      </c>
      <c r="E184" s="1020" t="s">
        <v>99</v>
      </c>
      <c r="F184" s="1020" t="s">
        <v>114</v>
      </c>
    </row>
    <row r="185" spans="1:6" ht="15.75" thickBot="1">
      <c r="A185" s="1019" t="s">
        <v>72</v>
      </c>
      <c r="B185" s="1020" t="s">
        <v>102</v>
      </c>
      <c r="C185" s="1020" t="s">
        <v>97</v>
      </c>
      <c r="D185" s="1020" t="s">
        <v>98</v>
      </c>
      <c r="E185" s="1020" t="s">
        <v>99</v>
      </c>
      <c r="F185" s="1020" t="s">
        <v>114</v>
      </c>
    </row>
    <row r="186" spans="1:6" ht="29.25" thickBot="1">
      <c r="A186" s="1019" t="s">
        <v>73</v>
      </c>
      <c r="B186" s="1020" t="s">
        <v>103</v>
      </c>
      <c r="C186" s="1020" t="s">
        <v>104</v>
      </c>
      <c r="D186" s="1020" t="s">
        <v>98</v>
      </c>
      <c r="E186" s="1020" t="s">
        <v>99</v>
      </c>
      <c r="F186" s="1020" t="s">
        <v>114</v>
      </c>
    </row>
    <row r="188" spans="1:6">
      <c r="A188" s="1156" t="s">
        <v>105</v>
      </c>
    </row>
    <row r="189" spans="1:6">
      <c r="A189" s="1156" t="s">
        <v>76</v>
      </c>
    </row>
    <row r="190" spans="1:6">
      <c r="A190" s="1156" t="s">
        <v>106</v>
      </c>
    </row>
    <row r="191" spans="1:6">
      <c r="A191" s="1156" t="s">
        <v>107</v>
      </c>
    </row>
    <row r="192" spans="1:6" ht="15.75" thickBot="1"/>
    <row r="193" spans="1:6" ht="18" customHeight="1" thickBot="1">
      <c r="A193" s="1473" t="s">
        <v>751</v>
      </c>
      <c r="B193" s="1474"/>
      <c r="C193" s="1474"/>
      <c r="D193" s="1474"/>
      <c r="E193" s="1474"/>
      <c r="F193" s="1475"/>
    </row>
    <row r="194" spans="1:6" ht="66" customHeight="1">
      <c r="A194" s="1476" t="s">
        <v>62</v>
      </c>
      <c r="B194" s="1037" t="s">
        <v>87</v>
      </c>
      <c r="C194" s="1040" t="s">
        <v>87</v>
      </c>
      <c r="D194" s="1043" t="s">
        <v>88</v>
      </c>
      <c r="E194" s="1043" t="s">
        <v>89</v>
      </c>
      <c r="F194" s="1479" t="s">
        <v>90</v>
      </c>
    </row>
    <row r="195" spans="1:6" ht="39">
      <c r="A195" s="1477"/>
      <c r="B195" s="1038" t="s">
        <v>91</v>
      </c>
      <c r="C195" s="1041" t="s">
        <v>92</v>
      </c>
      <c r="D195" s="1044" t="s">
        <v>93</v>
      </c>
      <c r="E195" s="1046" t="s">
        <v>94</v>
      </c>
      <c r="F195" s="1480"/>
    </row>
    <row r="196" spans="1:6" ht="39.75" thickBot="1">
      <c r="A196" s="1478"/>
      <c r="B196" s="1039" t="s">
        <v>94</v>
      </c>
      <c r="C196" s="1042" t="s">
        <v>95</v>
      </c>
      <c r="D196" s="1045" t="s">
        <v>94</v>
      </c>
      <c r="E196" s="1047"/>
      <c r="F196" s="1481"/>
    </row>
    <row r="197" spans="1:6" ht="15.75" thickBot="1">
      <c r="A197" s="1019" t="s">
        <v>70</v>
      </c>
      <c r="B197" s="1020" t="s">
        <v>96</v>
      </c>
      <c r="C197" s="1020" t="s">
        <v>97</v>
      </c>
      <c r="D197" s="1020" t="s">
        <v>98</v>
      </c>
      <c r="E197" s="1020" t="s">
        <v>99</v>
      </c>
      <c r="F197" s="1020" t="s">
        <v>752</v>
      </c>
    </row>
    <row r="198" spans="1:6" ht="15.75" thickBot="1">
      <c r="A198" s="1019" t="s">
        <v>71</v>
      </c>
      <c r="B198" s="1020" t="s">
        <v>100</v>
      </c>
      <c r="C198" s="1020" t="s">
        <v>101</v>
      </c>
      <c r="D198" s="1020" t="s">
        <v>98</v>
      </c>
      <c r="E198" s="1020" t="s">
        <v>99</v>
      </c>
      <c r="F198" s="1020" t="s">
        <v>752</v>
      </c>
    </row>
    <row r="199" spans="1:6" ht="15.75" thickBot="1">
      <c r="A199" s="1019" t="s">
        <v>72</v>
      </c>
      <c r="B199" s="1020" t="s">
        <v>102</v>
      </c>
      <c r="C199" s="1020" t="s">
        <v>97</v>
      </c>
      <c r="D199" s="1020" t="s">
        <v>98</v>
      </c>
      <c r="E199" s="1020" t="s">
        <v>99</v>
      </c>
      <c r="F199" s="1020" t="s">
        <v>752</v>
      </c>
    </row>
    <row r="200" spans="1:6" ht="29.25" thickBot="1">
      <c r="A200" s="1019" t="s">
        <v>73</v>
      </c>
      <c r="B200" s="1020" t="s">
        <v>103</v>
      </c>
      <c r="C200" s="1020" t="s">
        <v>104</v>
      </c>
      <c r="D200" s="1020" t="s">
        <v>98</v>
      </c>
      <c r="E200" s="1020" t="s">
        <v>99</v>
      </c>
      <c r="F200" s="1020" t="s">
        <v>752</v>
      </c>
    </row>
    <row r="201" spans="1:6" ht="18.75">
      <c r="A201" s="1021"/>
    </row>
    <row r="202" spans="1:6">
      <c r="A202" s="1036" t="s">
        <v>105</v>
      </c>
    </row>
    <row r="203" spans="1:6">
      <c r="A203" s="1036" t="s">
        <v>76</v>
      </c>
    </row>
    <row r="204" spans="1:6">
      <c r="A204" s="1036" t="s">
        <v>106</v>
      </c>
    </row>
    <row r="205" spans="1:6">
      <c r="A205" s="1036" t="s">
        <v>107</v>
      </c>
    </row>
    <row r="206" spans="1:6" ht="15.75" thickBot="1"/>
    <row r="207" spans="1:6" ht="18" customHeight="1" thickBot="1">
      <c r="A207" s="1473" t="s">
        <v>788</v>
      </c>
      <c r="B207" s="1474"/>
      <c r="C207" s="1474"/>
      <c r="D207" s="1474"/>
      <c r="E207" s="1474"/>
      <c r="F207" s="1475"/>
    </row>
    <row r="208" spans="1:6" ht="110.25">
      <c r="A208" s="1476" t="s">
        <v>62</v>
      </c>
      <c r="B208" s="1037" t="s">
        <v>87</v>
      </c>
      <c r="C208" s="1040" t="s">
        <v>87</v>
      </c>
      <c r="D208" s="1043" t="s">
        <v>88</v>
      </c>
      <c r="E208" s="1043" t="s">
        <v>89</v>
      </c>
      <c r="F208" s="1479" t="s">
        <v>90</v>
      </c>
    </row>
    <row r="209" spans="1:6" ht="39">
      <c r="A209" s="1477"/>
      <c r="B209" s="1038" t="s">
        <v>91</v>
      </c>
      <c r="C209" s="1041" t="s">
        <v>92</v>
      </c>
      <c r="D209" s="1044" t="s">
        <v>93</v>
      </c>
      <c r="E209" s="1046" t="s">
        <v>94</v>
      </c>
      <c r="F209" s="1480"/>
    </row>
    <row r="210" spans="1:6" ht="39.75" thickBot="1">
      <c r="A210" s="1478"/>
      <c r="B210" s="1039" t="s">
        <v>94</v>
      </c>
      <c r="C210" s="1042" t="s">
        <v>95</v>
      </c>
      <c r="D210" s="1045" t="s">
        <v>94</v>
      </c>
      <c r="E210" s="1047"/>
      <c r="F210" s="1481"/>
    </row>
    <row r="211" spans="1:6" ht="15.75" thickBot="1">
      <c r="A211" s="1019" t="s">
        <v>70</v>
      </c>
      <c r="B211" s="1020" t="s">
        <v>96</v>
      </c>
      <c r="C211" s="1020" t="s">
        <v>97</v>
      </c>
      <c r="D211" s="1020" t="s">
        <v>98</v>
      </c>
      <c r="E211" s="1020" t="s">
        <v>99</v>
      </c>
      <c r="F211" s="1226" t="s">
        <v>789</v>
      </c>
    </row>
    <row r="212" spans="1:6" ht="15.75" thickBot="1">
      <c r="A212" s="1019" t="s">
        <v>71</v>
      </c>
      <c r="B212" s="1020" t="s">
        <v>100</v>
      </c>
      <c r="C212" s="1020" t="s">
        <v>101</v>
      </c>
      <c r="D212" s="1020" t="s">
        <v>98</v>
      </c>
      <c r="E212" s="1020" t="s">
        <v>99</v>
      </c>
      <c r="F212" s="1226" t="s">
        <v>789</v>
      </c>
    </row>
    <row r="213" spans="1:6" ht="15.75" thickBot="1">
      <c r="A213" s="1019" t="s">
        <v>72</v>
      </c>
      <c r="B213" s="1020" t="s">
        <v>102</v>
      </c>
      <c r="C213" s="1020" t="s">
        <v>97</v>
      </c>
      <c r="D213" s="1020" t="s">
        <v>98</v>
      </c>
      <c r="E213" s="1020" t="s">
        <v>99</v>
      </c>
      <c r="F213" s="1226" t="s">
        <v>789</v>
      </c>
    </row>
    <row r="214" spans="1:6" ht="29.25" thickBot="1">
      <c r="A214" s="1019" t="s">
        <v>73</v>
      </c>
      <c r="B214" s="1020" t="s">
        <v>103</v>
      </c>
      <c r="C214" s="1020" t="s">
        <v>104</v>
      </c>
      <c r="D214" s="1020" t="s">
        <v>98</v>
      </c>
      <c r="E214" s="1020" t="s">
        <v>99</v>
      </c>
      <c r="F214" s="1226" t="s">
        <v>789</v>
      </c>
    </row>
    <row r="215" spans="1:6" ht="18.75">
      <c r="A215" s="1021"/>
    </row>
    <row r="216" spans="1:6" ht="168.75">
      <c r="A216" s="1225" t="s">
        <v>105</v>
      </c>
    </row>
    <row r="217" spans="1:6" ht="56.25">
      <c r="A217" s="1225" t="s">
        <v>76</v>
      </c>
    </row>
    <row r="218" spans="1:6" ht="180">
      <c r="A218" s="1225" t="s">
        <v>106</v>
      </c>
    </row>
    <row r="219" spans="1:6" ht="135">
      <c r="A219" s="1225" t="s">
        <v>107</v>
      </c>
    </row>
    <row r="220" spans="1:6" ht="15.75" thickBot="1"/>
    <row r="221" spans="1:6" ht="18" customHeight="1" thickBot="1">
      <c r="A221" s="1473" t="s">
        <v>788</v>
      </c>
      <c r="B221" s="1474"/>
      <c r="C221" s="1474"/>
      <c r="D221" s="1474"/>
      <c r="E221" s="1474"/>
      <c r="F221" s="1475"/>
    </row>
    <row r="222" spans="1:6" ht="110.25">
      <c r="A222" s="1476" t="s">
        <v>62</v>
      </c>
      <c r="B222" s="1037" t="s">
        <v>87</v>
      </c>
      <c r="C222" s="1040" t="s">
        <v>87</v>
      </c>
      <c r="D222" s="1043" t="s">
        <v>88</v>
      </c>
      <c r="E222" s="1043" t="s">
        <v>89</v>
      </c>
      <c r="F222" s="1479" t="s">
        <v>90</v>
      </c>
    </row>
    <row r="223" spans="1:6" ht="39">
      <c r="A223" s="1477"/>
      <c r="B223" s="1038" t="s">
        <v>91</v>
      </c>
      <c r="C223" s="1041" t="s">
        <v>92</v>
      </c>
      <c r="D223" s="1044" t="s">
        <v>93</v>
      </c>
      <c r="E223" s="1046" t="s">
        <v>94</v>
      </c>
      <c r="F223" s="1480"/>
    </row>
    <row r="224" spans="1:6" ht="39.75" thickBot="1">
      <c r="A224" s="1478"/>
      <c r="B224" s="1039" t="s">
        <v>94</v>
      </c>
      <c r="C224" s="1042" t="s">
        <v>95</v>
      </c>
      <c r="D224" s="1045" t="s">
        <v>94</v>
      </c>
      <c r="E224" s="1047"/>
      <c r="F224" s="1481"/>
    </row>
    <row r="225" spans="1:6" ht="15.75" thickBot="1">
      <c r="A225" s="1019" t="s">
        <v>70</v>
      </c>
      <c r="B225" s="1020" t="s">
        <v>96</v>
      </c>
      <c r="C225" s="1020" t="s">
        <v>97</v>
      </c>
      <c r="D225" s="1020" t="s">
        <v>98</v>
      </c>
      <c r="E225" s="1020" t="s">
        <v>99</v>
      </c>
      <c r="F225" s="1020" t="s">
        <v>789</v>
      </c>
    </row>
    <row r="226" spans="1:6" ht="15.75" thickBot="1">
      <c r="A226" s="1019" t="s">
        <v>71</v>
      </c>
      <c r="B226" s="1020" t="s">
        <v>100</v>
      </c>
      <c r="C226" s="1020" t="s">
        <v>101</v>
      </c>
      <c r="D226" s="1020" t="s">
        <v>98</v>
      </c>
      <c r="E226" s="1020" t="s">
        <v>99</v>
      </c>
      <c r="F226" s="1020" t="s">
        <v>789</v>
      </c>
    </row>
    <row r="227" spans="1:6" ht="15.75" thickBot="1">
      <c r="A227" s="1019" t="s">
        <v>72</v>
      </c>
      <c r="B227" s="1020" t="s">
        <v>102</v>
      </c>
      <c r="C227" s="1020" t="s">
        <v>97</v>
      </c>
      <c r="D227" s="1020" t="s">
        <v>98</v>
      </c>
      <c r="E227" s="1020" t="s">
        <v>99</v>
      </c>
      <c r="F227" s="1020" t="s">
        <v>789</v>
      </c>
    </row>
    <row r="228" spans="1:6" ht="29.25" thickBot="1">
      <c r="A228" s="1019" t="s">
        <v>73</v>
      </c>
      <c r="B228" s="1020" t="s">
        <v>103</v>
      </c>
      <c r="C228" s="1020" t="s">
        <v>104</v>
      </c>
      <c r="D228" s="1020" t="s">
        <v>98</v>
      </c>
      <c r="E228" s="1020" t="s">
        <v>99</v>
      </c>
      <c r="F228" s="1020" t="s">
        <v>789</v>
      </c>
    </row>
    <row r="232" spans="1:6" ht="15.75" thickBot="1"/>
    <row r="233" spans="1:6" ht="18" customHeight="1" thickBot="1">
      <c r="A233" s="1473" t="s">
        <v>918</v>
      </c>
      <c r="B233" s="1474"/>
      <c r="C233" s="1474"/>
      <c r="D233" s="1474"/>
      <c r="E233" s="1474"/>
      <c r="F233" s="1475"/>
    </row>
    <row r="234" spans="1:6" ht="110.25">
      <c r="A234" s="1476" t="s">
        <v>62</v>
      </c>
      <c r="B234" s="1037" t="s">
        <v>87</v>
      </c>
      <c r="C234" s="1040" t="s">
        <v>87</v>
      </c>
      <c r="D234" s="1043" t="s">
        <v>88</v>
      </c>
      <c r="E234" s="1043" t="s">
        <v>89</v>
      </c>
      <c r="F234" s="1479" t="s">
        <v>90</v>
      </c>
    </row>
    <row r="235" spans="1:6" ht="39">
      <c r="A235" s="1477"/>
      <c r="B235" s="1038" t="s">
        <v>91</v>
      </c>
      <c r="C235" s="1041" t="s">
        <v>92</v>
      </c>
      <c r="D235" s="1044" t="s">
        <v>93</v>
      </c>
      <c r="E235" s="1046" t="s">
        <v>94</v>
      </c>
      <c r="F235" s="1480"/>
    </row>
    <row r="236" spans="1:6" ht="39.75" thickBot="1">
      <c r="A236" s="1478"/>
      <c r="B236" s="1039" t="s">
        <v>94</v>
      </c>
      <c r="C236" s="1042" t="s">
        <v>95</v>
      </c>
      <c r="D236" s="1045" t="s">
        <v>94</v>
      </c>
      <c r="E236" s="1047"/>
      <c r="F236" s="1481"/>
    </row>
    <row r="237" spans="1:6" ht="36.75" thickBot="1">
      <c r="A237" s="1334" t="s">
        <v>70</v>
      </c>
      <c r="B237" s="1335" t="s">
        <v>96</v>
      </c>
      <c r="C237" s="1335" t="s">
        <v>97</v>
      </c>
      <c r="D237" s="1335" t="s">
        <v>98</v>
      </c>
      <c r="E237" s="1335" t="s">
        <v>99</v>
      </c>
      <c r="F237" s="1335" t="s">
        <v>789</v>
      </c>
    </row>
    <row r="238" spans="1:6" ht="36.75" thickBot="1">
      <c r="A238" s="1334" t="s">
        <v>71</v>
      </c>
      <c r="B238" s="1335" t="s">
        <v>100</v>
      </c>
      <c r="C238" s="1335" t="s">
        <v>101</v>
      </c>
      <c r="D238" s="1335" t="s">
        <v>98</v>
      </c>
      <c r="E238" s="1335" t="s">
        <v>99</v>
      </c>
      <c r="F238" s="1335" t="s">
        <v>789</v>
      </c>
    </row>
    <row r="239" spans="1:6" ht="36.75" thickBot="1">
      <c r="A239" s="1334" t="s">
        <v>72</v>
      </c>
      <c r="B239" s="1335" t="s">
        <v>102</v>
      </c>
      <c r="C239" s="1335" t="s">
        <v>97</v>
      </c>
      <c r="D239" s="1335" t="s">
        <v>98</v>
      </c>
      <c r="E239" s="1335" t="s">
        <v>99</v>
      </c>
      <c r="F239" s="1335" t="s">
        <v>789</v>
      </c>
    </row>
    <row r="240" spans="1:6" ht="36.75" thickBot="1">
      <c r="A240" s="1334" t="s">
        <v>73</v>
      </c>
      <c r="B240" s="1335" t="s">
        <v>103</v>
      </c>
      <c r="C240" s="1335" t="s">
        <v>104</v>
      </c>
      <c r="D240" s="1335" t="s">
        <v>98</v>
      </c>
      <c r="E240" s="1335" t="s">
        <v>99</v>
      </c>
      <c r="F240" s="1335" t="s">
        <v>789</v>
      </c>
    </row>
  </sheetData>
  <mergeCells count="81">
    <mergeCell ref="A221:F221"/>
    <mergeCell ref="A222:A224"/>
    <mergeCell ref="F222:F224"/>
    <mergeCell ref="A207:F207"/>
    <mergeCell ref="A208:A210"/>
    <mergeCell ref="F208:F210"/>
    <mergeCell ref="A151:F151"/>
    <mergeCell ref="A152:A154"/>
    <mergeCell ref="F152:F154"/>
    <mergeCell ref="A138:A140"/>
    <mergeCell ref="F138:F140"/>
    <mergeCell ref="A80:F80"/>
    <mergeCell ref="A81:A82"/>
    <mergeCell ref="E81:E82"/>
    <mergeCell ref="F81:F82"/>
    <mergeCell ref="A41:F41"/>
    <mergeCell ref="A48:F48"/>
    <mergeCell ref="A74:F74"/>
    <mergeCell ref="A49:F49"/>
    <mergeCell ref="A50:F50"/>
    <mergeCell ref="A67:F67"/>
    <mergeCell ref="A68:A69"/>
    <mergeCell ref="E68:E69"/>
    <mergeCell ref="F68:F69"/>
    <mergeCell ref="A54:F54"/>
    <mergeCell ref="A51:F51"/>
    <mergeCell ref="A52:F52"/>
    <mergeCell ref="A55:A56"/>
    <mergeCell ref="E55:E56"/>
    <mergeCell ref="F55:F56"/>
    <mergeCell ref="A23:F23"/>
    <mergeCell ref="A24:F24"/>
    <mergeCell ref="A42:A43"/>
    <mergeCell ref="E42:E43"/>
    <mergeCell ref="F42:F43"/>
    <mergeCell ref="A25:F25"/>
    <mergeCell ref="A26:F26"/>
    <mergeCell ref="A27:F27"/>
    <mergeCell ref="A37:F37"/>
    <mergeCell ref="A29:F29"/>
    <mergeCell ref="A30:A31"/>
    <mergeCell ref="E30:E31"/>
    <mergeCell ref="F30:F31"/>
    <mergeCell ref="A36:F36"/>
    <mergeCell ref="A38:F38"/>
    <mergeCell ref="A39:F39"/>
    <mergeCell ref="A11:F11"/>
    <mergeCell ref="A16:F16"/>
    <mergeCell ref="A17:A18"/>
    <mergeCell ref="E17:E18"/>
    <mergeCell ref="F17:F18"/>
    <mergeCell ref="A12:F12"/>
    <mergeCell ref="A13:F13"/>
    <mergeCell ref="A14:F14"/>
    <mergeCell ref="A3:F3"/>
    <mergeCell ref="A4:A5"/>
    <mergeCell ref="E4:E5"/>
    <mergeCell ref="F4:F5"/>
    <mergeCell ref="A10:F10"/>
    <mergeCell ref="A94:F94"/>
    <mergeCell ref="A95:A97"/>
    <mergeCell ref="F95:F97"/>
    <mergeCell ref="A109:A111"/>
    <mergeCell ref="F109:F111"/>
    <mergeCell ref="A108:F108"/>
    <mergeCell ref="A233:F233"/>
    <mergeCell ref="A234:A236"/>
    <mergeCell ref="F234:F236"/>
    <mergeCell ref="A123:F123"/>
    <mergeCell ref="A124:A126"/>
    <mergeCell ref="F124:F126"/>
    <mergeCell ref="A137:F137"/>
    <mergeCell ref="A193:F193"/>
    <mergeCell ref="A194:A196"/>
    <mergeCell ref="F194:F196"/>
    <mergeCell ref="A179:F179"/>
    <mergeCell ref="A180:A182"/>
    <mergeCell ref="F180:F182"/>
    <mergeCell ref="A165:F165"/>
    <mergeCell ref="A166:A168"/>
    <mergeCell ref="F166:F168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0.499984740745262"/>
  </sheetPr>
  <dimension ref="A1:EZ1048575"/>
  <sheetViews>
    <sheetView showGridLines="0" tabSelected="1" zoomScale="90" zoomScaleNormal="90" workbookViewId="0">
      <pane xSplit="3" ySplit="11" topLeftCell="BH28" activePane="bottomRight" state="frozen"/>
      <selection pane="topRight" activeCell="D1" sqref="D1"/>
      <selection pane="bottomLeft" activeCell="A12" sqref="A12"/>
      <selection pane="bottomRight" activeCell="BI51" sqref="BI51"/>
    </sheetView>
  </sheetViews>
  <sheetFormatPr baseColWidth="10" defaultColWidth="9.140625" defaultRowHeight="12"/>
  <cols>
    <col min="1" max="1" width="10.5703125" style="598" bestFit="1" customWidth="1"/>
    <col min="2" max="2" width="4.28515625" style="589" customWidth="1"/>
    <col min="3" max="3" width="59.140625" style="589" customWidth="1"/>
    <col min="4" max="4" width="11.5703125" style="589" customWidth="1"/>
    <col min="5" max="5" width="14.140625" style="589" customWidth="1"/>
    <col min="6" max="6" width="10.85546875" style="589" customWidth="1"/>
    <col min="7" max="7" width="11.85546875" style="589" customWidth="1"/>
    <col min="8" max="8" width="51.42578125" style="589" customWidth="1"/>
    <col min="9" max="9" width="19.7109375" style="589" customWidth="1"/>
    <col min="10" max="10" width="12.7109375" style="589" customWidth="1"/>
    <col min="11" max="11" width="9.85546875" style="589" customWidth="1"/>
    <col min="12" max="14" width="5.7109375" style="589" customWidth="1"/>
    <col min="15" max="18" width="7.7109375" style="589" customWidth="1"/>
    <col min="19" max="19" width="12.7109375" style="589" customWidth="1"/>
    <col min="20" max="20" width="10.85546875" style="743" customWidth="1"/>
    <col min="21" max="21" width="10.85546875" style="589" customWidth="1"/>
    <col min="22" max="22" width="13.140625" style="589" customWidth="1"/>
    <col min="23" max="23" width="13.85546875" style="589" customWidth="1"/>
    <col min="24" max="24" width="11.5703125" style="589" customWidth="1"/>
    <col min="25" max="25" width="8.28515625" style="589" customWidth="1"/>
    <col min="26" max="26" width="10.5703125" style="589" customWidth="1"/>
    <col min="27" max="27" width="8.5703125" style="589" customWidth="1"/>
    <col min="28" max="29" width="11.28515625" style="589" customWidth="1"/>
    <col min="30" max="31" width="14.140625" style="589" customWidth="1"/>
    <col min="32" max="32" width="9.85546875" style="589" customWidth="1"/>
    <col min="33" max="33" width="12.42578125" style="589" hidden="1" customWidth="1"/>
    <col min="34" max="34" width="12.7109375" style="589" customWidth="1"/>
    <col min="35" max="35" width="11" style="589" customWidth="1"/>
    <col min="36" max="36" width="10.140625" style="589" hidden="1" customWidth="1"/>
    <col min="37" max="37" width="8.28515625" style="589" customWidth="1"/>
    <col min="38" max="38" width="9.5703125" style="589" hidden="1" customWidth="1"/>
    <col min="39" max="39" width="10.140625" style="589" hidden="1" customWidth="1"/>
    <col min="40" max="40" width="8" style="589" hidden="1" customWidth="1"/>
    <col min="41" max="41" width="12.7109375" style="589" customWidth="1"/>
    <col min="42" max="42" width="13.7109375" style="599" customWidth="1"/>
    <col min="43" max="43" width="6.7109375" style="589" customWidth="1"/>
    <col min="44" max="44" width="13.28515625" style="589" customWidth="1"/>
    <col min="45" max="45" width="10.5703125" style="589" customWidth="1"/>
    <col min="46" max="46" width="12.85546875" style="589" customWidth="1"/>
    <col min="47" max="47" width="11.42578125" style="589" customWidth="1"/>
    <col min="48" max="48" width="11" style="589" customWidth="1"/>
    <col min="49" max="49" width="9.7109375" style="589" customWidth="1"/>
    <col min="50" max="50" width="16" style="589" customWidth="1"/>
    <col min="51" max="52" width="11.42578125" style="589" customWidth="1"/>
    <col min="53" max="53" width="8.28515625" style="589" customWidth="1"/>
    <col min="54" max="54" width="8" style="589" customWidth="1"/>
    <col min="55" max="55" width="11.85546875" style="589" customWidth="1"/>
    <col min="56" max="56" width="12.7109375" style="589" hidden="1" customWidth="1"/>
    <col min="57" max="57" width="10.5703125" style="589" customWidth="1"/>
    <col min="58" max="58" width="11.28515625" style="589" customWidth="1"/>
    <col min="59" max="59" width="12.85546875" style="589" customWidth="1"/>
    <col min="60" max="60" width="10.85546875" style="589" customWidth="1"/>
    <col min="61" max="61" width="9.5703125" style="589" customWidth="1"/>
    <col min="62" max="62" width="13.42578125" style="589" customWidth="1"/>
    <col min="63" max="63" width="12.42578125" style="589" customWidth="1"/>
    <col min="64" max="64" width="16.42578125" style="823" customWidth="1"/>
    <col min="65" max="65" width="13.5703125" style="589" customWidth="1"/>
    <col min="66" max="66" width="11" style="589" customWidth="1"/>
    <col min="67" max="67" width="10.28515625" style="743" customWidth="1"/>
    <col min="68" max="68" width="10.7109375" style="743" customWidth="1"/>
    <col min="69" max="69" width="7.7109375" style="589" customWidth="1"/>
    <col min="70" max="70" width="9" style="589" customWidth="1"/>
    <col min="71" max="71" width="11.28515625" style="589" customWidth="1"/>
    <col min="72" max="72" width="6.42578125" style="589" bestFit="1" customWidth="1"/>
    <col min="73" max="73" width="9.140625" style="833" customWidth="1"/>
    <col min="74" max="74" width="13.7109375" style="833" bestFit="1" customWidth="1"/>
    <col min="75" max="75" width="10" style="833" customWidth="1"/>
    <col min="76" max="76" width="14.7109375" style="589" customWidth="1"/>
    <col min="77" max="77" width="10.7109375" style="589" bestFit="1" customWidth="1"/>
    <col min="78" max="79" width="9.42578125" style="589" customWidth="1"/>
    <col min="80" max="80" width="10.140625" style="589" customWidth="1"/>
    <col min="81" max="81" width="10" style="589" customWidth="1"/>
    <col min="82" max="16384" width="9.140625" style="589"/>
  </cols>
  <sheetData>
    <row r="1" spans="1:156" s="543" customFormat="1">
      <c r="A1" s="546"/>
      <c r="B1" s="543">
        <v>1</v>
      </c>
      <c r="C1" s="543">
        <v>2</v>
      </c>
      <c r="I1" s="543">
        <v>6</v>
      </c>
      <c r="S1" s="543">
        <v>14</v>
      </c>
      <c r="X1" s="543">
        <v>16</v>
      </c>
      <c r="Y1" s="543">
        <v>17</v>
      </c>
      <c r="Z1" s="543">
        <v>18</v>
      </c>
      <c r="AA1" s="543">
        <v>19</v>
      </c>
      <c r="AB1" s="543">
        <v>20</v>
      </c>
      <c r="AF1" s="543">
        <v>21</v>
      </c>
      <c r="AH1" s="543">
        <v>22</v>
      </c>
      <c r="AM1" s="543">
        <v>24</v>
      </c>
      <c r="AN1" s="543">
        <v>25</v>
      </c>
      <c r="AO1" s="543">
        <v>26</v>
      </c>
      <c r="AP1" s="547">
        <v>27</v>
      </c>
      <c r="AQ1" s="543">
        <v>28</v>
      </c>
      <c r="AR1" s="543">
        <v>29</v>
      </c>
      <c r="AS1" s="543">
        <v>30</v>
      </c>
      <c r="AT1" s="543">
        <v>31</v>
      </c>
      <c r="AU1" s="543">
        <v>32</v>
      </c>
      <c r="AV1" s="543">
        <v>33</v>
      </c>
      <c r="AW1" s="543">
        <v>34</v>
      </c>
      <c r="AX1" s="543">
        <v>35</v>
      </c>
      <c r="AY1" s="543">
        <v>36</v>
      </c>
      <c r="AZ1" s="543">
        <v>37</v>
      </c>
      <c r="BD1" s="544">
        <v>39</v>
      </c>
      <c r="BE1" s="544"/>
      <c r="BF1" s="544"/>
      <c r="BG1" s="544"/>
      <c r="BH1" s="544"/>
      <c r="BK1" s="543">
        <v>41</v>
      </c>
      <c r="BL1" s="547">
        <v>42</v>
      </c>
      <c r="BM1" s="543">
        <v>43</v>
      </c>
      <c r="BN1" s="543">
        <v>44</v>
      </c>
      <c r="BQ1" s="545">
        <v>48</v>
      </c>
      <c r="BR1" s="545"/>
      <c r="BS1" s="545"/>
      <c r="BU1" s="543">
        <v>75</v>
      </c>
      <c r="BV1" s="543">
        <v>76</v>
      </c>
      <c r="BW1" s="543">
        <v>77</v>
      </c>
      <c r="BX1" s="543">
        <v>78</v>
      </c>
      <c r="BY1" s="543">
        <v>79</v>
      </c>
      <c r="BZ1" s="543">
        <v>80</v>
      </c>
      <c r="CA1" s="543">
        <v>81</v>
      </c>
      <c r="CB1" s="543">
        <v>82</v>
      </c>
      <c r="CC1" s="543">
        <v>83</v>
      </c>
      <c r="CD1" s="543">
        <v>84</v>
      </c>
      <c r="CE1" s="543">
        <v>85</v>
      </c>
      <c r="CF1" s="543">
        <v>86</v>
      </c>
      <c r="CG1" s="543">
        <v>87</v>
      </c>
      <c r="CH1" s="543">
        <v>88</v>
      </c>
      <c r="CI1" s="543">
        <v>89</v>
      </c>
      <c r="CJ1" s="543">
        <v>90</v>
      </c>
      <c r="CK1" s="543">
        <v>91</v>
      </c>
      <c r="CL1" s="543">
        <v>92</v>
      </c>
      <c r="CM1" s="543">
        <v>93</v>
      </c>
      <c r="CN1" s="543">
        <v>94</v>
      </c>
      <c r="CO1" s="543">
        <v>95</v>
      </c>
      <c r="CP1" s="543">
        <v>96</v>
      </c>
      <c r="CQ1" s="543">
        <v>97</v>
      </c>
      <c r="CR1" s="543">
        <v>98</v>
      </c>
      <c r="CS1" s="543">
        <v>99</v>
      </c>
      <c r="CT1" s="543">
        <v>100</v>
      </c>
      <c r="CU1" s="543">
        <v>101</v>
      </c>
      <c r="CV1" s="543">
        <v>102</v>
      </c>
      <c r="CW1" s="543">
        <v>103</v>
      </c>
      <c r="CX1" s="543">
        <v>104</v>
      </c>
      <c r="CY1" s="543">
        <v>105</v>
      </c>
      <c r="CZ1" s="543">
        <v>106</v>
      </c>
      <c r="DA1" s="543">
        <v>107</v>
      </c>
      <c r="DB1" s="543">
        <v>108</v>
      </c>
      <c r="DC1" s="543">
        <v>109</v>
      </c>
      <c r="DD1" s="543">
        <v>110</v>
      </c>
      <c r="DE1" s="543">
        <v>111</v>
      </c>
      <c r="DF1" s="543">
        <v>112</v>
      </c>
      <c r="DG1" s="543">
        <v>113</v>
      </c>
      <c r="DH1" s="543">
        <v>114</v>
      </c>
      <c r="DI1" s="543">
        <v>115</v>
      </c>
      <c r="DJ1" s="543">
        <v>116</v>
      </c>
      <c r="DK1" s="543">
        <v>117</v>
      </c>
      <c r="DL1" s="543">
        <v>118</v>
      </c>
      <c r="DM1" s="543">
        <v>119</v>
      </c>
      <c r="DN1" s="543">
        <v>120</v>
      </c>
      <c r="DO1" s="543">
        <v>121</v>
      </c>
      <c r="DP1" s="543">
        <v>122</v>
      </c>
      <c r="DQ1" s="543">
        <v>123</v>
      </c>
      <c r="DR1" s="543">
        <v>124</v>
      </c>
      <c r="DS1" s="543">
        <v>125</v>
      </c>
      <c r="DT1" s="543">
        <v>126</v>
      </c>
      <c r="DU1" s="543">
        <v>127</v>
      </c>
      <c r="DV1" s="543">
        <v>128</v>
      </c>
      <c r="DW1" s="543">
        <v>129</v>
      </c>
      <c r="DX1" s="543">
        <v>130</v>
      </c>
      <c r="DY1" s="543">
        <v>131</v>
      </c>
      <c r="DZ1" s="543">
        <v>132</v>
      </c>
      <c r="EA1" s="543">
        <v>133</v>
      </c>
      <c r="EB1" s="543">
        <v>134</v>
      </c>
      <c r="EC1" s="543">
        <v>135</v>
      </c>
      <c r="ED1" s="543">
        <v>136</v>
      </c>
      <c r="EE1" s="543">
        <v>137</v>
      </c>
      <c r="EF1" s="543">
        <v>138</v>
      </c>
      <c r="EG1" s="543">
        <v>139</v>
      </c>
      <c r="EH1" s="543">
        <v>140</v>
      </c>
      <c r="EI1" s="543">
        <v>141</v>
      </c>
      <c r="EJ1" s="543">
        <v>142</v>
      </c>
      <c r="EK1" s="543">
        <v>143</v>
      </c>
      <c r="EL1" s="543">
        <v>144</v>
      </c>
      <c r="EM1" s="543">
        <v>145</v>
      </c>
      <c r="EN1" s="543">
        <v>146</v>
      </c>
      <c r="EO1" s="543">
        <v>147</v>
      </c>
      <c r="EP1" s="543">
        <v>148</v>
      </c>
      <c r="EQ1" s="543">
        <v>149</v>
      </c>
      <c r="ER1" s="543">
        <v>150</v>
      </c>
      <c r="ES1" s="543">
        <v>151</v>
      </c>
      <c r="ET1" s="543">
        <v>152</v>
      </c>
      <c r="EU1" s="543">
        <v>153</v>
      </c>
      <c r="EV1" s="543">
        <v>154</v>
      </c>
      <c r="EW1" s="543">
        <v>155</v>
      </c>
      <c r="EX1" s="543">
        <v>156</v>
      </c>
      <c r="EY1" s="543">
        <v>157</v>
      </c>
      <c r="EZ1" s="543">
        <v>158</v>
      </c>
    </row>
    <row r="2" spans="1:156" s="549" customFormat="1">
      <c r="A2" s="780"/>
      <c r="B2" s="550" t="s">
        <v>118</v>
      </c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  <c r="R2" s="550"/>
      <c r="S2" s="550"/>
      <c r="T2" s="547"/>
      <c r="U2" s="550"/>
      <c r="V2" s="550"/>
      <c r="W2" s="550"/>
      <c r="X2" s="550"/>
      <c r="Y2" s="550"/>
      <c r="Z2" s="550"/>
      <c r="AA2" s="550"/>
      <c r="AB2" s="550"/>
      <c r="AC2" s="550"/>
      <c r="AD2" s="550"/>
      <c r="AE2" s="550"/>
      <c r="AF2" s="550"/>
      <c r="AG2" s="550"/>
      <c r="AH2" s="550"/>
      <c r="AI2" s="550"/>
      <c r="AJ2" s="550"/>
      <c r="AK2" s="550"/>
      <c r="AL2" s="550"/>
      <c r="AM2" s="550"/>
      <c r="AN2" s="550"/>
      <c r="AO2" s="550"/>
      <c r="AP2" s="550"/>
      <c r="AQ2" s="550"/>
      <c r="AR2" s="550"/>
      <c r="AS2" s="550"/>
      <c r="AT2" s="550"/>
      <c r="AU2" s="550"/>
      <c r="AV2" s="550"/>
      <c r="AW2" s="550"/>
      <c r="AX2" s="550"/>
      <c r="AY2" s="550"/>
      <c r="AZ2" s="550"/>
      <c r="BA2" s="550"/>
      <c r="BB2" s="550"/>
      <c r="BC2" s="550"/>
      <c r="BD2" s="550"/>
      <c r="BE2" s="550"/>
      <c r="BF2" s="550"/>
      <c r="BG2" s="550"/>
      <c r="BH2" s="550"/>
      <c r="BI2" s="550"/>
      <c r="BJ2" s="550"/>
      <c r="BK2" s="550"/>
      <c r="BL2" s="550"/>
      <c r="BM2" s="550"/>
      <c r="BN2" s="550"/>
      <c r="BO2" s="547"/>
      <c r="BP2" s="547"/>
      <c r="BQ2" s="548"/>
      <c r="BR2" s="548"/>
      <c r="BS2" s="548"/>
    </row>
    <row r="3" spans="1:156" s="549" customFormat="1">
      <c r="A3" s="780"/>
      <c r="B3" s="631" t="s">
        <v>119</v>
      </c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  <c r="P3" s="550"/>
      <c r="Q3" s="550"/>
      <c r="R3" s="550"/>
      <c r="S3" s="551"/>
      <c r="T3" s="741"/>
      <c r="U3" s="551"/>
      <c r="V3" s="551"/>
      <c r="W3" s="551"/>
      <c r="X3" s="551"/>
      <c r="Y3" s="551"/>
      <c r="Z3" s="551"/>
      <c r="AA3" s="551"/>
      <c r="AB3" s="551"/>
      <c r="AC3" s="551"/>
      <c r="AD3" s="551"/>
      <c r="AE3" s="551"/>
      <c r="AF3" s="551"/>
      <c r="AG3" s="551"/>
      <c r="AH3" s="551"/>
      <c r="AI3" s="551"/>
      <c r="AJ3" s="551"/>
      <c r="AK3" s="551"/>
      <c r="AL3" s="551"/>
      <c r="AM3" s="551"/>
      <c r="AN3" s="551"/>
      <c r="AO3" s="551"/>
      <c r="AP3" s="551"/>
      <c r="AQ3" s="552"/>
      <c r="AR3" s="551"/>
      <c r="AS3" s="551"/>
      <c r="AT3" s="551"/>
      <c r="AU3" s="551"/>
      <c r="AV3" s="551"/>
      <c r="AW3" s="551"/>
      <c r="AX3" s="551"/>
      <c r="AY3" s="551"/>
      <c r="AZ3" s="551"/>
      <c r="BA3" s="551"/>
      <c r="BB3" s="551"/>
      <c r="BC3" s="551"/>
      <c r="BD3" s="553"/>
      <c r="BE3" s="553"/>
      <c r="BF3" s="553"/>
      <c r="BG3" s="553"/>
      <c r="BH3" s="553"/>
      <c r="BI3" s="551"/>
      <c r="BJ3" s="551"/>
      <c r="BK3" s="551"/>
      <c r="BL3" s="551"/>
      <c r="BM3" s="551"/>
      <c r="BN3" s="551"/>
      <c r="BO3" s="741"/>
      <c r="BP3" s="741"/>
      <c r="BQ3" s="548"/>
      <c r="BR3" s="548"/>
      <c r="BS3" s="548"/>
    </row>
    <row r="4" spans="1:156" s="549" customFormat="1">
      <c r="A4" s="780"/>
      <c r="B4" s="550" t="s">
        <v>794</v>
      </c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  <c r="S4" s="550"/>
      <c r="T4" s="547"/>
      <c r="U4" s="550"/>
      <c r="V4" s="550"/>
      <c r="W4" s="550"/>
      <c r="X4" s="550"/>
      <c r="Y4" s="550"/>
      <c r="Z4" s="550"/>
      <c r="AA4" s="550"/>
      <c r="AB4" s="550"/>
      <c r="AC4" s="550"/>
      <c r="AD4" s="550"/>
      <c r="AE4" s="550"/>
      <c r="AF4" s="550"/>
      <c r="AG4" s="550"/>
      <c r="AH4" s="550"/>
      <c r="AI4" s="550"/>
      <c r="AJ4" s="550"/>
      <c r="AK4" s="550"/>
      <c r="AL4" s="550"/>
      <c r="AM4" s="550"/>
      <c r="AN4" s="550"/>
      <c r="AO4" s="550"/>
      <c r="AP4" s="550"/>
      <c r="AQ4" s="550"/>
      <c r="AR4" s="550"/>
      <c r="AS4" s="550"/>
      <c r="AT4" s="550"/>
      <c r="AU4" s="550"/>
      <c r="AV4" s="550"/>
      <c r="AW4" s="550"/>
      <c r="AX4" s="550"/>
      <c r="AY4" s="550"/>
      <c r="AZ4" s="550"/>
      <c r="BA4" s="550"/>
      <c r="BB4" s="550"/>
      <c r="BC4" s="550"/>
      <c r="BD4" s="550"/>
      <c r="BE4" s="550"/>
      <c r="BF4" s="550"/>
      <c r="BG4" s="550"/>
      <c r="BH4" s="550"/>
      <c r="BI4" s="550"/>
      <c r="BJ4" s="550"/>
      <c r="BK4" s="550"/>
      <c r="BL4" s="550"/>
      <c r="BM4" s="550"/>
      <c r="BN4" s="550"/>
      <c r="BO4" s="547"/>
      <c r="BP4" s="547"/>
      <c r="BQ4" s="548"/>
      <c r="BR4" s="548"/>
      <c r="BS4" s="548"/>
    </row>
    <row r="5" spans="1:156" s="549" customFormat="1">
      <c r="A5" s="780"/>
      <c r="B5" s="550"/>
      <c r="C5" s="550"/>
      <c r="D5" s="550"/>
      <c r="E5" s="550"/>
      <c r="F5" s="550"/>
      <c r="G5" s="550"/>
      <c r="H5" s="550"/>
      <c r="I5" s="551"/>
      <c r="J5" s="551"/>
      <c r="K5" s="551"/>
      <c r="L5" s="551"/>
      <c r="M5" s="551"/>
      <c r="N5" s="551"/>
      <c r="O5" s="551"/>
      <c r="P5" s="551"/>
      <c r="Q5" s="551"/>
      <c r="R5" s="551"/>
      <c r="S5" s="551"/>
      <c r="T5" s="741"/>
      <c r="U5" s="551"/>
      <c r="V5" s="551"/>
      <c r="W5" s="551"/>
      <c r="X5" s="551"/>
      <c r="Y5" s="551"/>
      <c r="Z5" s="551"/>
      <c r="AA5" s="551"/>
      <c r="AB5" s="551"/>
      <c r="AC5" s="551"/>
      <c r="AD5" s="551"/>
      <c r="AE5" s="551"/>
      <c r="AF5" s="551"/>
      <c r="AG5" s="551"/>
      <c r="AH5" s="551"/>
      <c r="AI5" s="551"/>
      <c r="AJ5" s="551"/>
      <c r="AK5" s="551"/>
      <c r="AL5" s="551"/>
      <c r="AM5" s="551"/>
      <c r="AN5" s="551"/>
      <c r="AO5" s="551"/>
      <c r="AP5" s="551"/>
      <c r="AQ5" s="551"/>
      <c r="AR5" s="551"/>
      <c r="AS5" s="551"/>
      <c r="AT5" s="551"/>
      <c r="AU5" s="551"/>
      <c r="AV5" s="551"/>
      <c r="AW5" s="551"/>
      <c r="AX5" s="551"/>
      <c r="AY5" s="551"/>
      <c r="AZ5" s="551"/>
      <c r="BA5" s="551"/>
      <c r="BB5" s="551"/>
      <c r="BC5" s="551"/>
      <c r="BD5" s="551"/>
      <c r="BE5" s="551"/>
      <c r="BF5" s="551"/>
      <c r="BG5" s="551"/>
      <c r="BH5" s="551"/>
      <c r="BI5" s="551"/>
      <c r="BJ5" s="551"/>
      <c r="BK5" s="551"/>
      <c r="BL5" s="551"/>
      <c r="BM5" s="551"/>
      <c r="BN5" s="551"/>
      <c r="BO5" s="741"/>
      <c r="BP5" s="741"/>
      <c r="BQ5" s="548"/>
      <c r="BR5" s="548"/>
      <c r="BS5" s="548"/>
    </row>
    <row r="6" spans="1:156" s="549" customFormat="1">
      <c r="A6" s="780"/>
      <c r="B6" s="550" t="s">
        <v>120</v>
      </c>
      <c r="C6" s="550"/>
      <c r="D6" s="550"/>
      <c r="E6" s="550"/>
      <c r="F6" s="550"/>
      <c r="G6" s="550"/>
      <c r="H6" s="550"/>
      <c r="I6" s="550"/>
      <c r="J6" s="550"/>
      <c r="K6" s="550"/>
      <c r="L6" s="550"/>
      <c r="M6" s="550"/>
      <c r="N6" s="550"/>
      <c r="O6" s="550"/>
      <c r="P6" s="550"/>
      <c r="Q6" s="550"/>
      <c r="R6" s="550"/>
      <c r="S6" s="550"/>
      <c r="T6" s="547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0"/>
      <c r="AW6" s="550"/>
      <c r="AX6" s="550"/>
      <c r="AY6" s="550"/>
      <c r="AZ6" s="550"/>
      <c r="BA6" s="550"/>
      <c r="BB6" s="550"/>
      <c r="BC6" s="550"/>
      <c r="BD6" s="550"/>
      <c r="BE6" s="550"/>
      <c r="BF6" s="550"/>
      <c r="BG6" s="550"/>
      <c r="BH6" s="550"/>
      <c r="BI6" s="550"/>
      <c r="BJ6" s="550"/>
      <c r="BK6" s="550"/>
      <c r="BL6" s="550"/>
      <c r="BM6" s="550"/>
      <c r="BN6" s="550"/>
      <c r="BO6" s="547"/>
      <c r="BP6" s="547"/>
      <c r="BQ6" s="548"/>
      <c r="BR6" s="548"/>
      <c r="BS6" s="548"/>
    </row>
    <row r="7" spans="1:156" s="549" customFormat="1">
      <c r="A7" s="546"/>
      <c r="B7" s="550"/>
      <c r="S7" s="554"/>
      <c r="T7" s="579"/>
      <c r="U7" s="554"/>
      <c r="V7" s="554"/>
      <c r="W7" s="554"/>
      <c r="X7" s="554"/>
      <c r="Y7" s="554"/>
      <c r="Z7" s="554"/>
      <c r="AA7" s="554"/>
      <c r="AB7" s="554"/>
      <c r="AC7" s="554"/>
      <c r="AD7" s="554"/>
      <c r="AE7" s="554"/>
      <c r="AF7" s="554"/>
      <c r="AG7" s="554"/>
      <c r="AH7" s="554"/>
      <c r="AI7" s="554"/>
      <c r="AJ7" s="554"/>
      <c r="AK7" s="554"/>
      <c r="AL7" s="554"/>
      <c r="AM7" s="554"/>
      <c r="AN7" s="554"/>
      <c r="AO7" s="554"/>
      <c r="AP7" s="551"/>
      <c r="AQ7" s="555"/>
      <c r="AR7" s="554"/>
      <c r="AS7" s="554"/>
      <c r="AT7" s="554"/>
      <c r="AU7" s="554"/>
      <c r="AV7" s="554"/>
      <c r="AW7" s="554"/>
      <c r="AX7" s="554"/>
      <c r="AY7" s="554"/>
      <c r="AZ7" s="554"/>
      <c r="BA7" s="554"/>
      <c r="BB7" s="741"/>
      <c r="BC7" s="741"/>
      <c r="BD7" s="556"/>
      <c r="BE7" s="556"/>
      <c r="BF7" s="556"/>
      <c r="BG7" s="556"/>
      <c r="BH7" s="556"/>
      <c r="BI7" s="554"/>
      <c r="BJ7" s="554"/>
      <c r="BK7" s="554"/>
      <c r="BL7" s="551"/>
      <c r="BM7" s="554"/>
      <c r="BN7" s="554"/>
      <c r="BO7" s="579"/>
      <c r="BP7" s="579"/>
      <c r="BQ7" s="548"/>
      <c r="BR7" s="548"/>
      <c r="BS7" s="548"/>
    </row>
    <row r="8" spans="1:156" s="543" customFormat="1">
      <c r="A8" s="546"/>
      <c r="B8" s="557"/>
      <c r="C8" s="558" t="s">
        <v>121</v>
      </c>
      <c r="D8" s="558"/>
      <c r="E8" s="558"/>
      <c r="F8" s="558"/>
      <c r="G8" s="558"/>
      <c r="H8" s="558"/>
      <c r="I8" s="558" t="s">
        <v>122</v>
      </c>
      <c r="J8" s="559"/>
      <c r="K8" s="559"/>
      <c r="L8" s="559"/>
      <c r="M8" s="559"/>
      <c r="N8" s="559"/>
      <c r="O8" s="559"/>
      <c r="P8" s="559"/>
      <c r="Q8" s="559"/>
      <c r="R8" s="559"/>
      <c r="S8" s="1450" t="s">
        <v>123</v>
      </c>
      <c r="T8" s="1451"/>
      <c r="U8" s="1451"/>
      <c r="V8" s="1451"/>
      <c r="W8" s="1451"/>
      <c r="X8" s="1451"/>
      <c r="Y8" s="1451"/>
      <c r="Z8" s="1451"/>
      <c r="AA8" s="1451"/>
      <c r="AB8" s="1451"/>
      <c r="AC8" s="1451"/>
      <c r="AD8" s="1451"/>
      <c r="AE8" s="1451"/>
      <c r="AF8" s="1451"/>
      <c r="AG8" s="1451"/>
      <c r="AH8" s="1451"/>
      <c r="AI8" s="1451"/>
      <c r="AJ8" s="1451"/>
      <c r="AK8" s="1451"/>
      <c r="AL8" s="1451"/>
      <c r="AM8" s="1451"/>
      <c r="AN8" s="1452"/>
      <c r="AO8" s="560"/>
      <c r="AP8" s="560"/>
      <c r="AQ8" s="1455" t="s">
        <v>124</v>
      </c>
      <c r="AR8" s="1456"/>
      <c r="AS8" s="1456"/>
      <c r="AT8" s="1456"/>
      <c r="AU8" s="1456"/>
      <c r="AV8" s="1456"/>
      <c r="AW8" s="1456"/>
      <c r="AX8" s="1456"/>
      <c r="AY8" s="1456"/>
      <c r="AZ8" s="1456"/>
      <c r="BA8" s="1456"/>
      <c r="BB8" s="1456"/>
      <c r="BC8" s="1456"/>
      <c r="BD8" s="1456"/>
      <c r="BE8" s="1456"/>
      <c r="BF8" s="1456"/>
      <c r="BG8" s="1456"/>
      <c r="BH8" s="1456"/>
      <c r="BI8" s="1456"/>
      <c r="BJ8" s="1457"/>
      <c r="BK8" s="560" t="s">
        <v>125</v>
      </c>
      <c r="BL8" s="560" t="s">
        <v>126</v>
      </c>
      <c r="BM8" s="1453" t="s">
        <v>127</v>
      </c>
      <c r="BN8" s="1454"/>
      <c r="BO8" s="561"/>
      <c r="BP8" s="560"/>
      <c r="BQ8" s="560"/>
      <c r="BR8" s="741"/>
      <c r="BS8" s="741"/>
    </row>
    <row r="9" spans="1:156" s="543" customFormat="1" ht="24">
      <c r="A9" s="546"/>
      <c r="B9" s="562" t="s">
        <v>2</v>
      </c>
      <c r="C9" s="558" t="s">
        <v>128</v>
      </c>
      <c r="D9" s="562"/>
      <c r="E9" s="563" t="s">
        <v>129</v>
      </c>
      <c r="F9" s="563" t="s">
        <v>129</v>
      </c>
      <c r="G9" s="563" t="s">
        <v>129</v>
      </c>
      <c r="H9" s="557"/>
      <c r="I9" s="608" t="s">
        <v>62</v>
      </c>
      <c r="J9" s="557"/>
      <c r="K9" s="547"/>
      <c r="L9" s="557"/>
      <c r="M9" s="612"/>
      <c r="N9" s="612"/>
      <c r="O9" s="612"/>
      <c r="P9" s="557"/>
      <c r="Q9" s="613"/>
      <c r="R9" s="557"/>
      <c r="S9" s="560" t="s">
        <v>130</v>
      </c>
      <c r="T9" s="560" t="s">
        <v>131</v>
      </c>
      <c r="U9" s="560" t="s">
        <v>901</v>
      </c>
      <c r="V9" s="1016" t="s">
        <v>132</v>
      </c>
      <c r="W9" s="560" t="s">
        <v>132</v>
      </c>
      <c r="X9" s="560" t="s">
        <v>133</v>
      </c>
      <c r="Y9" s="560" t="s">
        <v>133</v>
      </c>
      <c r="Z9" s="1458" t="s">
        <v>134</v>
      </c>
      <c r="AA9" s="560"/>
      <c r="AB9" s="564" t="s">
        <v>135</v>
      </c>
      <c r="AC9" s="564" t="s">
        <v>135</v>
      </c>
      <c r="AD9" s="564" t="s">
        <v>135</v>
      </c>
      <c r="AE9" s="564" t="s">
        <v>135</v>
      </c>
      <c r="AF9" s="566" t="s">
        <v>9</v>
      </c>
      <c r="AG9" s="1016" t="s">
        <v>136</v>
      </c>
      <c r="AH9" s="566" t="s">
        <v>137</v>
      </c>
      <c r="AI9" s="566" t="s">
        <v>138</v>
      </c>
      <c r="AJ9" s="566" t="s">
        <v>138</v>
      </c>
      <c r="AK9" s="569" t="s">
        <v>139</v>
      </c>
      <c r="AL9" s="560" t="s">
        <v>140</v>
      </c>
      <c r="AM9" s="560" t="s">
        <v>141</v>
      </c>
      <c r="AN9" s="565"/>
      <c r="AO9" s="566" t="s">
        <v>142</v>
      </c>
      <c r="AP9" s="566" t="s">
        <v>143</v>
      </c>
      <c r="AQ9" s="1461" t="s">
        <v>144</v>
      </c>
      <c r="AR9" s="1462"/>
      <c r="AS9" s="1461" t="s">
        <v>145</v>
      </c>
      <c r="AT9" s="1463"/>
      <c r="AU9" s="1463"/>
      <c r="AV9" s="1463"/>
      <c r="AW9" s="1463"/>
      <c r="AX9" s="1463"/>
      <c r="AY9" s="1463"/>
      <c r="AZ9" s="1462"/>
      <c r="BA9" s="633"/>
      <c r="BB9" s="633"/>
      <c r="BC9" s="633"/>
      <c r="BD9" s="567" t="s">
        <v>796</v>
      </c>
      <c r="BE9" s="566" t="s">
        <v>146</v>
      </c>
      <c r="BF9" s="567" t="s">
        <v>147</v>
      </c>
      <c r="BG9" s="567" t="s">
        <v>147</v>
      </c>
      <c r="BH9" s="567" t="s">
        <v>136</v>
      </c>
      <c r="BI9" s="566" t="s">
        <v>148</v>
      </c>
      <c r="BJ9" s="566" t="s">
        <v>149</v>
      </c>
      <c r="BK9" s="566" t="s">
        <v>150</v>
      </c>
      <c r="BL9" s="566" t="s">
        <v>151</v>
      </c>
      <c r="BM9" s="1453" t="s">
        <v>11</v>
      </c>
      <c r="BN9" s="1454"/>
      <c r="BO9" s="569" t="s">
        <v>147</v>
      </c>
      <c r="BP9" s="566" t="s">
        <v>147</v>
      </c>
      <c r="BQ9" s="566" t="s">
        <v>152</v>
      </c>
      <c r="BR9" s="741"/>
      <c r="BS9" s="741"/>
    </row>
    <row r="10" spans="1:156" s="543" customFormat="1" ht="48">
      <c r="A10" s="546"/>
      <c r="B10" s="562"/>
      <c r="C10" s="557" t="s">
        <v>153</v>
      </c>
      <c r="D10" s="562" t="s">
        <v>154</v>
      </c>
      <c r="E10" s="562" t="s">
        <v>155</v>
      </c>
      <c r="F10" s="562" t="s">
        <v>155</v>
      </c>
      <c r="G10" s="562" t="s">
        <v>155</v>
      </c>
      <c r="H10" s="562" t="s">
        <v>3</v>
      </c>
      <c r="I10" s="547" t="s">
        <v>156</v>
      </c>
      <c r="J10" s="610" t="s">
        <v>157</v>
      </c>
      <c r="K10" s="607" t="s">
        <v>158</v>
      </c>
      <c r="L10" s="610" t="s">
        <v>159</v>
      </c>
      <c r="M10" s="611" t="s">
        <v>905</v>
      </c>
      <c r="N10" s="611" t="s">
        <v>901</v>
      </c>
      <c r="O10" s="611" t="s">
        <v>160</v>
      </c>
      <c r="P10" s="610" t="s">
        <v>159</v>
      </c>
      <c r="Q10" s="607" t="s">
        <v>161</v>
      </c>
      <c r="R10" s="610" t="s">
        <v>162</v>
      </c>
      <c r="S10" s="566" t="s">
        <v>163</v>
      </c>
      <c r="T10" s="566" t="s">
        <v>164</v>
      </c>
      <c r="U10" s="566"/>
      <c r="V10" s="1017" t="s">
        <v>165</v>
      </c>
      <c r="W10" s="615" t="s">
        <v>166</v>
      </c>
      <c r="X10" s="566" t="s">
        <v>167</v>
      </c>
      <c r="Y10" s="566" t="s">
        <v>167</v>
      </c>
      <c r="Z10" s="1459"/>
      <c r="AA10" s="566" t="s">
        <v>168</v>
      </c>
      <c r="AB10" s="568" t="s">
        <v>169</v>
      </c>
      <c r="AC10" s="568" t="s">
        <v>791</v>
      </c>
      <c r="AD10" s="568"/>
      <c r="AE10" s="547" t="s">
        <v>931</v>
      </c>
      <c r="AF10" s="566"/>
      <c r="AG10" s="1017" t="s">
        <v>170</v>
      </c>
      <c r="AH10" s="566"/>
      <c r="AI10" s="1056">
        <v>0.09</v>
      </c>
      <c r="AJ10" s="566"/>
      <c r="AK10" s="569" t="s">
        <v>17</v>
      </c>
      <c r="AL10" s="566"/>
      <c r="AM10" s="566" t="s">
        <v>171</v>
      </c>
      <c r="AN10" s="566" t="s">
        <v>172</v>
      </c>
      <c r="AO10" s="566" t="s">
        <v>173</v>
      </c>
      <c r="AP10" s="566" t="s">
        <v>174</v>
      </c>
      <c r="AQ10" s="560" t="s">
        <v>175</v>
      </c>
      <c r="AR10" s="560" t="s">
        <v>176</v>
      </c>
      <c r="AS10" s="1453" t="s">
        <v>177</v>
      </c>
      <c r="AT10" s="1454"/>
      <c r="AU10" s="1453" t="s">
        <v>132</v>
      </c>
      <c r="AV10" s="1454"/>
      <c r="AW10" s="1453" t="s">
        <v>72</v>
      </c>
      <c r="AX10" s="1454"/>
      <c r="AY10" s="1453" t="s">
        <v>178</v>
      </c>
      <c r="AZ10" s="1454"/>
      <c r="BA10" s="1296" t="s">
        <v>179</v>
      </c>
      <c r="BB10" s="1296" t="s">
        <v>740</v>
      </c>
      <c r="BC10" s="1296" t="s">
        <v>180</v>
      </c>
      <c r="BD10" s="567"/>
      <c r="BE10" s="567"/>
      <c r="BF10" s="567" t="s">
        <v>181</v>
      </c>
      <c r="BG10" s="567" t="s">
        <v>182</v>
      </c>
      <c r="BH10" s="567" t="s">
        <v>183</v>
      </c>
      <c r="BI10" s="566" t="s">
        <v>184</v>
      </c>
      <c r="BJ10" s="562" t="s">
        <v>185</v>
      </c>
      <c r="BK10" s="562"/>
      <c r="BL10" s="562"/>
      <c r="BM10" s="557"/>
      <c r="BN10" s="557"/>
      <c r="BO10" s="562" t="s">
        <v>186</v>
      </c>
      <c r="BP10" s="562" t="s">
        <v>187</v>
      </c>
      <c r="BQ10" s="562"/>
      <c r="BR10" s="547" t="s">
        <v>749</v>
      </c>
      <c r="BS10" s="547" t="s">
        <v>188</v>
      </c>
      <c r="BU10" s="1449" t="s">
        <v>180</v>
      </c>
      <c r="BV10" s="1449"/>
      <c r="BW10" s="1449"/>
      <c r="BX10" s="547" t="s">
        <v>189</v>
      </c>
    </row>
    <row r="11" spans="1:156" s="543" customFormat="1" ht="19.5" customHeight="1">
      <c r="A11" s="546"/>
      <c r="B11" s="570"/>
      <c r="C11" s="570"/>
      <c r="D11" s="570"/>
      <c r="E11" s="562" t="s">
        <v>190</v>
      </c>
      <c r="F11" s="562" t="s">
        <v>191</v>
      </c>
      <c r="G11" s="570" t="s">
        <v>192</v>
      </c>
      <c r="H11" s="570"/>
      <c r="I11" s="609" t="s">
        <v>144</v>
      </c>
      <c r="J11" s="570"/>
      <c r="K11" s="614"/>
      <c r="L11" s="570" t="s">
        <v>193</v>
      </c>
      <c r="M11" s="609" t="s">
        <v>790</v>
      </c>
      <c r="N11" s="609"/>
      <c r="O11" s="609" t="s">
        <v>194</v>
      </c>
      <c r="P11" s="570" t="s">
        <v>195</v>
      </c>
      <c r="Q11" s="614"/>
      <c r="R11" s="570" t="s">
        <v>193</v>
      </c>
      <c r="S11" s="571"/>
      <c r="T11" s="571"/>
      <c r="U11" s="571"/>
      <c r="V11" s="1018"/>
      <c r="W11" s="616" t="s">
        <v>10</v>
      </c>
      <c r="X11" s="572">
        <v>0.25</v>
      </c>
      <c r="Y11" s="572">
        <v>0.35</v>
      </c>
      <c r="Z11" s="1460"/>
      <c r="AA11" s="571"/>
      <c r="AB11" s="571"/>
      <c r="AC11" s="571"/>
      <c r="AD11" s="571"/>
      <c r="AE11" s="571"/>
      <c r="AF11" s="571"/>
      <c r="AG11" s="1018" t="s">
        <v>196</v>
      </c>
      <c r="AH11" s="571"/>
      <c r="AI11" s="571"/>
      <c r="AJ11" s="571"/>
      <c r="AK11" s="1298"/>
      <c r="AL11" s="571"/>
      <c r="AM11" s="571" t="s">
        <v>197</v>
      </c>
      <c r="AN11" s="573"/>
      <c r="AO11" s="571"/>
      <c r="AP11" s="570"/>
      <c r="AQ11" s="570"/>
      <c r="AR11" s="570"/>
      <c r="AS11" s="574" t="s">
        <v>175</v>
      </c>
      <c r="AT11" s="574" t="s">
        <v>198</v>
      </c>
      <c r="AU11" s="574" t="s">
        <v>175</v>
      </c>
      <c r="AV11" s="574" t="s">
        <v>176</v>
      </c>
      <c r="AW11" s="574" t="s">
        <v>175</v>
      </c>
      <c r="AX11" s="574" t="s">
        <v>147</v>
      </c>
      <c r="AY11" s="574" t="s">
        <v>175</v>
      </c>
      <c r="AZ11" s="574" t="s">
        <v>176</v>
      </c>
      <c r="BA11" s="571"/>
      <c r="BB11" s="571" t="s">
        <v>741</v>
      </c>
      <c r="BC11" s="571"/>
      <c r="BD11" s="575"/>
      <c r="BE11" s="575"/>
      <c r="BF11" s="575"/>
      <c r="BG11" s="575"/>
      <c r="BH11" s="575" t="s">
        <v>199</v>
      </c>
      <c r="BI11" s="571"/>
      <c r="BJ11" s="1227"/>
      <c r="BK11" s="571"/>
      <c r="BL11" s="571"/>
      <c r="BM11" s="571" t="s">
        <v>175</v>
      </c>
      <c r="BN11" s="571" t="s">
        <v>176</v>
      </c>
      <c r="BO11" s="571"/>
      <c r="BP11" s="571" t="s">
        <v>182</v>
      </c>
      <c r="BQ11" s="571"/>
      <c r="BR11" s="741" t="s">
        <v>750</v>
      </c>
      <c r="BS11" s="741"/>
    </row>
    <row r="12" spans="1:156" s="549" customFormat="1">
      <c r="A12" s="546" t="s">
        <v>200</v>
      </c>
      <c r="B12" s="1080">
        <v>1</v>
      </c>
      <c r="C12" s="1100" t="s">
        <v>201</v>
      </c>
      <c r="D12" s="1082">
        <v>10305226</v>
      </c>
      <c r="E12" s="1083">
        <v>27747</v>
      </c>
      <c r="F12" s="1084">
        <v>39114</v>
      </c>
      <c r="G12" s="1085"/>
      <c r="H12" s="1086" t="s">
        <v>202</v>
      </c>
      <c r="I12" s="1087" t="s">
        <v>71</v>
      </c>
      <c r="J12" s="554">
        <v>13000</v>
      </c>
      <c r="K12" s="577">
        <v>113</v>
      </c>
      <c r="L12" s="1081">
        <v>30</v>
      </c>
      <c r="M12" s="1081"/>
      <c r="N12" s="1081"/>
      <c r="O12" s="1157"/>
      <c r="P12" s="1081">
        <f t="shared" ref="P12:P50" si="0">+L12-M12-O12</f>
        <v>30</v>
      </c>
      <c r="Q12" s="549">
        <v>8</v>
      </c>
      <c r="R12" s="1081">
        <f>+P12*Q12</f>
        <v>240</v>
      </c>
      <c r="S12" s="1096">
        <f>+J12-AD12-U12</f>
        <v>13000</v>
      </c>
      <c r="T12" s="919">
        <f>K12</f>
        <v>113</v>
      </c>
      <c r="U12" s="827">
        <f>(J12)/30*N12</f>
        <v>0</v>
      </c>
      <c r="V12" s="1415">
        <f>+[1]Resumen!$D$17</f>
        <v>7240.2250805084759</v>
      </c>
      <c r="W12" s="576"/>
      <c r="X12" s="576">
        <f>H.E!L6</f>
        <v>0</v>
      </c>
      <c r="Y12" s="576">
        <f>H.E!M6</f>
        <v>0</v>
      </c>
      <c r="Z12" s="576">
        <f>H.E!N6</f>
        <v>0</v>
      </c>
      <c r="AA12" s="576"/>
      <c r="AB12" s="576"/>
      <c r="AC12" s="576"/>
      <c r="AD12" s="827">
        <f>(J12+K12)/30*O12</f>
        <v>0</v>
      </c>
      <c r="AE12" s="827"/>
      <c r="AF12" s="576"/>
      <c r="AG12" s="576"/>
      <c r="AH12" s="576"/>
      <c r="AI12" s="576"/>
      <c r="AJ12" s="576"/>
      <c r="AK12" s="1096"/>
      <c r="AL12" s="576"/>
      <c r="AM12" s="576"/>
      <c r="AO12" s="576">
        <f t="shared" ref="AO12:AO55" si="1">SUM(S12:AM12)-AN12</f>
        <v>20353.225080508477</v>
      </c>
      <c r="AP12" s="1072">
        <f>+AO12-AA12-AF12-AG12-AH12-AI12-AL12-AM12-AK12-BA12-BB12</f>
        <v>20353.225080508477</v>
      </c>
      <c r="AQ12" s="1088"/>
      <c r="AR12" s="576"/>
      <c r="AS12" s="1089">
        <v>0.1</v>
      </c>
      <c r="AT12" s="576">
        <f t="shared" ref="AT12:AT17" si="2">+AP12*AS12</f>
        <v>2035.3225080508478</v>
      </c>
      <c r="AU12" s="1089">
        <v>0</v>
      </c>
      <c r="AV12" s="576">
        <f>+AP12*AU12</f>
        <v>0</v>
      </c>
      <c r="AW12" s="1089">
        <v>1.37E-2</v>
      </c>
      <c r="AX12" s="1171">
        <f>12672.65*AW12</f>
        <v>173.61530500000001</v>
      </c>
      <c r="AY12" s="1089">
        <f t="shared" ref="AY12:AZ15" si="3">+AS12+AU12+AW12</f>
        <v>0.11370000000000001</v>
      </c>
      <c r="AZ12" s="576">
        <f t="shared" si="3"/>
        <v>2208.9378130508476</v>
      </c>
      <c r="BA12" s="576">
        <f>TARDANZA!K6</f>
        <v>0</v>
      </c>
      <c r="BB12" s="576">
        <f>TARDANZA!L6</f>
        <v>0</v>
      </c>
      <c r="BC12" s="832">
        <v>4600</v>
      </c>
      <c r="BD12" s="576"/>
      <c r="BE12" s="1157"/>
      <c r="BF12" s="1416">
        <f>+'SEGURO PACIFICO'!L30</f>
        <v>279.80508474576271</v>
      </c>
      <c r="BG12" s="576"/>
      <c r="BH12" s="576"/>
      <c r="BI12" s="576"/>
      <c r="BJ12" s="827">
        <f>'RTA 5TA VTAS'!D126</f>
        <v>5902.2157280426127</v>
      </c>
      <c r="BK12" s="827">
        <f>+AZ12+SUM(BA12:BJ12)+AR12</f>
        <v>12990.958625839223</v>
      </c>
      <c r="BL12" s="595">
        <f>(+AO12-BK12)</f>
        <v>7362.266454669254</v>
      </c>
      <c r="BM12" s="1088">
        <v>0.09</v>
      </c>
      <c r="BN12" s="576">
        <f t="shared" ref="BN12:BN37" si="4">AP12*BM12</f>
        <v>1831.7902572457629</v>
      </c>
      <c r="BO12" s="919">
        <v>47.24</v>
      </c>
      <c r="BP12" s="919"/>
      <c r="BQ12" s="1081" t="s">
        <v>203</v>
      </c>
      <c r="BU12" s="554">
        <f>BL12/2</f>
        <v>3681.133227334627</v>
      </c>
      <c r="BV12" s="832">
        <v>4600</v>
      </c>
      <c r="BW12" s="546" t="s">
        <v>203</v>
      </c>
      <c r="BZ12" s="554"/>
      <c r="CB12" s="920"/>
      <c r="CC12" s="1113"/>
    </row>
    <row r="13" spans="1:156" s="549" customFormat="1">
      <c r="A13" s="546" t="s">
        <v>204</v>
      </c>
      <c r="B13" s="1080">
        <f>+B12+1</f>
        <v>2</v>
      </c>
      <c r="C13" s="1100" t="s">
        <v>205</v>
      </c>
      <c r="D13" s="1090">
        <v>9594953</v>
      </c>
      <c r="E13" s="1091">
        <v>26364</v>
      </c>
      <c r="F13" s="1085">
        <v>41548</v>
      </c>
      <c r="G13" s="1085"/>
      <c r="H13" s="1086" t="s">
        <v>206</v>
      </c>
      <c r="I13" s="1087" t="s">
        <v>73</v>
      </c>
      <c r="J13" s="554">
        <v>6500</v>
      </c>
      <c r="K13" s="576">
        <v>113</v>
      </c>
      <c r="L13" s="1081">
        <v>30</v>
      </c>
      <c r="M13" s="1081"/>
      <c r="N13" s="1081"/>
      <c r="O13" s="1081"/>
      <c r="P13" s="1081">
        <f t="shared" si="0"/>
        <v>30</v>
      </c>
      <c r="Q13" s="549">
        <v>8</v>
      </c>
      <c r="R13" s="1081">
        <f>+P13*Q13</f>
        <v>240</v>
      </c>
      <c r="S13" s="1096">
        <f t="shared" ref="S13:S50" si="5">+J13-AD13-U13</f>
        <v>6500</v>
      </c>
      <c r="T13" s="919">
        <f t="shared" ref="T13:T50" si="6">K13</f>
        <v>113</v>
      </c>
      <c r="U13" s="827">
        <f t="shared" ref="U13:U56" si="7">(J13)/30*N13</f>
        <v>0</v>
      </c>
      <c r="V13" s="576"/>
      <c r="W13" s="576"/>
      <c r="X13" s="576">
        <f>H.E!L7</f>
        <v>0</v>
      </c>
      <c r="Y13" s="576">
        <f>H.E!M7</f>
        <v>0</v>
      </c>
      <c r="Z13" s="576">
        <f>H.E!N7</f>
        <v>0</v>
      </c>
      <c r="AA13" s="576">
        <f>100/19*17</f>
        <v>89.473684210526329</v>
      </c>
      <c r="AB13" s="576"/>
      <c r="AC13" s="576"/>
      <c r="AD13" s="827">
        <f t="shared" ref="AD13:AD55" si="8">(J13+K13)/30*O13</f>
        <v>0</v>
      </c>
      <c r="AE13" s="827"/>
      <c r="AF13" s="576"/>
      <c r="AG13" s="576"/>
      <c r="AH13" s="576"/>
      <c r="AI13" s="576"/>
      <c r="AJ13" s="576"/>
      <c r="AK13" s="1096"/>
      <c r="AL13" s="576"/>
      <c r="AM13" s="576"/>
      <c r="AN13" s="576"/>
      <c r="AO13" s="576">
        <f t="shared" si="1"/>
        <v>6702.4736842105267</v>
      </c>
      <c r="AP13" s="1072">
        <f t="shared" ref="AP13:AP55" si="9">+AO13-AA13-AF13-AG13-AH13-AI13-AL13-AM13-AK13-BA13-BB13</f>
        <v>6613</v>
      </c>
      <c r="AQ13" s="1088"/>
      <c r="AR13" s="576"/>
      <c r="AS13" s="1089">
        <v>0.1</v>
      </c>
      <c r="AT13" s="576">
        <f t="shared" si="2"/>
        <v>661.30000000000007</v>
      </c>
      <c r="AU13" s="1089">
        <v>0</v>
      </c>
      <c r="AV13" s="576">
        <f>+AP13*AU13</f>
        <v>0</v>
      </c>
      <c r="AW13" s="1089">
        <v>1.37E-2</v>
      </c>
      <c r="AX13" s="576">
        <f>+AP13*AW13</f>
        <v>90.598100000000002</v>
      </c>
      <c r="AY13" s="1089">
        <f t="shared" si="3"/>
        <v>0.11370000000000001</v>
      </c>
      <c r="AZ13" s="576">
        <f t="shared" si="3"/>
        <v>751.89810000000011</v>
      </c>
      <c r="BA13" s="576">
        <f>TARDANZA!K7</f>
        <v>0</v>
      </c>
      <c r="BB13" s="576">
        <f>TARDANZA!L7</f>
        <v>0</v>
      </c>
      <c r="BC13" s="832">
        <v>2700</v>
      </c>
      <c r="BD13" s="576"/>
      <c r="BE13" s="1081"/>
      <c r="BF13" s="1416">
        <f>+'SEGURO PACIFICO'!L31</f>
        <v>238.02118644067798</v>
      </c>
      <c r="BG13" s="576"/>
      <c r="BH13" s="576"/>
      <c r="BI13" s="576"/>
      <c r="BJ13" s="827">
        <f>'RTA 5TA'!D118</f>
        <v>530.03031630681812</v>
      </c>
      <c r="BK13" s="827">
        <f t="shared" ref="BK13:BK45" si="10">+AZ13+SUM(BA13:BJ13)+AR13</f>
        <v>4219.9496027474961</v>
      </c>
      <c r="BL13" s="595">
        <f t="shared" ref="BL13:BL43" si="11">(+AO13-BK13)</f>
        <v>2482.5240814630306</v>
      </c>
      <c r="BM13" s="1088">
        <v>0.09</v>
      </c>
      <c r="BN13" s="576">
        <f t="shared" si="4"/>
        <v>595.16999999999996</v>
      </c>
      <c r="BO13" s="919">
        <v>23.840699999999998</v>
      </c>
      <c r="BP13" s="919"/>
      <c r="BQ13" s="1092" t="s">
        <v>203</v>
      </c>
      <c r="BR13" s="1055"/>
      <c r="BS13" s="1055"/>
      <c r="BU13" s="554">
        <f>BL13/2</f>
        <v>1241.2620407315153</v>
      </c>
      <c r="BV13" s="832">
        <v>2700</v>
      </c>
      <c r="BW13" s="546" t="s">
        <v>203</v>
      </c>
      <c r="CB13" s="920"/>
      <c r="CC13" s="1113"/>
    </row>
    <row r="14" spans="1:156" s="549" customFormat="1">
      <c r="A14" s="546" t="s">
        <v>207</v>
      </c>
      <c r="B14" s="1080">
        <f t="shared" ref="B14:B24" si="12">+B13+1</f>
        <v>3</v>
      </c>
      <c r="C14" s="1100" t="s">
        <v>208</v>
      </c>
      <c r="D14" s="1082" t="s">
        <v>309</v>
      </c>
      <c r="E14" s="1091">
        <v>33029</v>
      </c>
      <c r="F14" s="1085">
        <v>42327</v>
      </c>
      <c r="G14" s="1085"/>
      <c r="H14" s="1086" t="s">
        <v>209</v>
      </c>
      <c r="I14" s="1087" t="s">
        <v>71</v>
      </c>
      <c r="J14" s="554">
        <v>4000</v>
      </c>
      <c r="K14" s="576">
        <v>113</v>
      </c>
      <c r="L14" s="1081">
        <v>30</v>
      </c>
      <c r="M14" s="1081"/>
      <c r="N14" s="1081"/>
      <c r="O14" s="1081"/>
      <c r="P14" s="1081">
        <f t="shared" si="0"/>
        <v>30</v>
      </c>
      <c r="Q14" s="549">
        <v>8</v>
      </c>
      <c r="R14" s="1081">
        <f t="shared" ref="R14:R37" si="13">+P14*Q14</f>
        <v>240</v>
      </c>
      <c r="S14" s="1096">
        <f t="shared" si="5"/>
        <v>4000</v>
      </c>
      <c r="T14" s="919">
        <f t="shared" si="6"/>
        <v>113</v>
      </c>
      <c r="U14" s="827">
        <f t="shared" si="7"/>
        <v>0</v>
      </c>
      <c r="V14" s="576"/>
      <c r="W14" s="576"/>
      <c r="X14" s="576">
        <f>H.E!L8</f>
        <v>0</v>
      </c>
      <c r="Y14" s="576">
        <f>H.E!M8</f>
        <v>0</v>
      </c>
      <c r="Z14" s="576">
        <f>H.E!N8</f>
        <v>0</v>
      </c>
      <c r="AA14" s="576">
        <f>100/19*17</f>
        <v>89.473684210526329</v>
      </c>
      <c r="AB14" s="576"/>
      <c r="AC14" s="576"/>
      <c r="AD14" s="827">
        <f t="shared" si="8"/>
        <v>0</v>
      </c>
      <c r="AE14" s="827"/>
      <c r="AF14" s="576"/>
      <c r="AG14" s="576"/>
      <c r="AH14" s="576"/>
      <c r="AI14" s="576"/>
      <c r="AJ14" s="576"/>
      <c r="AK14" s="1096"/>
      <c r="AL14" s="576"/>
      <c r="AM14" s="576"/>
      <c r="AN14" s="576"/>
      <c r="AO14" s="576">
        <f t="shared" si="1"/>
        <v>4202.4736842105267</v>
      </c>
      <c r="AP14" s="1072">
        <f t="shared" si="9"/>
        <v>4030.74</v>
      </c>
      <c r="AQ14" s="1088"/>
      <c r="AR14" s="576"/>
      <c r="AS14" s="1089">
        <v>0.1</v>
      </c>
      <c r="AT14" s="1093">
        <f t="shared" si="2"/>
        <v>403.07400000000001</v>
      </c>
      <c r="AU14" s="1089">
        <v>1.55E-2</v>
      </c>
      <c r="AV14" s="576">
        <f>+AP14*AU14</f>
        <v>62.476469999999999</v>
      </c>
      <c r="AW14" s="1089">
        <v>1.37E-2</v>
      </c>
      <c r="AX14" s="576">
        <f>+AP14*AW14</f>
        <v>55.221137999999996</v>
      </c>
      <c r="AY14" s="1089">
        <f t="shared" si="3"/>
        <v>0.12920000000000001</v>
      </c>
      <c r="AZ14" s="576">
        <f t="shared" si="3"/>
        <v>520.77160800000001</v>
      </c>
      <c r="BA14" s="576">
        <f>TARDANZA!K8</f>
        <v>0</v>
      </c>
      <c r="BB14" s="576">
        <f>TARDANZA!L8</f>
        <v>82.259999999999991</v>
      </c>
      <c r="BC14" s="832">
        <v>1720</v>
      </c>
      <c r="BD14" s="576"/>
      <c r="BE14" s="1081"/>
      <c r="BF14" s="1416"/>
      <c r="BG14" s="576"/>
      <c r="BH14" s="576"/>
      <c r="BI14" s="576"/>
      <c r="BJ14" s="827">
        <f>'RTA 5TA'!H118</f>
        <v>160.75494242424239</v>
      </c>
      <c r="BK14" s="827">
        <f t="shared" si="10"/>
        <v>2483.7865504242427</v>
      </c>
      <c r="BL14" s="595">
        <f t="shared" si="11"/>
        <v>1718.687133786284</v>
      </c>
      <c r="BM14" s="1088">
        <v>0.09</v>
      </c>
      <c r="BN14" s="576">
        <f t="shared" si="4"/>
        <v>362.76659999999998</v>
      </c>
      <c r="BO14" s="919">
        <v>6.17</v>
      </c>
      <c r="BP14" s="919"/>
      <c r="BQ14" s="1092" t="s">
        <v>210</v>
      </c>
      <c r="BR14" s="1170"/>
      <c r="BS14" s="1113"/>
      <c r="BU14" s="554">
        <f>BL14/2</f>
        <v>859.343566893142</v>
      </c>
      <c r="BV14" s="832">
        <v>1720</v>
      </c>
      <c r="BW14" s="546" t="s">
        <v>210</v>
      </c>
      <c r="BZ14" s="1094"/>
      <c r="CA14" s="1095"/>
      <c r="CB14" s="1176"/>
      <c r="CC14" s="1113"/>
    </row>
    <row r="15" spans="1:156" s="549" customFormat="1">
      <c r="A15" s="546" t="s">
        <v>207</v>
      </c>
      <c r="B15" s="1080">
        <f t="shared" si="12"/>
        <v>4</v>
      </c>
      <c r="C15" s="1100" t="s">
        <v>211</v>
      </c>
      <c r="D15" s="1090">
        <v>41675364</v>
      </c>
      <c r="E15" s="1091">
        <v>29556</v>
      </c>
      <c r="F15" s="1085">
        <v>42513</v>
      </c>
      <c r="G15" s="1085"/>
      <c r="H15" s="1086" t="s">
        <v>212</v>
      </c>
      <c r="I15" s="1087" t="s">
        <v>72</v>
      </c>
      <c r="J15" s="554">
        <v>4000</v>
      </c>
      <c r="K15" s="576">
        <v>113</v>
      </c>
      <c r="L15" s="1081">
        <v>30</v>
      </c>
      <c r="M15" s="1081"/>
      <c r="N15" s="1081"/>
      <c r="O15" s="1081">
        <v>1</v>
      </c>
      <c r="P15" s="1081">
        <f t="shared" si="0"/>
        <v>29</v>
      </c>
      <c r="Q15" s="549">
        <v>8</v>
      </c>
      <c r="R15" s="1081">
        <f t="shared" si="13"/>
        <v>232</v>
      </c>
      <c r="S15" s="1096">
        <f>+J15-AD15-U15</f>
        <v>3862.9</v>
      </c>
      <c r="T15" s="919">
        <f t="shared" si="6"/>
        <v>113</v>
      </c>
      <c r="U15" s="827">
        <f t="shared" si="7"/>
        <v>0</v>
      </c>
      <c r="V15" s="576"/>
      <c r="W15" s="1096"/>
      <c r="X15" s="576">
        <f>H.E!L9</f>
        <v>0</v>
      </c>
      <c r="Y15" s="576">
        <f>H.E!M9</f>
        <v>0</v>
      </c>
      <c r="Z15" s="576">
        <f>H.E!N9</f>
        <v>0</v>
      </c>
      <c r="AA15" s="576">
        <f>100/19*17</f>
        <v>89.473684210526329</v>
      </c>
      <c r="AB15" s="576"/>
      <c r="AC15" s="576"/>
      <c r="AD15" s="827">
        <f t="shared" si="8"/>
        <v>137.1</v>
      </c>
      <c r="AE15" s="827"/>
      <c r="AF15" s="576"/>
      <c r="AG15" s="576"/>
      <c r="AH15" s="576"/>
      <c r="AI15" s="576"/>
      <c r="AJ15" s="576"/>
      <c r="AK15" s="1096"/>
      <c r="AL15" s="576"/>
      <c r="AM15" s="1077"/>
      <c r="AN15" s="1093"/>
      <c r="AO15" s="576">
        <f t="shared" si="1"/>
        <v>4202.4736842105267</v>
      </c>
      <c r="AP15" s="1072">
        <f t="shared" si="9"/>
        <v>4113</v>
      </c>
      <c r="AQ15" s="1097"/>
      <c r="AR15" s="576"/>
      <c r="AS15" s="1089">
        <v>0.1</v>
      </c>
      <c r="AT15" s="1093">
        <f t="shared" si="2"/>
        <v>411.3</v>
      </c>
      <c r="AU15" s="1089">
        <v>1.6E-2</v>
      </c>
      <c r="AV15" s="576">
        <f>+AP15*AU15</f>
        <v>65.808000000000007</v>
      </c>
      <c r="AW15" s="1089">
        <v>1.37E-2</v>
      </c>
      <c r="AX15" s="576">
        <f>+AP15*AW15</f>
        <v>56.348100000000002</v>
      </c>
      <c r="AY15" s="1089">
        <f t="shared" si="3"/>
        <v>0.12970000000000001</v>
      </c>
      <c r="AZ15" s="576">
        <f t="shared" si="3"/>
        <v>533.45609999999999</v>
      </c>
      <c r="BA15" s="576">
        <f>TARDANZA!K9</f>
        <v>0</v>
      </c>
      <c r="BB15" s="576">
        <f>TARDANZA!L9</f>
        <v>0</v>
      </c>
      <c r="BC15" s="956">
        <v>1730</v>
      </c>
      <c r="BD15" s="576"/>
      <c r="BE15" s="1081"/>
      <c r="BF15" s="1416"/>
      <c r="BG15" s="576"/>
      <c r="BH15" s="576"/>
      <c r="BI15" s="576"/>
      <c r="BJ15" s="827">
        <f>'RTA 5TA'!E118</f>
        <v>140.09304659090901</v>
      </c>
      <c r="BK15" s="827">
        <f t="shared" si="10"/>
        <v>2403.549146590909</v>
      </c>
      <c r="BL15" s="595">
        <f t="shared" si="11"/>
        <v>1798.9245376196177</v>
      </c>
      <c r="BM15" s="1088">
        <v>0.09</v>
      </c>
      <c r="BN15" s="576">
        <f t="shared" si="4"/>
        <v>370.16999999999996</v>
      </c>
      <c r="BO15" s="919">
        <v>16.040700000000001</v>
      </c>
      <c r="BP15" s="919"/>
      <c r="BQ15" s="1081" t="s">
        <v>210</v>
      </c>
      <c r="BT15" s="543"/>
      <c r="BU15" s="554">
        <f>BL15/2</f>
        <v>899.46226880980885</v>
      </c>
      <c r="BV15" s="956">
        <v>1730</v>
      </c>
      <c r="BW15" s="546" t="s">
        <v>210</v>
      </c>
      <c r="BX15" s="543"/>
      <c r="BY15" s="543"/>
      <c r="BZ15" s="543"/>
      <c r="CA15" s="543"/>
      <c r="CB15" s="1177"/>
      <c r="CC15" s="1113"/>
      <c r="CD15" s="543"/>
      <c r="CE15" s="543"/>
      <c r="CF15" s="543"/>
      <c r="CG15" s="543"/>
      <c r="CH15" s="543"/>
      <c r="CI15" s="543"/>
      <c r="CJ15" s="543"/>
      <c r="CK15" s="543"/>
      <c r="CL15" s="543"/>
      <c r="CM15" s="543"/>
      <c r="CN15" s="543"/>
      <c r="CO15" s="543"/>
      <c r="CP15" s="543"/>
      <c r="CQ15" s="543"/>
      <c r="CR15" s="543"/>
      <c r="CS15" s="543"/>
      <c r="CT15" s="543"/>
      <c r="CU15" s="543"/>
      <c r="CV15" s="543"/>
      <c r="CW15" s="543"/>
      <c r="CX15" s="543"/>
      <c r="CY15" s="543"/>
      <c r="CZ15" s="543"/>
      <c r="DA15" s="543"/>
      <c r="DB15" s="543"/>
      <c r="DC15" s="543"/>
      <c r="DD15" s="543"/>
      <c r="DE15" s="543"/>
      <c r="DF15" s="543"/>
      <c r="DG15" s="543"/>
      <c r="DH15" s="543"/>
      <c r="DI15" s="543"/>
      <c r="DJ15" s="543"/>
      <c r="DK15" s="543"/>
      <c r="DL15" s="543"/>
      <c r="DM15" s="543"/>
      <c r="DN15" s="543"/>
      <c r="DO15" s="543"/>
      <c r="DP15" s="543"/>
      <c r="DQ15" s="543"/>
      <c r="DR15" s="543"/>
      <c r="DS15" s="543"/>
      <c r="DT15" s="543"/>
      <c r="DU15" s="543"/>
      <c r="DV15" s="543"/>
      <c r="DW15" s="543"/>
      <c r="DX15" s="543"/>
      <c r="DY15" s="543"/>
      <c r="DZ15" s="543"/>
      <c r="EA15" s="543"/>
      <c r="EB15" s="543"/>
      <c r="EC15" s="543"/>
      <c r="ED15" s="543"/>
      <c r="EE15" s="543"/>
      <c r="EF15" s="543"/>
      <c r="EG15" s="543"/>
      <c r="EH15" s="543"/>
      <c r="EI15" s="543"/>
      <c r="EJ15" s="543"/>
      <c r="EK15" s="543"/>
      <c r="EL15" s="543"/>
      <c r="EM15" s="543"/>
      <c r="EN15" s="543"/>
      <c r="EO15" s="543"/>
      <c r="EP15" s="543"/>
      <c r="EQ15" s="543"/>
      <c r="ER15" s="543"/>
      <c r="ES15" s="543"/>
      <c r="ET15" s="543"/>
      <c r="EU15" s="543"/>
      <c r="EV15" s="543"/>
      <c r="EW15" s="543"/>
      <c r="EX15" s="543"/>
      <c r="EY15" s="543"/>
      <c r="EZ15" s="543"/>
    </row>
    <row r="16" spans="1:156" s="549" customFormat="1">
      <c r="A16" s="546" t="s">
        <v>213</v>
      </c>
      <c r="B16" s="1080">
        <f t="shared" si="12"/>
        <v>5</v>
      </c>
      <c r="C16" s="1100" t="s">
        <v>214</v>
      </c>
      <c r="D16" s="1090">
        <v>44425022</v>
      </c>
      <c r="E16" s="1091">
        <v>31996</v>
      </c>
      <c r="F16" s="1085">
        <v>42917</v>
      </c>
      <c r="G16" s="1085"/>
      <c r="H16" s="1086" t="s">
        <v>215</v>
      </c>
      <c r="I16" s="1087" t="s">
        <v>71</v>
      </c>
      <c r="J16" s="554">
        <v>3600</v>
      </c>
      <c r="K16" s="576"/>
      <c r="L16" s="1081">
        <v>30</v>
      </c>
      <c r="M16" s="1081"/>
      <c r="N16" s="1081"/>
      <c r="O16" s="580"/>
      <c r="P16" s="1081">
        <f t="shared" si="0"/>
        <v>30</v>
      </c>
      <c r="Q16" s="549">
        <v>8</v>
      </c>
      <c r="R16" s="1081">
        <f t="shared" si="13"/>
        <v>240</v>
      </c>
      <c r="S16" s="1096">
        <f>+J16-AD16-U16</f>
        <v>3600</v>
      </c>
      <c r="T16" s="919">
        <f t="shared" si="6"/>
        <v>0</v>
      </c>
      <c r="U16" s="827">
        <f t="shared" si="7"/>
        <v>0</v>
      </c>
      <c r="V16" s="576"/>
      <c r="W16" s="1096"/>
      <c r="X16" s="576">
        <f>H.E!L10</f>
        <v>0</v>
      </c>
      <c r="Y16" s="576">
        <f>H.E!M10</f>
        <v>0</v>
      </c>
      <c r="Z16" s="576">
        <f>H.E!N10</f>
        <v>0</v>
      </c>
      <c r="AA16" s="576">
        <f>100/19*17</f>
        <v>89.473684210526329</v>
      </c>
      <c r="AB16" s="576"/>
      <c r="AC16" s="576"/>
      <c r="AD16" s="827">
        <f t="shared" si="8"/>
        <v>0</v>
      </c>
      <c r="AE16" s="827"/>
      <c r="AF16" s="576"/>
      <c r="AG16" s="576"/>
      <c r="AH16" s="576"/>
      <c r="AI16" s="576"/>
      <c r="AJ16" s="1077">
        <v>640</v>
      </c>
      <c r="AK16" s="1096"/>
      <c r="AL16" s="576"/>
      <c r="AM16" s="1077"/>
      <c r="AN16" s="1093"/>
      <c r="AO16" s="576">
        <f t="shared" si="1"/>
        <v>4329.4736842105267</v>
      </c>
      <c r="AP16" s="1072">
        <f t="shared" si="9"/>
        <v>4159</v>
      </c>
      <c r="AQ16" s="1097"/>
      <c r="AR16" s="576"/>
      <c r="AS16" s="1089">
        <v>0.1</v>
      </c>
      <c r="AT16" s="1093">
        <f t="shared" si="2"/>
        <v>415.90000000000003</v>
      </c>
      <c r="AU16" s="1089">
        <v>1.55E-2</v>
      </c>
      <c r="AV16" s="576">
        <f t="shared" ref="AV16:AV17" si="14">+AP16*AU16</f>
        <v>64.464500000000001</v>
      </c>
      <c r="AW16" s="1089">
        <v>1.37E-2</v>
      </c>
      <c r="AX16" s="576">
        <f t="shared" ref="AX16:AX17" si="15">+AP16*AW16</f>
        <v>56.978300000000004</v>
      </c>
      <c r="AY16" s="1089">
        <f t="shared" ref="AY16:AY17" si="16">+AS16+AU16+AW16</f>
        <v>0.12920000000000001</v>
      </c>
      <c r="AZ16" s="576">
        <f>+AT16+AV16+AX16</f>
        <v>537.34280000000001</v>
      </c>
      <c r="BA16" s="576">
        <f>TARDANZA!K10</f>
        <v>0</v>
      </c>
      <c r="BB16" s="576">
        <f>TARDANZA!L10</f>
        <v>81</v>
      </c>
      <c r="BC16" s="832">
        <v>1500</v>
      </c>
      <c r="BD16" s="576"/>
      <c r="BE16" s="1081"/>
      <c r="BF16" s="1416">
        <f>+'SEGURO PACIFICO'!L32</f>
        <v>148.9406779661017</v>
      </c>
      <c r="BG16" s="576"/>
      <c r="BH16" s="576"/>
      <c r="BI16" s="576"/>
      <c r="BJ16" s="827">
        <f>'RTA 5TA'!F118</f>
        <v>149.81426970588524</v>
      </c>
      <c r="BK16" s="827">
        <f t="shared" si="10"/>
        <v>2417.0977476719868</v>
      </c>
      <c r="BL16" s="595">
        <f>(+AO16-BK16)</f>
        <v>1912.3759365385399</v>
      </c>
      <c r="BM16" s="1088">
        <v>0.09</v>
      </c>
      <c r="BN16" s="576">
        <f t="shared" si="4"/>
        <v>374.31</v>
      </c>
      <c r="BO16" s="919">
        <v>13.103999999999999</v>
      </c>
      <c r="BP16" s="919"/>
      <c r="BQ16" s="1092" t="s">
        <v>203</v>
      </c>
      <c r="BR16" s="1055"/>
      <c r="BS16" s="1055"/>
      <c r="BT16" s="543"/>
      <c r="BU16" s="554">
        <f>BL16/2</f>
        <v>956.18796826926996</v>
      </c>
      <c r="BV16" s="832">
        <v>1500</v>
      </c>
      <c r="BW16" s="546" t="s">
        <v>203</v>
      </c>
      <c r="BX16" s="543"/>
      <c r="BY16" s="543"/>
      <c r="BZ16" s="543"/>
      <c r="CA16" s="543"/>
      <c r="CB16" s="1177"/>
      <c r="CC16" s="1113"/>
      <c r="CD16" s="543"/>
      <c r="CE16" s="543"/>
      <c r="CF16" s="543"/>
      <c r="CG16" s="543"/>
      <c r="CH16" s="543"/>
      <c r="CI16" s="543"/>
      <c r="CJ16" s="543"/>
      <c r="CK16" s="543"/>
      <c r="CL16" s="543"/>
      <c r="CM16" s="543"/>
      <c r="CN16" s="543"/>
      <c r="CO16" s="543"/>
      <c r="CP16" s="543"/>
      <c r="CQ16" s="543"/>
      <c r="CR16" s="543"/>
      <c r="CS16" s="543"/>
      <c r="CT16" s="543"/>
      <c r="CU16" s="543"/>
      <c r="CV16" s="543"/>
      <c r="CW16" s="543"/>
      <c r="CX16" s="543"/>
      <c r="CY16" s="543"/>
      <c r="CZ16" s="543"/>
      <c r="DA16" s="543"/>
      <c r="DB16" s="543"/>
      <c r="DC16" s="543"/>
      <c r="DD16" s="543"/>
      <c r="DE16" s="543"/>
      <c r="DF16" s="543"/>
      <c r="DG16" s="543"/>
      <c r="DH16" s="543"/>
      <c r="DI16" s="543"/>
      <c r="DJ16" s="543"/>
      <c r="DK16" s="543"/>
      <c r="DL16" s="543"/>
      <c r="DM16" s="543"/>
      <c r="DN16" s="543"/>
      <c r="DO16" s="543"/>
      <c r="DP16" s="543"/>
      <c r="DQ16" s="543"/>
      <c r="DR16" s="543"/>
      <c r="DS16" s="543"/>
      <c r="DT16" s="543"/>
      <c r="DU16" s="543"/>
      <c r="DV16" s="543"/>
      <c r="DW16" s="543"/>
      <c r="DX16" s="543"/>
      <c r="DY16" s="543"/>
      <c r="DZ16" s="543"/>
      <c r="EA16" s="543"/>
      <c r="EB16" s="543"/>
      <c r="EC16" s="543"/>
      <c r="ED16" s="543"/>
      <c r="EE16" s="543"/>
      <c r="EF16" s="543"/>
      <c r="EG16" s="543"/>
      <c r="EH16" s="543"/>
      <c r="EI16" s="543"/>
      <c r="EJ16" s="543"/>
      <c r="EK16" s="543"/>
      <c r="EL16" s="543"/>
      <c r="EM16" s="543"/>
      <c r="EN16" s="543"/>
      <c r="EO16" s="543"/>
      <c r="EP16" s="543"/>
      <c r="EQ16" s="543"/>
      <c r="ER16" s="543"/>
      <c r="ES16" s="543"/>
      <c r="ET16" s="543"/>
      <c r="EU16" s="543"/>
      <c r="EV16" s="543"/>
      <c r="EW16" s="543"/>
      <c r="EX16" s="543"/>
      <c r="EY16" s="543"/>
      <c r="EZ16" s="543"/>
    </row>
    <row r="17" spans="1:156" s="549" customFormat="1" ht="12.75" customHeight="1">
      <c r="A17" s="546" t="s">
        <v>216</v>
      </c>
      <c r="B17" s="1080">
        <f t="shared" si="12"/>
        <v>6</v>
      </c>
      <c r="C17" s="1081" t="s">
        <v>217</v>
      </c>
      <c r="D17" s="1090">
        <v>43172155</v>
      </c>
      <c r="E17" s="1091">
        <v>31249</v>
      </c>
      <c r="F17" s="1085">
        <v>42948</v>
      </c>
      <c r="G17" s="1085"/>
      <c r="H17" s="1086" t="s">
        <v>218</v>
      </c>
      <c r="I17" s="1087" t="s">
        <v>71</v>
      </c>
      <c r="J17" s="554">
        <v>6500</v>
      </c>
      <c r="K17" s="576">
        <v>113</v>
      </c>
      <c r="L17" s="1081">
        <v>30</v>
      </c>
      <c r="M17" s="1081"/>
      <c r="N17" s="1081"/>
      <c r="O17" s="1081"/>
      <c r="P17" s="1081">
        <f t="shared" si="0"/>
        <v>30</v>
      </c>
      <c r="Q17" s="549">
        <v>8</v>
      </c>
      <c r="R17" s="1081">
        <f t="shared" si="13"/>
        <v>240</v>
      </c>
      <c r="S17" s="1096">
        <f t="shared" si="5"/>
        <v>6500</v>
      </c>
      <c r="T17" s="919">
        <f t="shared" si="6"/>
        <v>113</v>
      </c>
      <c r="U17" s="827">
        <f t="shared" si="7"/>
        <v>0</v>
      </c>
      <c r="V17" s="576"/>
      <c r="W17" s="1096"/>
      <c r="X17" s="576">
        <f>H.E!L11</f>
        <v>0</v>
      </c>
      <c r="Y17" s="576">
        <f>H.E!M11</f>
        <v>0</v>
      </c>
      <c r="Z17" s="576">
        <f>H.E!N11</f>
        <v>0</v>
      </c>
      <c r="AA17" s="576"/>
      <c r="AB17" s="576"/>
      <c r="AC17" s="576"/>
      <c r="AD17" s="827">
        <f t="shared" si="8"/>
        <v>0</v>
      </c>
      <c r="AE17" s="827"/>
      <c r="AF17" s="576"/>
      <c r="AG17" s="576"/>
      <c r="AH17" s="576"/>
      <c r="AI17" s="576"/>
      <c r="AJ17" s="1077"/>
      <c r="AK17" s="1096"/>
      <c r="AL17" s="576"/>
      <c r="AM17" s="1077"/>
      <c r="AN17" s="1093"/>
      <c r="AO17" s="576">
        <f t="shared" si="1"/>
        <v>6613</v>
      </c>
      <c r="AP17" s="1072">
        <f t="shared" si="9"/>
        <v>6613</v>
      </c>
      <c r="AQ17" s="1097"/>
      <c r="AR17" s="576"/>
      <c r="AS17" s="1089">
        <v>0.1</v>
      </c>
      <c r="AT17" s="1093">
        <f t="shared" si="2"/>
        <v>661.30000000000007</v>
      </c>
      <c r="AU17" s="1089">
        <v>1.55E-2</v>
      </c>
      <c r="AV17" s="576">
        <f t="shared" si="14"/>
        <v>102.50149999999999</v>
      </c>
      <c r="AW17" s="1089">
        <v>1.37E-2</v>
      </c>
      <c r="AX17" s="576">
        <f t="shared" si="15"/>
        <v>90.598100000000002</v>
      </c>
      <c r="AY17" s="1089">
        <f t="shared" si="16"/>
        <v>0.12920000000000001</v>
      </c>
      <c r="AZ17" s="576">
        <f>+AT17+AV17+AX17</f>
        <v>854.39960000000008</v>
      </c>
      <c r="BA17" s="576">
        <f>TARDANZA!K11</f>
        <v>0</v>
      </c>
      <c r="BB17" s="576">
        <f>TARDANZA!L11</f>
        <v>0</v>
      </c>
      <c r="BC17" s="832">
        <v>2400</v>
      </c>
      <c r="BD17" s="576"/>
      <c r="BE17" s="1081"/>
      <c r="BF17" s="1416">
        <f>+'SEGURO PACIFICO'!L33+405.39</f>
        <v>664.72898305084743</v>
      </c>
      <c r="BG17" s="576"/>
      <c r="BH17" s="576"/>
      <c r="BI17" s="576"/>
      <c r="BJ17" s="827">
        <f>'RTA 5TA'!G118</f>
        <v>1341.438825</v>
      </c>
      <c r="BK17" s="827">
        <f t="shared" si="10"/>
        <v>5260.567408050847</v>
      </c>
      <c r="BL17" s="595">
        <f>(+AO17-BK17)</f>
        <v>1352.432591949153</v>
      </c>
      <c r="BM17" s="1088">
        <v>0.09</v>
      </c>
      <c r="BN17" s="576">
        <f t="shared" si="4"/>
        <v>595.16999999999996</v>
      </c>
      <c r="BO17" s="919">
        <v>23.840699999999998</v>
      </c>
      <c r="BP17" s="919"/>
      <c r="BQ17" s="1092" t="s">
        <v>203</v>
      </c>
      <c r="BR17" s="1055"/>
      <c r="BS17" s="1055"/>
      <c r="BT17" s="543"/>
      <c r="BU17" s="554">
        <f t="shared" ref="BU17:BU51" si="17">BL17/2</f>
        <v>676.2162959745765</v>
      </c>
      <c r="BV17" s="832">
        <v>2400</v>
      </c>
      <c r="BW17" s="546" t="s">
        <v>203</v>
      </c>
      <c r="BX17" s="543"/>
      <c r="BY17" s="543"/>
      <c r="BZ17" s="543"/>
      <c r="CA17" s="543"/>
      <c r="CB17" s="1177"/>
      <c r="CC17" s="1113"/>
      <c r="CD17" s="543"/>
      <c r="CE17" s="543"/>
      <c r="CF17" s="543"/>
      <c r="CG17" s="543"/>
      <c r="CH17" s="543"/>
      <c r="CI17" s="543"/>
      <c r="CJ17" s="543"/>
      <c r="CK17" s="543"/>
      <c r="CL17" s="543"/>
      <c r="CM17" s="543"/>
      <c r="CN17" s="543"/>
      <c r="CO17" s="543"/>
      <c r="CP17" s="543"/>
      <c r="CQ17" s="543"/>
      <c r="CR17" s="543"/>
      <c r="CS17" s="543"/>
      <c r="CT17" s="543"/>
      <c r="CU17" s="543"/>
      <c r="CV17" s="543"/>
      <c r="CW17" s="543"/>
      <c r="CX17" s="543"/>
      <c r="CY17" s="543"/>
      <c r="CZ17" s="543"/>
      <c r="DA17" s="543"/>
      <c r="DB17" s="543"/>
      <c r="DC17" s="543"/>
      <c r="DD17" s="543"/>
      <c r="DE17" s="543"/>
      <c r="DF17" s="543"/>
      <c r="DG17" s="543"/>
      <c r="DH17" s="543"/>
      <c r="DI17" s="543"/>
      <c r="DJ17" s="543"/>
      <c r="DK17" s="543"/>
      <c r="DL17" s="543"/>
      <c r="DM17" s="543"/>
      <c r="DN17" s="543"/>
      <c r="DO17" s="543"/>
      <c r="DP17" s="543"/>
      <c r="DQ17" s="543"/>
      <c r="DR17" s="543"/>
      <c r="DS17" s="543"/>
      <c r="DT17" s="543"/>
      <c r="DU17" s="543"/>
      <c r="DV17" s="543"/>
      <c r="DW17" s="543"/>
      <c r="DX17" s="543"/>
      <c r="DY17" s="543"/>
      <c r="DZ17" s="543"/>
      <c r="EA17" s="543"/>
      <c r="EB17" s="543"/>
      <c r="EC17" s="543"/>
      <c r="ED17" s="543"/>
      <c r="EE17" s="543"/>
      <c r="EF17" s="543"/>
      <c r="EG17" s="543"/>
      <c r="EH17" s="543"/>
      <c r="EI17" s="543"/>
      <c r="EJ17" s="543"/>
      <c r="EK17" s="543"/>
      <c r="EL17" s="543"/>
      <c r="EM17" s="543"/>
      <c r="EN17" s="543"/>
      <c r="EO17" s="543"/>
      <c r="EP17" s="543"/>
      <c r="EQ17" s="543"/>
      <c r="ER17" s="543"/>
      <c r="ES17" s="543"/>
      <c r="ET17" s="543"/>
      <c r="EU17" s="543"/>
      <c r="EV17" s="543"/>
      <c r="EW17" s="543"/>
      <c r="EX17" s="543"/>
      <c r="EY17" s="543"/>
      <c r="EZ17" s="543"/>
    </row>
    <row r="18" spans="1:156" s="549" customFormat="1" ht="11.25" customHeight="1">
      <c r="A18" s="546" t="s">
        <v>200</v>
      </c>
      <c r="B18" s="1080">
        <f t="shared" si="12"/>
        <v>7</v>
      </c>
      <c r="C18" s="1081" t="s">
        <v>219</v>
      </c>
      <c r="D18" s="1090">
        <v>45538866</v>
      </c>
      <c r="E18" s="1091">
        <v>32147</v>
      </c>
      <c r="F18" s="1085">
        <v>42955</v>
      </c>
      <c r="G18" s="1085"/>
      <c r="H18" s="1086" t="s">
        <v>220</v>
      </c>
      <c r="I18" s="1087" t="s">
        <v>144</v>
      </c>
      <c r="J18" s="554">
        <v>4500</v>
      </c>
      <c r="K18" s="576">
        <v>113</v>
      </c>
      <c r="L18" s="1081">
        <v>30</v>
      </c>
      <c r="M18" s="1081"/>
      <c r="N18" s="1081"/>
      <c r="O18" s="1081">
        <v>10</v>
      </c>
      <c r="P18" s="1081">
        <f t="shared" si="0"/>
        <v>20</v>
      </c>
      <c r="Q18" s="549">
        <v>8</v>
      </c>
      <c r="R18" s="1081">
        <f t="shared" si="13"/>
        <v>160</v>
      </c>
      <c r="S18" s="1096">
        <f t="shared" si="5"/>
        <v>2962.333333333333</v>
      </c>
      <c r="T18" s="919">
        <f t="shared" si="6"/>
        <v>113</v>
      </c>
      <c r="U18" s="827">
        <f t="shared" si="7"/>
        <v>0</v>
      </c>
      <c r="V18" s="1414">
        <f>+[1]Resumen!$D$22</f>
        <v>8688.2700966101711</v>
      </c>
      <c r="W18" s="1096">
        <f>(SUM(COMISIONES!E3:J3)/6/30)*'PLANILLA MENSUAL'!O18</f>
        <v>3203.8077554425608</v>
      </c>
      <c r="X18" s="576">
        <f>H.E!L12</f>
        <v>0</v>
      </c>
      <c r="Y18" s="576">
        <f>H.E!M12</f>
        <v>0</v>
      </c>
      <c r="Z18" s="576">
        <f>H.E!N12</f>
        <v>0</v>
      </c>
      <c r="AA18" s="576"/>
      <c r="AB18" s="576"/>
      <c r="AC18" s="576"/>
      <c r="AD18" s="827">
        <f t="shared" si="8"/>
        <v>1537.6666666666667</v>
      </c>
      <c r="AE18" s="827"/>
      <c r="AF18" s="576"/>
      <c r="AG18" s="576"/>
      <c r="AH18" s="576"/>
      <c r="AI18" s="576"/>
      <c r="AJ18" s="1077"/>
      <c r="AK18" s="1096"/>
      <c r="AL18" s="576"/>
      <c r="AM18" s="1077"/>
      <c r="AN18" s="1093"/>
      <c r="AO18" s="576">
        <f t="shared" si="1"/>
        <v>16505.077852052735</v>
      </c>
      <c r="AP18" s="1072">
        <f t="shared" si="9"/>
        <v>16505.077852052735</v>
      </c>
      <c r="AQ18" s="1097">
        <v>0.13</v>
      </c>
      <c r="AR18" s="576">
        <f>+AP18*AQ18</f>
        <v>2145.6601207668555</v>
      </c>
      <c r="AS18" s="1089"/>
      <c r="AT18" s="1093"/>
      <c r="AU18" s="1089"/>
      <c r="AV18" s="576"/>
      <c r="AW18" s="1089"/>
      <c r="AX18" s="576"/>
      <c r="AY18" s="1089"/>
      <c r="AZ18" s="576"/>
      <c r="BA18" s="576">
        <f>TARDANZA!K12</f>
        <v>0</v>
      </c>
      <c r="BB18" s="576">
        <f>TARDANZA!L12</f>
        <v>0</v>
      </c>
      <c r="BC18" s="832">
        <v>1200</v>
      </c>
      <c r="BD18" s="576"/>
      <c r="BE18" s="576"/>
      <c r="BF18" s="576"/>
      <c r="BG18" s="576">
        <f>'HT. EPS'!E41</f>
        <v>507.88291588356782</v>
      </c>
      <c r="BH18" s="576"/>
      <c r="BJ18" s="827">
        <f>'RTA 5TA VTAS'!E126</f>
        <v>4309.9144381207716</v>
      </c>
      <c r="BK18" s="827">
        <f>+AZ18+SUM(BA18:BJ18)+AR18</f>
        <v>8163.4574747711949</v>
      </c>
      <c r="BL18" s="595">
        <f t="shared" si="11"/>
        <v>8341.6203772815388</v>
      </c>
      <c r="BM18" s="1088">
        <v>0.09</v>
      </c>
      <c r="BN18" s="576">
        <f>AP18*BM18</f>
        <v>1485.4570066847461</v>
      </c>
      <c r="BO18" s="919">
        <v>17.989999999999998</v>
      </c>
      <c r="BP18" s="1080" t="s">
        <v>182</v>
      </c>
      <c r="BQ18" s="1092" t="s">
        <v>203</v>
      </c>
      <c r="BR18" s="1055"/>
      <c r="BS18" s="1055"/>
      <c r="BT18" s="543"/>
      <c r="BU18" s="554">
        <f t="shared" si="17"/>
        <v>4170.8101886407694</v>
      </c>
      <c r="BV18" s="832">
        <v>1200</v>
      </c>
      <c r="BW18" s="546" t="s">
        <v>203</v>
      </c>
      <c r="BX18" s="543"/>
      <c r="BY18" s="543"/>
      <c r="BZ18" s="543"/>
      <c r="CA18" s="543"/>
      <c r="CB18" s="1177"/>
      <c r="CC18" s="1113"/>
      <c r="CD18" s="543"/>
      <c r="CE18" s="543"/>
      <c r="CF18" s="543"/>
      <c r="CG18" s="543"/>
      <c r="CH18" s="543"/>
      <c r="CI18" s="543"/>
      <c r="CJ18" s="543"/>
      <c r="CK18" s="543"/>
      <c r="CL18" s="543"/>
      <c r="CM18" s="543"/>
      <c r="CN18" s="543"/>
      <c r="CO18" s="543"/>
      <c r="CP18" s="543"/>
      <c r="CQ18" s="543"/>
      <c r="CR18" s="543"/>
      <c r="CS18" s="543"/>
      <c r="CT18" s="543"/>
      <c r="CU18" s="543"/>
      <c r="CV18" s="543"/>
      <c r="CW18" s="543"/>
      <c r="CX18" s="543"/>
      <c r="CY18" s="543"/>
      <c r="CZ18" s="543"/>
      <c r="DA18" s="543"/>
      <c r="DB18" s="543"/>
      <c r="DC18" s="543"/>
      <c r="DD18" s="543"/>
      <c r="DE18" s="543"/>
      <c r="DF18" s="543"/>
      <c r="DG18" s="543"/>
      <c r="DH18" s="543"/>
      <c r="DI18" s="543"/>
      <c r="DJ18" s="543"/>
      <c r="DK18" s="543"/>
      <c r="DL18" s="543"/>
      <c r="DM18" s="543"/>
      <c r="DN18" s="543"/>
      <c r="DO18" s="543"/>
      <c r="DP18" s="543"/>
      <c r="DQ18" s="543"/>
      <c r="DR18" s="543"/>
      <c r="DS18" s="543"/>
      <c r="DT18" s="543"/>
      <c r="DU18" s="543"/>
      <c r="DV18" s="543"/>
      <c r="DW18" s="543"/>
      <c r="DX18" s="543"/>
      <c r="DY18" s="543"/>
      <c r="DZ18" s="543"/>
      <c r="EA18" s="543"/>
      <c r="EB18" s="543"/>
      <c r="EC18" s="543"/>
      <c r="ED18" s="543"/>
      <c r="EE18" s="543"/>
      <c r="EF18" s="543"/>
      <c r="EG18" s="543"/>
      <c r="EH18" s="543"/>
      <c r="EI18" s="543"/>
      <c r="EJ18" s="543"/>
      <c r="EK18" s="543"/>
      <c r="EL18" s="543"/>
      <c r="EM18" s="543"/>
      <c r="EN18" s="543"/>
      <c r="EO18" s="543"/>
      <c r="EP18" s="543"/>
      <c r="EQ18" s="543"/>
      <c r="ER18" s="543"/>
      <c r="ES18" s="543"/>
      <c r="ET18" s="543"/>
      <c r="EU18" s="543"/>
      <c r="EV18" s="543"/>
      <c r="EW18" s="543"/>
      <c r="EX18" s="543"/>
      <c r="EY18" s="543"/>
      <c r="EZ18" s="543"/>
    </row>
    <row r="19" spans="1:156" s="549" customFormat="1">
      <c r="A19" s="546" t="s">
        <v>200</v>
      </c>
      <c r="B19" s="1080">
        <f t="shared" si="12"/>
        <v>8</v>
      </c>
      <c r="C19" s="580" t="s">
        <v>221</v>
      </c>
      <c r="D19" s="1090">
        <v>71127068</v>
      </c>
      <c r="E19" s="1091">
        <v>34500</v>
      </c>
      <c r="F19" s="1085">
        <v>43045</v>
      </c>
      <c r="G19" s="1085"/>
      <c r="H19" s="1086" t="s">
        <v>222</v>
      </c>
      <c r="I19" s="1087" t="s">
        <v>144</v>
      </c>
      <c r="J19" s="554">
        <v>2800</v>
      </c>
      <c r="K19" s="576"/>
      <c r="L19" s="1081">
        <v>30</v>
      </c>
      <c r="M19" s="1081">
        <v>1</v>
      </c>
      <c r="N19" s="1081"/>
      <c r="O19" s="1081">
        <v>7</v>
      </c>
      <c r="P19" s="1081">
        <f t="shared" si="0"/>
        <v>22</v>
      </c>
      <c r="Q19" s="549">
        <v>8</v>
      </c>
      <c r="R19" s="1081">
        <f t="shared" si="13"/>
        <v>176</v>
      </c>
      <c r="S19" s="1096">
        <f>+J19-AD19-U19</f>
        <v>2146.666666666667</v>
      </c>
      <c r="T19" s="919">
        <f t="shared" si="6"/>
        <v>0</v>
      </c>
      <c r="U19" s="827">
        <f t="shared" si="7"/>
        <v>0</v>
      </c>
      <c r="V19" s="576"/>
      <c r="W19" s="1096"/>
      <c r="X19" s="576">
        <f>H.E!L13</f>
        <v>0</v>
      </c>
      <c r="Y19" s="576">
        <f>H.E!M13</f>
        <v>0</v>
      </c>
      <c r="Z19" s="576">
        <f>H.E!N13</f>
        <v>0</v>
      </c>
      <c r="AA19" s="576"/>
      <c r="AB19" s="576"/>
      <c r="AC19" s="576"/>
      <c r="AD19" s="827">
        <f t="shared" si="8"/>
        <v>653.33333333333326</v>
      </c>
      <c r="AE19" s="827"/>
      <c r="AF19" s="576"/>
      <c r="AG19" s="576"/>
      <c r="AH19" s="576"/>
      <c r="AI19" s="576"/>
      <c r="AJ19" s="1077">
        <v>800</v>
      </c>
      <c r="AK19" s="1096"/>
      <c r="AL19" s="576"/>
      <c r="AM19" s="1077"/>
      <c r="AN19" s="1093"/>
      <c r="AO19" s="576">
        <f t="shared" si="1"/>
        <v>3600</v>
      </c>
      <c r="AP19" s="1072">
        <f t="shared" si="9"/>
        <v>3577.6388888888887</v>
      </c>
      <c r="AQ19" s="1097">
        <v>0.13</v>
      </c>
      <c r="AR19" s="576">
        <f>+AP19*AQ19</f>
        <v>465.09305555555557</v>
      </c>
      <c r="AS19" s="1089"/>
      <c r="AT19" s="1093"/>
      <c r="AU19" s="1089"/>
      <c r="AV19" s="576"/>
      <c r="AW19" s="1089"/>
      <c r="AX19" s="576"/>
      <c r="AY19" s="1089"/>
      <c r="AZ19" s="576"/>
      <c r="BA19" s="576">
        <f>TARDANZA!K13</f>
        <v>0</v>
      </c>
      <c r="BB19" s="576">
        <f>TARDANZA!L13</f>
        <v>22.361111111111111</v>
      </c>
      <c r="BC19" s="832">
        <v>1200</v>
      </c>
      <c r="BD19" s="576"/>
      <c r="BE19" s="576"/>
      <c r="BF19" s="576"/>
      <c r="BG19" s="576">
        <f>'HT. EPS'!E42</f>
        <v>53.645627747974558</v>
      </c>
      <c r="BH19" s="576"/>
      <c r="BJ19" s="827">
        <f>'RTA 5TA'!M118</f>
        <v>44.698614718614721</v>
      </c>
      <c r="BK19" s="827">
        <f t="shared" si="10"/>
        <v>1785.7984091332557</v>
      </c>
      <c r="BL19" s="595">
        <f t="shared" si="11"/>
        <v>1814.2015908667443</v>
      </c>
      <c r="BM19" s="1088">
        <v>0.09</v>
      </c>
      <c r="BN19" s="576">
        <f t="shared" si="4"/>
        <v>321.98749999999995</v>
      </c>
      <c r="BO19" s="919">
        <v>3.15</v>
      </c>
      <c r="BP19" s="1080" t="s">
        <v>182</v>
      </c>
      <c r="BQ19" s="1092" t="s">
        <v>210</v>
      </c>
      <c r="BR19" s="1055"/>
      <c r="BS19" s="1055"/>
      <c r="BT19" s="543"/>
      <c r="BU19" s="554">
        <f t="shared" si="17"/>
        <v>907.10079543337213</v>
      </c>
      <c r="BV19" s="832">
        <v>1200</v>
      </c>
      <c r="BW19" s="546" t="s">
        <v>210</v>
      </c>
      <c r="BX19" s="543"/>
      <c r="BY19" s="543"/>
      <c r="BZ19" s="543"/>
      <c r="CA19" s="543"/>
      <c r="CB19" s="1177"/>
      <c r="CC19" s="1113"/>
      <c r="CD19" s="543"/>
      <c r="CE19" s="543"/>
      <c r="CF19" s="543"/>
      <c r="CG19" s="543"/>
      <c r="CH19" s="543"/>
      <c r="CI19" s="543"/>
      <c r="CJ19" s="543"/>
      <c r="CK19" s="543"/>
      <c r="CL19" s="543"/>
      <c r="CM19" s="543"/>
      <c r="CN19" s="543"/>
      <c r="CO19" s="543"/>
      <c r="CP19" s="543"/>
      <c r="CQ19" s="543"/>
      <c r="CR19" s="543"/>
      <c r="CS19" s="543"/>
      <c r="CT19" s="543"/>
      <c r="CU19" s="543"/>
      <c r="CV19" s="543"/>
      <c r="CW19" s="543"/>
      <c r="CX19" s="543"/>
      <c r="CY19" s="543"/>
      <c r="CZ19" s="543"/>
      <c r="DA19" s="543"/>
      <c r="DB19" s="543"/>
      <c r="DC19" s="543"/>
      <c r="DD19" s="543"/>
      <c r="DE19" s="543"/>
      <c r="DF19" s="543"/>
      <c r="DG19" s="543"/>
      <c r="DH19" s="543"/>
      <c r="DI19" s="543"/>
      <c r="DJ19" s="543"/>
      <c r="DK19" s="543"/>
      <c r="DL19" s="543"/>
      <c r="DM19" s="543"/>
      <c r="DN19" s="543"/>
      <c r="DO19" s="543"/>
      <c r="DP19" s="543"/>
      <c r="DQ19" s="543"/>
      <c r="DR19" s="543"/>
      <c r="DS19" s="543"/>
      <c r="DT19" s="543"/>
      <c r="DU19" s="543"/>
      <c r="DV19" s="543"/>
      <c r="DW19" s="543"/>
      <c r="DX19" s="543"/>
      <c r="DY19" s="543"/>
      <c r="DZ19" s="543"/>
      <c r="EA19" s="543"/>
      <c r="EB19" s="543"/>
      <c r="EC19" s="543"/>
      <c r="ED19" s="543"/>
      <c r="EE19" s="543"/>
      <c r="EF19" s="543"/>
      <c r="EG19" s="543"/>
      <c r="EH19" s="543"/>
      <c r="EI19" s="543"/>
      <c r="EJ19" s="543"/>
      <c r="EK19" s="543"/>
      <c r="EL19" s="543"/>
      <c r="EM19" s="543"/>
      <c r="EN19" s="543"/>
      <c r="EO19" s="543"/>
      <c r="EP19" s="543"/>
      <c r="EQ19" s="543"/>
      <c r="ER19" s="543"/>
      <c r="ES19" s="543"/>
      <c r="ET19" s="543"/>
      <c r="EU19" s="543"/>
      <c r="EV19" s="543"/>
      <c r="EW19" s="543"/>
      <c r="EX19" s="543"/>
      <c r="EY19" s="543"/>
      <c r="EZ19" s="543"/>
    </row>
    <row r="20" spans="1:156" s="1107" customFormat="1">
      <c r="A20" s="1098" t="s">
        <v>216</v>
      </c>
      <c r="B20" s="1080">
        <f t="shared" si="12"/>
        <v>9</v>
      </c>
      <c r="C20" s="580" t="s">
        <v>223</v>
      </c>
      <c r="D20" s="1101">
        <v>46497553</v>
      </c>
      <c r="E20" s="1102">
        <v>33124</v>
      </c>
      <c r="F20" s="1103">
        <v>44018</v>
      </c>
      <c r="G20" s="1103"/>
      <c r="H20" s="1104" t="s">
        <v>224</v>
      </c>
      <c r="I20" s="1105" t="s">
        <v>71</v>
      </c>
      <c r="J20" s="554">
        <v>2600</v>
      </c>
      <c r="K20" s="1106"/>
      <c r="L20" s="1100">
        <v>30</v>
      </c>
      <c r="M20" s="1100"/>
      <c r="N20" s="1100"/>
      <c r="O20" s="1081"/>
      <c r="P20" s="1081">
        <f t="shared" si="0"/>
        <v>30</v>
      </c>
      <c r="Q20" s="1107">
        <v>8</v>
      </c>
      <c r="R20" s="1100">
        <f t="shared" si="13"/>
        <v>240</v>
      </c>
      <c r="S20" s="1096">
        <f t="shared" si="5"/>
        <v>2600</v>
      </c>
      <c r="T20" s="919">
        <f t="shared" si="6"/>
        <v>0</v>
      </c>
      <c r="U20" s="827">
        <f t="shared" si="7"/>
        <v>0</v>
      </c>
      <c r="V20" s="576"/>
      <c r="W20" s="1108"/>
      <c r="X20" s="576">
        <f>H.E!L14</f>
        <v>0</v>
      </c>
      <c r="Y20" s="576">
        <f>H.E!M14</f>
        <v>0</v>
      </c>
      <c r="Z20" s="576">
        <f>H.E!N14</f>
        <v>0</v>
      </c>
      <c r="AA20" s="1106"/>
      <c r="AB20" s="576"/>
      <c r="AC20" s="1106"/>
      <c r="AD20" s="827">
        <f t="shared" si="8"/>
        <v>0</v>
      </c>
      <c r="AE20" s="827"/>
      <c r="AF20" s="1106"/>
      <c r="AG20" s="576"/>
      <c r="AH20" s="1106"/>
      <c r="AI20" s="1106"/>
      <c r="AJ20" s="576"/>
      <c r="AK20" s="1108"/>
      <c r="AL20" s="576"/>
      <c r="AM20" s="1109"/>
      <c r="AN20" s="1100"/>
      <c r="AO20" s="576">
        <f t="shared" si="1"/>
        <v>2600</v>
      </c>
      <c r="AP20" s="1072">
        <f t="shared" si="9"/>
        <v>2586.2777777777778</v>
      </c>
      <c r="AQ20" s="1110"/>
      <c r="AR20" s="1106"/>
      <c r="AS20" s="1111">
        <v>0.1</v>
      </c>
      <c r="AT20" s="1112">
        <f>+AP20*AS20</f>
        <v>258.62777777777779</v>
      </c>
      <c r="AU20" s="1111">
        <v>0</v>
      </c>
      <c r="AV20" s="1106">
        <f>+AP20*AU20</f>
        <v>0</v>
      </c>
      <c r="AW20" s="1111">
        <v>1.37E-2</v>
      </c>
      <c r="AX20" s="1106">
        <f>+AP20*AW20</f>
        <v>35.432005555555556</v>
      </c>
      <c r="AY20" s="1111">
        <f t="shared" ref="AY20:AZ22" si="18">+AS20+AU20+AW20</f>
        <v>0.11370000000000001</v>
      </c>
      <c r="AZ20" s="1106">
        <f t="shared" si="18"/>
        <v>294.05978333333337</v>
      </c>
      <c r="BA20" s="576">
        <f>TARDANZA!K14</f>
        <v>0</v>
      </c>
      <c r="BB20" s="576">
        <f>TARDANZA!L14</f>
        <v>13.722222222222221</v>
      </c>
      <c r="BC20" s="832">
        <v>1150</v>
      </c>
      <c r="BD20" s="576"/>
      <c r="BE20" s="576"/>
      <c r="BF20" s="576"/>
      <c r="BG20" s="576">
        <f>'HT. EPS'!E43</f>
        <v>53.645627747974558</v>
      </c>
      <c r="BH20" s="576"/>
      <c r="BJ20" s="842">
        <f>+'RTA 5TA'!I118</f>
        <v>0</v>
      </c>
      <c r="BK20" s="827">
        <f t="shared" si="10"/>
        <v>1511.42763330353</v>
      </c>
      <c r="BL20" s="595">
        <f t="shared" si="11"/>
        <v>1088.57236669647</v>
      </c>
      <c r="BM20" s="1110">
        <v>0.09</v>
      </c>
      <c r="BN20" s="1106">
        <f t="shared" si="4"/>
        <v>232.76499999999999</v>
      </c>
      <c r="BO20" s="1076">
        <v>3.75</v>
      </c>
      <c r="BP20" s="1099" t="s">
        <v>182</v>
      </c>
      <c r="BQ20" s="1100" t="s">
        <v>210</v>
      </c>
      <c r="BT20" s="544"/>
      <c r="BU20" s="554">
        <f t="shared" si="17"/>
        <v>544.286183348235</v>
      </c>
      <c r="BV20" s="832">
        <v>1150</v>
      </c>
      <c r="BW20" s="1098" t="s">
        <v>210</v>
      </c>
      <c r="BX20" s="543"/>
      <c r="BY20" s="544"/>
      <c r="BZ20" s="544"/>
      <c r="CA20" s="544"/>
      <c r="CB20" s="1178"/>
      <c r="CC20" s="1113"/>
      <c r="CD20" s="544"/>
      <c r="CE20" s="544"/>
      <c r="CF20" s="544"/>
      <c r="CG20" s="544"/>
      <c r="CH20" s="544"/>
      <c r="CI20" s="544"/>
      <c r="CJ20" s="544"/>
      <c r="CK20" s="544"/>
      <c r="CL20" s="544"/>
      <c r="CM20" s="544"/>
      <c r="CN20" s="544"/>
      <c r="CO20" s="544"/>
      <c r="CP20" s="544"/>
      <c r="CQ20" s="544"/>
      <c r="CR20" s="544"/>
      <c r="CS20" s="544"/>
      <c r="CT20" s="544"/>
      <c r="CU20" s="544"/>
      <c r="CV20" s="544"/>
      <c r="CW20" s="544"/>
      <c r="CX20" s="544"/>
      <c r="CY20" s="544"/>
      <c r="CZ20" s="544"/>
      <c r="DA20" s="544"/>
      <c r="DB20" s="544"/>
      <c r="DC20" s="544"/>
      <c r="DD20" s="544"/>
      <c r="DE20" s="544"/>
      <c r="DF20" s="544"/>
      <c r="DG20" s="544"/>
      <c r="DH20" s="544"/>
      <c r="DI20" s="544"/>
      <c r="DJ20" s="544"/>
      <c r="DK20" s="544"/>
      <c r="DL20" s="544"/>
      <c r="DM20" s="544"/>
      <c r="DN20" s="544"/>
      <c r="DO20" s="544"/>
      <c r="DP20" s="544"/>
      <c r="DQ20" s="544"/>
      <c r="DR20" s="544"/>
      <c r="DS20" s="544"/>
      <c r="DT20" s="544"/>
      <c r="DU20" s="544"/>
      <c r="DV20" s="544"/>
      <c r="DW20" s="544"/>
      <c r="DX20" s="544"/>
      <c r="DY20" s="544"/>
      <c r="DZ20" s="544"/>
      <c r="EA20" s="544"/>
      <c r="EB20" s="544"/>
      <c r="EC20" s="544"/>
      <c r="ED20" s="544"/>
      <c r="EE20" s="544"/>
      <c r="EF20" s="544"/>
      <c r="EG20" s="544"/>
      <c r="EH20" s="544"/>
      <c r="EI20" s="544"/>
      <c r="EJ20" s="544"/>
      <c r="EK20" s="544"/>
      <c r="EL20" s="544"/>
      <c r="EM20" s="544"/>
      <c r="EN20" s="544"/>
      <c r="EO20" s="544"/>
      <c r="EP20" s="544"/>
      <c r="EQ20" s="544"/>
      <c r="ER20" s="544"/>
      <c r="ES20" s="544"/>
      <c r="ET20" s="544"/>
      <c r="EU20" s="544"/>
      <c r="EV20" s="544"/>
      <c r="EW20" s="544"/>
      <c r="EX20" s="544"/>
      <c r="EY20" s="544"/>
      <c r="EZ20" s="544"/>
    </row>
    <row r="21" spans="1:156" s="549" customFormat="1">
      <c r="A21" s="546" t="s">
        <v>225</v>
      </c>
      <c r="B21" s="1080">
        <f t="shared" si="12"/>
        <v>10</v>
      </c>
      <c r="C21" s="580" t="s">
        <v>226</v>
      </c>
      <c r="D21" s="1090">
        <v>44030334</v>
      </c>
      <c r="E21" s="1091">
        <v>31334</v>
      </c>
      <c r="F21" s="1085">
        <v>44321</v>
      </c>
      <c r="G21" s="1085"/>
      <c r="H21" s="1086" t="s">
        <v>227</v>
      </c>
      <c r="I21" s="1087" t="s">
        <v>72</v>
      </c>
      <c r="J21" s="554">
        <v>2200</v>
      </c>
      <c r="K21" s="576">
        <v>113</v>
      </c>
      <c r="L21" s="1081">
        <v>30</v>
      </c>
      <c r="M21" s="1081"/>
      <c r="N21" s="1081"/>
      <c r="O21" s="1081">
        <v>2</v>
      </c>
      <c r="P21" s="1081">
        <f t="shared" si="0"/>
        <v>28</v>
      </c>
      <c r="Q21" s="549">
        <v>8</v>
      </c>
      <c r="R21" s="1081">
        <f t="shared" si="13"/>
        <v>224</v>
      </c>
      <c r="S21" s="1096">
        <f t="shared" si="5"/>
        <v>2045.8</v>
      </c>
      <c r="T21" s="919">
        <f t="shared" si="6"/>
        <v>113</v>
      </c>
      <c r="U21" s="827">
        <f t="shared" si="7"/>
        <v>0</v>
      </c>
      <c r="V21" s="576"/>
      <c r="W21" s="1096"/>
      <c r="X21" s="576">
        <f>H.E!L15</f>
        <v>0</v>
      </c>
      <c r="Y21" s="576">
        <f>H.E!M15</f>
        <v>0</v>
      </c>
      <c r="Z21" s="576">
        <f>H.E!N15</f>
        <v>0</v>
      </c>
      <c r="AA21" s="576">
        <f>100/19*16</f>
        <v>84.21052631578948</v>
      </c>
      <c r="AB21" s="576"/>
      <c r="AC21" s="1096"/>
      <c r="AD21" s="827">
        <f>(J21+K21)/30*O21</f>
        <v>154.19999999999999</v>
      </c>
      <c r="AE21" s="1355"/>
      <c r="AF21" s="1096"/>
      <c r="AG21" s="576"/>
      <c r="AH21" s="1096"/>
      <c r="AI21" s="1096"/>
      <c r="AJ21" s="576"/>
      <c r="AK21" s="1096"/>
      <c r="AL21" s="576"/>
      <c r="AM21" s="1081"/>
      <c r="AN21" s="1093"/>
      <c r="AO21" s="576">
        <f t="shared" si="1"/>
        <v>2397.2105263157896</v>
      </c>
      <c r="AP21" s="1072">
        <f t="shared" si="9"/>
        <v>2293.8856249999999</v>
      </c>
      <c r="AQ21" s="1097"/>
      <c r="AR21" s="576"/>
      <c r="AS21" s="1089">
        <v>0.1</v>
      </c>
      <c r="AT21" s="1093">
        <f>+AP21*AS21</f>
        <v>229.38856250000001</v>
      </c>
      <c r="AU21" s="1089">
        <v>1.6E-2</v>
      </c>
      <c r="AV21" s="576">
        <f>+AP21*AU21</f>
        <v>36.702170000000002</v>
      </c>
      <c r="AW21" s="1089">
        <v>1.37E-2</v>
      </c>
      <c r="AX21" s="576">
        <f t="shared" ref="AX21" si="19">+AP21*AW21</f>
        <v>31.4262330625</v>
      </c>
      <c r="AY21" s="1089">
        <f t="shared" si="18"/>
        <v>0.12970000000000001</v>
      </c>
      <c r="AZ21" s="576">
        <f t="shared" si="18"/>
        <v>297.51696556249999</v>
      </c>
      <c r="BA21" s="576">
        <f>TARDANZA!K15</f>
        <v>0</v>
      </c>
      <c r="BB21" s="576">
        <f>TARDANZA!L15</f>
        <v>19.114374999999999</v>
      </c>
      <c r="BC21" s="832">
        <v>1000</v>
      </c>
      <c r="BD21" s="576"/>
      <c r="BE21" s="576">
        <v>500</v>
      </c>
      <c r="BF21" s="576"/>
      <c r="BG21" s="576"/>
      <c r="BH21" s="576"/>
      <c r="BJ21" s="842">
        <f>'RTA 5TA'!U118</f>
        <v>9.757599999999977</v>
      </c>
      <c r="BK21" s="827">
        <f>+AZ21+SUM(BA21:BJ21)+AR21</f>
        <v>1826.3889405625</v>
      </c>
      <c r="BL21" s="595">
        <f>(+AO21-BK21)</f>
        <v>570.82158575328958</v>
      </c>
      <c r="BM21" s="1088">
        <v>0.09</v>
      </c>
      <c r="BN21" s="576">
        <f>AP21*BM21</f>
        <v>206.44970624999999</v>
      </c>
      <c r="BO21" s="919">
        <v>8.2407000000000004</v>
      </c>
      <c r="BP21" s="1080"/>
      <c r="BQ21" s="1092" t="s">
        <v>203</v>
      </c>
      <c r="BR21" s="1229"/>
      <c r="BS21" s="917"/>
      <c r="BT21" s="543"/>
      <c r="BU21" s="554">
        <f t="shared" si="17"/>
        <v>285.41079287664479</v>
      </c>
      <c r="BV21" s="832">
        <v>1000</v>
      </c>
      <c r="BW21" s="546" t="s">
        <v>203</v>
      </c>
      <c r="BX21" s="543"/>
      <c r="BY21" s="543"/>
      <c r="BZ21" s="543"/>
      <c r="CA21" s="543"/>
      <c r="CB21" s="1177"/>
      <c r="CC21" s="1113"/>
      <c r="CD21" s="543"/>
      <c r="CE21" s="543"/>
      <c r="CF21" s="543"/>
      <c r="CG21" s="543"/>
      <c r="CH21" s="543"/>
      <c r="CI21" s="543"/>
      <c r="CJ21" s="543"/>
      <c r="CK21" s="543"/>
      <c r="CL21" s="543"/>
      <c r="CM21" s="543"/>
      <c r="CN21" s="543"/>
      <c r="CO21" s="543"/>
      <c r="CP21" s="543"/>
      <c r="CQ21" s="543"/>
      <c r="CR21" s="543"/>
      <c r="CS21" s="543"/>
      <c r="CT21" s="543"/>
      <c r="CU21" s="543"/>
      <c r="CV21" s="543"/>
      <c r="CW21" s="543"/>
      <c r="CX21" s="543"/>
      <c r="CY21" s="543"/>
      <c r="CZ21" s="543"/>
      <c r="DA21" s="543"/>
      <c r="DB21" s="543"/>
      <c r="DC21" s="543"/>
      <c r="DD21" s="543"/>
      <c r="DE21" s="543"/>
      <c r="DF21" s="543"/>
      <c r="DG21" s="543"/>
      <c r="DH21" s="543"/>
      <c r="DI21" s="543"/>
      <c r="DJ21" s="543"/>
      <c r="DK21" s="543"/>
      <c r="DL21" s="543"/>
      <c r="DM21" s="543"/>
      <c r="DN21" s="543"/>
      <c r="DO21" s="543"/>
      <c r="DP21" s="543"/>
      <c r="DQ21" s="543"/>
      <c r="DR21" s="543"/>
      <c r="DS21" s="543"/>
      <c r="DT21" s="543"/>
      <c r="DU21" s="543"/>
      <c r="DV21" s="543"/>
      <c r="DW21" s="543"/>
      <c r="DX21" s="543"/>
      <c r="DY21" s="543"/>
      <c r="DZ21" s="543"/>
      <c r="EA21" s="543"/>
      <c r="EB21" s="543"/>
      <c r="EC21" s="543"/>
      <c r="ED21" s="543"/>
      <c r="EE21" s="543"/>
      <c r="EF21" s="543"/>
      <c r="EG21" s="543"/>
      <c r="EH21" s="543"/>
      <c r="EI21" s="543"/>
      <c r="EJ21" s="543"/>
      <c r="EK21" s="543"/>
      <c r="EL21" s="543"/>
      <c r="EM21" s="543"/>
      <c r="EN21" s="543"/>
      <c r="EO21" s="543"/>
      <c r="EP21" s="543"/>
      <c r="EQ21" s="543"/>
      <c r="ER21" s="543"/>
      <c r="ES21" s="543"/>
      <c r="ET21" s="543"/>
      <c r="EU21" s="543"/>
      <c r="EV21" s="543"/>
      <c r="EW21" s="543"/>
      <c r="EX21" s="543"/>
      <c r="EY21" s="543"/>
      <c r="EZ21" s="543"/>
    </row>
    <row r="22" spans="1:156" s="549" customFormat="1">
      <c r="A22" s="546" t="s">
        <v>200</v>
      </c>
      <c r="B22" s="1080">
        <f t="shared" si="12"/>
        <v>11</v>
      </c>
      <c r="C22" s="1081" t="s">
        <v>228</v>
      </c>
      <c r="D22" s="1090">
        <v>7882846</v>
      </c>
      <c r="E22" s="1091">
        <v>26945</v>
      </c>
      <c r="F22" s="1085">
        <v>44593</v>
      </c>
      <c r="G22" s="1085"/>
      <c r="H22" s="1086" t="s">
        <v>229</v>
      </c>
      <c r="I22" s="1087" t="s">
        <v>72</v>
      </c>
      <c r="J22" s="554">
        <v>3800</v>
      </c>
      <c r="K22" s="576">
        <v>113</v>
      </c>
      <c r="L22" s="1081">
        <v>30</v>
      </c>
      <c r="M22" s="1081"/>
      <c r="N22" s="1081"/>
      <c r="O22" s="1081"/>
      <c r="P22" s="1081">
        <f t="shared" si="0"/>
        <v>30</v>
      </c>
      <c r="Q22" s="549">
        <v>8</v>
      </c>
      <c r="R22" s="1081">
        <f t="shared" si="13"/>
        <v>240</v>
      </c>
      <c r="S22" s="1096">
        <f>+J22-AD22-U22</f>
        <v>3800</v>
      </c>
      <c r="T22" s="919">
        <f t="shared" si="6"/>
        <v>113</v>
      </c>
      <c r="U22" s="827">
        <f t="shared" si="7"/>
        <v>0</v>
      </c>
      <c r="V22" s="576">
        <f>COMISIONES!K4</f>
        <v>4452.1899999999996</v>
      </c>
      <c r="W22" s="1108"/>
      <c r="X22" s="576">
        <f>H.E!L16</f>
        <v>0</v>
      </c>
      <c r="Y22" s="576">
        <f>H.E!M16</f>
        <v>0</v>
      </c>
      <c r="Z22" s="576">
        <f>H.E!N16</f>
        <v>0</v>
      </c>
      <c r="AA22" s="1106"/>
      <c r="AB22" s="576"/>
      <c r="AC22" s="1096"/>
      <c r="AD22" s="827">
        <f t="shared" si="8"/>
        <v>0</v>
      </c>
      <c r="AE22" s="1355"/>
      <c r="AF22" s="1096"/>
      <c r="AG22" s="576"/>
      <c r="AH22" s="1096"/>
      <c r="AI22" s="1096"/>
      <c r="AJ22" s="576"/>
      <c r="AK22" s="1096"/>
      <c r="AL22" s="576"/>
      <c r="AM22" s="1081"/>
      <c r="AN22" s="1093"/>
      <c r="AO22" s="576">
        <f t="shared" si="1"/>
        <v>8365.1899999999987</v>
      </c>
      <c r="AP22" s="1072">
        <f t="shared" si="9"/>
        <v>8365.1899999999987</v>
      </c>
      <c r="AQ22" s="1097"/>
      <c r="AR22" s="576"/>
      <c r="AS22" s="1089">
        <v>0.1</v>
      </c>
      <c r="AT22" s="1093">
        <f t="shared" ref="AT22" si="20">+AP22*AS22</f>
        <v>836.51899999999989</v>
      </c>
      <c r="AU22" s="1089">
        <v>0</v>
      </c>
      <c r="AV22" s="576">
        <f>+AP22*AU22</f>
        <v>0</v>
      </c>
      <c r="AW22" s="1089">
        <v>1.37E-2</v>
      </c>
      <c r="AX22" s="576">
        <f>+AP22*AW22</f>
        <v>114.60310299999999</v>
      </c>
      <c r="AY22" s="1089">
        <f t="shared" si="18"/>
        <v>0.11370000000000001</v>
      </c>
      <c r="AZ22" s="576">
        <f t="shared" si="18"/>
        <v>951.12210299999992</v>
      </c>
      <c r="BA22" s="576">
        <f>TARDANZA!K16</f>
        <v>0</v>
      </c>
      <c r="BB22" s="576">
        <f>TARDANZA!L16</f>
        <v>0</v>
      </c>
      <c r="BC22" s="832">
        <v>1460</v>
      </c>
      <c r="BD22" s="576"/>
      <c r="BE22" s="576"/>
      <c r="BF22" s="576"/>
      <c r="BG22" s="576">
        <f>'HT. EPS'!E44</f>
        <v>53.645627747974558</v>
      </c>
      <c r="BH22" s="576"/>
      <c r="BJ22" s="842">
        <f>'RTA 5TA VTAS'!F126</f>
        <v>986.82200060493199</v>
      </c>
      <c r="BK22" s="827">
        <f t="shared" si="10"/>
        <v>3451.5897313529067</v>
      </c>
      <c r="BL22" s="1251">
        <f t="shared" si="11"/>
        <v>4913.600268647092</v>
      </c>
      <c r="BM22" s="1088">
        <v>0.09</v>
      </c>
      <c r="BN22" s="576">
        <f t="shared" si="4"/>
        <v>752.86709999999982</v>
      </c>
      <c r="BO22" s="919">
        <v>14.09</v>
      </c>
      <c r="BP22" s="1080" t="s">
        <v>182</v>
      </c>
      <c r="BQ22" s="1081" t="s">
        <v>753</v>
      </c>
      <c r="BR22" s="546" t="s">
        <v>210</v>
      </c>
      <c r="BT22" s="579"/>
      <c r="BU22" s="554">
        <f t="shared" si="17"/>
        <v>2456.800134323546</v>
      </c>
      <c r="BV22" s="832">
        <v>1460</v>
      </c>
      <c r="BW22" s="1181" t="s">
        <v>753</v>
      </c>
      <c r="BX22" s="1160">
        <v>1460</v>
      </c>
      <c r="BY22" s="543"/>
      <c r="BZ22" s="543"/>
      <c r="CA22" s="543"/>
      <c r="CB22" s="1177"/>
      <c r="CC22" s="1113"/>
      <c r="CD22" s="543"/>
      <c r="CE22" s="543"/>
      <c r="CF22" s="543"/>
      <c r="CG22" s="543"/>
      <c r="CH22" s="543"/>
      <c r="CI22" s="543"/>
      <c r="CJ22" s="543"/>
      <c r="CK22" s="543"/>
      <c r="CL22" s="543"/>
      <c r="CM22" s="543"/>
      <c r="CN22" s="543"/>
      <c r="CO22" s="543"/>
      <c r="CP22" s="543"/>
      <c r="CQ22" s="543"/>
      <c r="CR22" s="543"/>
      <c r="CS22" s="543"/>
      <c r="CT22" s="543"/>
      <c r="CU22" s="543"/>
      <c r="CV22" s="543"/>
      <c r="CW22" s="543"/>
      <c r="CX22" s="543"/>
      <c r="CY22" s="543"/>
      <c r="CZ22" s="543"/>
      <c r="DA22" s="543"/>
      <c r="DB22" s="543"/>
      <c r="DC22" s="543"/>
      <c r="DD22" s="543"/>
      <c r="DE22" s="543"/>
      <c r="DF22" s="543"/>
      <c r="DG22" s="543"/>
      <c r="DH22" s="543"/>
      <c r="DI22" s="543"/>
      <c r="DJ22" s="543"/>
      <c r="DK22" s="543"/>
      <c r="DL22" s="543"/>
      <c r="DM22" s="543"/>
      <c r="DN22" s="543"/>
      <c r="DO22" s="543"/>
      <c r="DP22" s="543"/>
      <c r="DQ22" s="543"/>
      <c r="DR22" s="543"/>
      <c r="DS22" s="543"/>
      <c r="DT22" s="543"/>
      <c r="DU22" s="543"/>
      <c r="DV22" s="543"/>
      <c r="DW22" s="543"/>
      <c r="DX22" s="543"/>
      <c r="DY22" s="543"/>
      <c r="DZ22" s="543"/>
      <c r="EA22" s="543"/>
      <c r="EB22" s="543"/>
      <c r="EC22" s="543"/>
      <c r="ED22" s="543"/>
      <c r="EE22" s="543"/>
      <c r="EF22" s="543"/>
      <c r="EG22" s="543"/>
      <c r="EH22" s="543"/>
      <c r="EI22" s="543"/>
      <c r="EJ22" s="543"/>
      <c r="EK22" s="543"/>
      <c r="EL22" s="543"/>
      <c r="EM22" s="543"/>
      <c r="EN22" s="543"/>
      <c r="EO22" s="543"/>
      <c r="EP22" s="543"/>
      <c r="EQ22" s="543"/>
      <c r="ER22" s="543"/>
      <c r="ES22" s="543"/>
      <c r="ET22" s="543"/>
      <c r="EU22" s="543"/>
      <c r="EV22" s="543"/>
      <c r="EW22" s="543"/>
      <c r="EX22" s="543"/>
      <c r="EY22" s="543"/>
      <c r="EZ22" s="543"/>
    </row>
    <row r="23" spans="1:156" s="549" customFormat="1">
      <c r="A23" s="546" t="s">
        <v>204</v>
      </c>
      <c r="B23" s="1080">
        <f t="shared" si="12"/>
        <v>12</v>
      </c>
      <c r="C23" s="1081" t="s">
        <v>230</v>
      </c>
      <c r="D23" s="1082" t="s">
        <v>231</v>
      </c>
      <c r="E23" s="1091">
        <v>30874</v>
      </c>
      <c r="F23" s="1085">
        <v>44697</v>
      </c>
      <c r="G23" s="1085"/>
      <c r="H23" s="1086" t="s">
        <v>232</v>
      </c>
      <c r="I23" s="1087" t="s">
        <v>73</v>
      </c>
      <c r="J23" s="554">
        <v>1500</v>
      </c>
      <c r="K23" s="576">
        <v>113</v>
      </c>
      <c r="L23" s="1081">
        <v>30</v>
      </c>
      <c r="M23" s="1081"/>
      <c r="N23" s="1081"/>
      <c r="O23" s="1081">
        <v>15</v>
      </c>
      <c r="P23" s="1081">
        <f t="shared" si="0"/>
        <v>15</v>
      </c>
      <c r="Q23" s="549">
        <v>8</v>
      </c>
      <c r="R23" s="1081">
        <f t="shared" si="13"/>
        <v>120</v>
      </c>
      <c r="S23" s="1096">
        <f t="shared" si="5"/>
        <v>693.5</v>
      </c>
      <c r="T23" s="919">
        <f t="shared" si="6"/>
        <v>113</v>
      </c>
      <c r="U23" s="827">
        <f t="shared" si="7"/>
        <v>0</v>
      </c>
      <c r="V23" s="576"/>
      <c r="W23" s="576"/>
      <c r="X23" s="576">
        <f>H.E!L17</f>
        <v>0</v>
      </c>
      <c r="Y23" s="576">
        <f>H.E!M17</f>
        <v>0</v>
      </c>
      <c r="Z23" s="576">
        <f>H.E!N17</f>
        <v>0</v>
      </c>
      <c r="AA23" s="1106"/>
      <c r="AB23" s="576"/>
      <c r="AC23" s="576"/>
      <c r="AD23" s="827">
        <f t="shared" si="8"/>
        <v>806.5</v>
      </c>
      <c r="AE23" s="827"/>
      <c r="AF23" s="576"/>
      <c r="AG23" s="576"/>
      <c r="AH23" s="576"/>
      <c r="AI23" s="576"/>
      <c r="AJ23" s="576"/>
      <c r="AK23" s="1096"/>
      <c r="AL23" s="576"/>
      <c r="AM23" s="576"/>
      <c r="AN23" s="576"/>
      <c r="AO23" s="576">
        <f t="shared" si="1"/>
        <v>1613</v>
      </c>
      <c r="AP23" s="1072">
        <f t="shared" si="9"/>
        <v>1613</v>
      </c>
      <c r="AQ23" s="1088"/>
      <c r="AR23" s="576"/>
      <c r="AS23" s="1089">
        <v>0.1</v>
      </c>
      <c r="AT23" s="576">
        <f>+AP23*AS23</f>
        <v>161.30000000000001</v>
      </c>
      <c r="AU23" s="1089">
        <v>0</v>
      </c>
      <c r="AV23" s="576">
        <f>+AP23*AU23</f>
        <v>0</v>
      </c>
      <c r="AW23" s="1089">
        <v>1.37E-2</v>
      </c>
      <c r="AX23" s="576">
        <f>+AP23*AW23</f>
        <v>22.098100000000002</v>
      </c>
      <c r="AY23" s="1089">
        <f>+AS23+AU23+AW23</f>
        <v>0.11370000000000001</v>
      </c>
      <c r="AZ23" s="576">
        <f t="shared" ref="AY23:AZ24" si="21">+AT23+AV23+AX23</f>
        <v>183.3981</v>
      </c>
      <c r="BA23" s="576">
        <f>TARDANZA!K17</f>
        <v>0</v>
      </c>
      <c r="BB23" s="576">
        <f>TARDANZA!L17</f>
        <v>0</v>
      </c>
      <c r="BC23" s="832">
        <v>710</v>
      </c>
      <c r="BD23" s="576"/>
      <c r="BE23" s="576"/>
      <c r="BF23" s="576"/>
      <c r="BG23" s="576"/>
      <c r="BH23" s="576"/>
      <c r="BJ23" s="827"/>
      <c r="BK23" s="827">
        <f t="shared" si="10"/>
        <v>893.3981</v>
      </c>
      <c r="BL23" s="595">
        <f t="shared" si="11"/>
        <v>719.6019</v>
      </c>
      <c r="BM23" s="1088">
        <v>0.09</v>
      </c>
      <c r="BN23" s="576">
        <f t="shared" si="4"/>
        <v>145.16999999999999</v>
      </c>
      <c r="BO23" s="919">
        <v>5.1207000000000003</v>
      </c>
      <c r="BP23" s="1081"/>
      <c r="BQ23" s="1081" t="s">
        <v>210</v>
      </c>
      <c r="BR23" s="546"/>
      <c r="BT23" s="579"/>
      <c r="BU23" s="554">
        <f t="shared" si="17"/>
        <v>359.80095</v>
      </c>
      <c r="BV23" s="832">
        <v>710</v>
      </c>
      <c r="BW23" s="546" t="s">
        <v>210</v>
      </c>
      <c r="BX23" s="543"/>
      <c r="CB23" s="920"/>
      <c r="CC23" s="1113"/>
    </row>
    <row r="24" spans="1:156" s="549" customFormat="1">
      <c r="A24" s="546" t="s">
        <v>233</v>
      </c>
      <c r="B24" s="1080">
        <f t="shared" si="12"/>
        <v>13</v>
      </c>
      <c r="C24" s="1081" t="s">
        <v>241</v>
      </c>
      <c r="D24" s="1082" t="s">
        <v>242</v>
      </c>
      <c r="E24" s="1091">
        <v>31370</v>
      </c>
      <c r="F24" s="1085">
        <v>45005</v>
      </c>
      <c r="G24" s="1085">
        <v>46265</v>
      </c>
      <c r="H24" s="1086" t="s">
        <v>952</v>
      </c>
      <c r="I24" s="1087" t="s">
        <v>71</v>
      </c>
      <c r="J24" s="554">
        <v>3000</v>
      </c>
      <c r="K24" s="576"/>
      <c r="L24" s="1081">
        <v>30</v>
      </c>
      <c r="M24" s="1081"/>
      <c r="N24" s="1081"/>
      <c r="O24" s="1081"/>
      <c r="P24" s="1081">
        <f t="shared" si="0"/>
        <v>30</v>
      </c>
      <c r="Q24" s="549">
        <v>8</v>
      </c>
      <c r="R24" s="1081">
        <f t="shared" si="13"/>
        <v>240</v>
      </c>
      <c r="S24" s="1096">
        <f t="shared" si="5"/>
        <v>3000</v>
      </c>
      <c r="T24" s="919">
        <f t="shared" si="6"/>
        <v>0</v>
      </c>
      <c r="U24" s="827">
        <f t="shared" si="7"/>
        <v>0</v>
      </c>
      <c r="V24" s="576"/>
      <c r="W24" s="576"/>
      <c r="X24" s="576">
        <f>H.E!L18</f>
        <v>3109.38</v>
      </c>
      <c r="Y24" s="576">
        <f>H.E!M18</f>
        <v>715.5</v>
      </c>
      <c r="Z24" s="576">
        <f>H.E!N18</f>
        <v>0</v>
      </c>
      <c r="AA24" s="1106">
        <f>100/19*16</f>
        <v>84.21052631578948</v>
      </c>
      <c r="AB24" s="576"/>
      <c r="AC24" s="576"/>
      <c r="AD24" s="827">
        <f t="shared" si="8"/>
        <v>0</v>
      </c>
      <c r="AE24" s="827"/>
      <c r="AF24" s="576"/>
      <c r="AG24" s="576"/>
      <c r="AH24" s="576"/>
      <c r="AI24" s="576"/>
      <c r="AJ24" s="576"/>
      <c r="AK24" s="1096"/>
      <c r="AL24" s="576"/>
      <c r="AM24" s="576"/>
      <c r="AN24" s="1077"/>
      <c r="AO24" s="576">
        <f t="shared" si="1"/>
        <v>6909.0905263157892</v>
      </c>
      <c r="AP24" s="595">
        <f t="shared" si="9"/>
        <v>6752.7966666666671</v>
      </c>
      <c r="AQ24" s="1088"/>
      <c r="AR24" s="576"/>
      <c r="AS24" s="1089">
        <v>0.1</v>
      </c>
      <c r="AT24" s="1093">
        <f t="shared" ref="AT24" si="22">+AP24*AS24</f>
        <v>675.2796666666668</v>
      </c>
      <c r="AU24" s="1089">
        <v>0</v>
      </c>
      <c r="AV24" s="576">
        <f t="shared" ref="AV24" si="23">+AP24*AU24</f>
        <v>0</v>
      </c>
      <c r="AW24" s="1089">
        <v>1.37E-2</v>
      </c>
      <c r="AX24" s="576">
        <f t="shared" ref="AX24" si="24">+AP24*AW24</f>
        <v>92.513314333333341</v>
      </c>
      <c r="AY24" s="1089">
        <f t="shared" si="21"/>
        <v>0.11370000000000001</v>
      </c>
      <c r="AZ24" s="576">
        <f t="shared" ref="AZ24:AZ26" si="25">+AT24+AV24+AX24</f>
        <v>767.79298100000017</v>
      </c>
      <c r="BA24" s="576">
        <f>TARDANZA!K18</f>
        <v>0</v>
      </c>
      <c r="BB24" s="576">
        <f>TARDANZA!L18</f>
        <v>72.083333333333343</v>
      </c>
      <c r="BC24" s="832">
        <v>1310</v>
      </c>
      <c r="BD24" s="576"/>
      <c r="BE24" s="576"/>
      <c r="BF24" s="576"/>
      <c r="BG24" s="576">
        <f>'HT. EPS'!E45</f>
        <v>53.645627747974558</v>
      </c>
      <c r="BH24" s="576"/>
      <c r="BJ24" s="827"/>
      <c r="BK24" s="827">
        <f t="shared" si="10"/>
        <v>2203.5219420813078</v>
      </c>
      <c r="BL24" s="595">
        <f t="shared" si="11"/>
        <v>4705.568584234481</v>
      </c>
      <c r="BM24" s="1088">
        <v>0.09</v>
      </c>
      <c r="BN24" s="576">
        <f t="shared" si="4"/>
        <v>607.75170000000003</v>
      </c>
      <c r="BO24" s="919">
        <v>11.700000000000001</v>
      </c>
      <c r="BP24" s="1080" t="s">
        <v>182</v>
      </c>
      <c r="BQ24" s="1081" t="s">
        <v>203</v>
      </c>
      <c r="BR24" s="1301"/>
      <c r="BS24" s="1113"/>
      <c r="BT24" s="543"/>
      <c r="BU24" s="554">
        <f t="shared" si="17"/>
        <v>2352.7842921172405</v>
      </c>
      <c r="BV24" s="832">
        <v>1310</v>
      </c>
      <c r="BW24" s="546" t="s">
        <v>203</v>
      </c>
      <c r="BX24" s="546"/>
      <c r="CB24" s="832"/>
      <c r="CC24" s="1113"/>
    </row>
    <row r="25" spans="1:156" s="549" customFormat="1">
      <c r="A25" s="546" t="s">
        <v>237</v>
      </c>
      <c r="B25" s="1080">
        <f>+B24+1</f>
        <v>14</v>
      </c>
      <c r="C25" s="1100" t="s">
        <v>243</v>
      </c>
      <c r="D25" s="1082" t="s">
        <v>244</v>
      </c>
      <c r="E25" s="1091">
        <v>34355</v>
      </c>
      <c r="F25" s="1085">
        <v>45307</v>
      </c>
      <c r="G25" s="1085"/>
      <c r="H25" s="1086" t="s">
        <v>240</v>
      </c>
      <c r="I25" s="1087" t="s">
        <v>70</v>
      </c>
      <c r="J25" s="554">
        <v>3200</v>
      </c>
      <c r="K25" s="576"/>
      <c r="L25" s="1081">
        <v>30</v>
      </c>
      <c r="M25" s="1081"/>
      <c r="N25" s="1081"/>
      <c r="O25" s="1081">
        <v>3</v>
      </c>
      <c r="P25" s="1081">
        <f t="shared" si="0"/>
        <v>27</v>
      </c>
      <c r="Q25" s="549">
        <v>8</v>
      </c>
      <c r="R25" s="1081">
        <f t="shared" si="13"/>
        <v>216</v>
      </c>
      <c r="S25" s="1096">
        <f t="shared" si="5"/>
        <v>2880</v>
      </c>
      <c r="T25" s="919">
        <f t="shared" si="6"/>
        <v>0</v>
      </c>
      <c r="U25" s="827">
        <f t="shared" si="7"/>
        <v>0</v>
      </c>
      <c r="V25" s="576"/>
      <c r="W25" s="1096"/>
      <c r="X25" s="576">
        <f>H.E!L19</f>
        <v>0</v>
      </c>
      <c r="Y25" s="576">
        <f>H.E!M19</f>
        <v>0</v>
      </c>
      <c r="Z25" s="576">
        <f>H.E!N19</f>
        <v>0</v>
      </c>
      <c r="AA25" s="1106"/>
      <c r="AB25" s="576"/>
      <c r="AC25" s="576"/>
      <c r="AD25" s="827">
        <f t="shared" si="8"/>
        <v>320</v>
      </c>
      <c r="AE25" s="827"/>
      <c r="AF25" s="576"/>
      <c r="AG25" s="576"/>
      <c r="AH25" s="576"/>
      <c r="AI25" s="576"/>
      <c r="AJ25" s="576"/>
      <c r="AK25" s="1096"/>
      <c r="AL25" s="576"/>
      <c r="AM25" s="576"/>
      <c r="AN25" s="1077"/>
      <c r="AO25" s="576">
        <f t="shared" si="1"/>
        <v>3200</v>
      </c>
      <c r="AP25" s="1072">
        <f t="shared" si="9"/>
        <v>3162.6666666666665</v>
      </c>
      <c r="AQ25" s="1088"/>
      <c r="AR25" s="576"/>
      <c r="AS25" s="1089">
        <v>0.1</v>
      </c>
      <c r="AT25" s="576">
        <f>+AP25*AS25</f>
        <v>316.26666666666665</v>
      </c>
      <c r="AU25" s="1089">
        <v>0</v>
      </c>
      <c r="AV25" s="576"/>
      <c r="AW25" s="1089">
        <v>1.37E-2</v>
      </c>
      <c r="AX25" s="576">
        <f t="shared" ref="AX25:AX29" si="26">+AP25*AW25</f>
        <v>43.328533333333333</v>
      </c>
      <c r="AY25" s="1089">
        <f>+AS25+AU25+AW25</f>
        <v>0.11370000000000001</v>
      </c>
      <c r="AZ25" s="576">
        <f t="shared" si="25"/>
        <v>359.59519999999998</v>
      </c>
      <c r="BA25" s="576">
        <f>TARDANZA!K19</f>
        <v>0</v>
      </c>
      <c r="BB25" s="576">
        <f>TARDANZA!L19</f>
        <v>37.333333333333336</v>
      </c>
      <c r="BC25" s="832">
        <v>1400</v>
      </c>
      <c r="BD25" s="576"/>
      <c r="BE25" s="576"/>
      <c r="BF25" s="576"/>
      <c r="BG25" s="576"/>
      <c r="BH25" s="576"/>
      <c r="BJ25" s="827">
        <f>'RTA 5TA'!K118</f>
        <v>50.065000000000005</v>
      </c>
      <c r="BK25" s="827">
        <f t="shared" si="10"/>
        <v>1846.9935333333333</v>
      </c>
      <c r="BL25" s="595">
        <f t="shared" si="11"/>
        <v>1353.0064666666667</v>
      </c>
      <c r="BM25" s="1088">
        <v>0.09</v>
      </c>
      <c r="BN25" s="576">
        <f t="shared" si="4"/>
        <v>284.64</v>
      </c>
      <c r="BO25" s="919">
        <v>4.2</v>
      </c>
      <c r="BP25" s="1081"/>
      <c r="BQ25" s="1081" t="s">
        <v>210</v>
      </c>
      <c r="BR25" s="546"/>
      <c r="BU25" s="554">
        <f t="shared" si="17"/>
        <v>676.50323333333336</v>
      </c>
      <c r="BV25" s="832">
        <v>1400</v>
      </c>
      <c r="BW25" s="546" t="s">
        <v>210</v>
      </c>
      <c r="CB25" s="920"/>
      <c r="CC25" s="1113"/>
    </row>
    <row r="26" spans="1:156" s="1397" customFormat="1">
      <c r="A26" s="1387" t="s">
        <v>200</v>
      </c>
      <c r="B26" s="1388">
        <f t="shared" ref="B26:B53" si="27">+B25+1</f>
        <v>15</v>
      </c>
      <c r="C26" s="1389" t="s">
        <v>245</v>
      </c>
      <c r="D26" s="1390">
        <v>25849757</v>
      </c>
      <c r="E26" s="1391">
        <v>45341</v>
      </c>
      <c r="F26" s="1392">
        <v>45341</v>
      </c>
      <c r="G26" s="1392"/>
      <c r="H26" s="1393" t="s">
        <v>246</v>
      </c>
      <c r="I26" s="1394" t="s">
        <v>71</v>
      </c>
      <c r="J26" s="1395">
        <v>2800</v>
      </c>
      <c r="K26" s="1396">
        <v>113</v>
      </c>
      <c r="L26" s="1389">
        <v>30</v>
      </c>
      <c r="M26" s="1389"/>
      <c r="N26" s="1389"/>
      <c r="O26" s="1389"/>
      <c r="P26" s="1389">
        <f>+L26-M26-O26-N26</f>
        <v>30</v>
      </c>
      <c r="Q26" s="1397">
        <v>8</v>
      </c>
      <c r="R26" s="1389">
        <f t="shared" ref="R26" si="28">+P26*Q26</f>
        <v>240</v>
      </c>
      <c r="S26" s="1398">
        <f>+J26</f>
        <v>2800</v>
      </c>
      <c r="T26" s="1399">
        <f t="shared" ref="T26" si="29">K26</f>
        <v>113</v>
      </c>
      <c r="U26" s="1400"/>
      <c r="V26" s="1396">
        <f>COMISIONES!K5</f>
        <v>1459.82</v>
      </c>
      <c r="W26" s="1398"/>
      <c r="X26" s="1396">
        <f>H.E!L20</f>
        <v>0</v>
      </c>
      <c r="Y26" s="1396">
        <f>H.E!M20</f>
        <v>0</v>
      </c>
      <c r="Z26" s="1396">
        <f>H.E!N20</f>
        <v>0</v>
      </c>
      <c r="AA26" s="1396"/>
      <c r="AB26" s="1396"/>
      <c r="AC26" s="1396"/>
      <c r="AD26" s="1400">
        <f t="shared" si="8"/>
        <v>0</v>
      </c>
      <c r="AE26" s="1400">
        <f>VACACIONES!T6+VACACIONES!W6</f>
        <v>2370.28485</v>
      </c>
      <c r="AF26" s="1396"/>
      <c r="AG26" s="1396"/>
      <c r="AH26" s="1396"/>
      <c r="AI26" s="1396"/>
      <c r="AJ26" s="1396"/>
      <c r="AK26" s="1395"/>
      <c r="AL26" s="1396"/>
      <c r="AM26" s="1396"/>
      <c r="AN26" s="1401"/>
      <c r="AO26" s="1396">
        <f>SUM(S26:AM26)-AN26</f>
        <v>6743.1048499999997</v>
      </c>
      <c r="AP26" s="1400">
        <f>+AO26-AA26-AF26-AG26-AH26-AI26-AL26-AM26-AK26-BA26-BB26</f>
        <v>6736.2269333333334</v>
      </c>
      <c r="AQ26" s="1402"/>
      <c r="AR26" s="1396"/>
      <c r="AS26" s="1403">
        <v>0.1</v>
      </c>
      <c r="AT26" s="1401">
        <f>+AP26*AS26</f>
        <v>673.62269333333336</v>
      </c>
      <c r="AU26" s="1403">
        <v>1.55E-2</v>
      </c>
      <c r="AV26" s="1396">
        <f t="shared" ref="AV26" si="30">+AP26*AU26</f>
        <v>104.41151746666667</v>
      </c>
      <c r="AW26" s="1403">
        <v>1.37E-2</v>
      </c>
      <c r="AX26" s="1396">
        <f t="shared" si="26"/>
        <v>92.286308986666668</v>
      </c>
      <c r="AY26" s="1403">
        <f t="shared" ref="AY26" si="31">+AS26+AU26+AW26</f>
        <v>0.12920000000000001</v>
      </c>
      <c r="AZ26" s="1396">
        <f t="shared" si="25"/>
        <v>870.32051978666664</v>
      </c>
      <c r="BA26" s="1396">
        <f>TARDANZA!K20</f>
        <v>0</v>
      </c>
      <c r="BB26" s="1396">
        <f>TARDANZA!L20</f>
        <v>6.8779166666666658</v>
      </c>
      <c r="BC26" s="1183">
        <f>1150+2064.04</f>
        <v>3214.04</v>
      </c>
      <c r="BD26" s="1396"/>
      <c r="BE26" s="1396">
        <v>350</v>
      </c>
      <c r="BF26" s="1396"/>
      <c r="BG26" s="1396">
        <f>'HT. EPS'!E46</f>
        <v>507.88291588356782</v>
      </c>
      <c r="BH26" s="1396"/>
      <c r="BJ26" s="1400">
        <f>'RTA 5TA VTAS'!G126+'RTA 5TA VTAS'!G127</f>
        <v>649.05571455221548</v>
      </c>
      <c r="BK26" s="1400">
        <f t="shared" ref="BK26" si="32">+AZ26+SUM(BA26:BJ26)+AR26</f>
        <v>5598.1770668891168</v>
      </c>
      <c r="BL26" s="1396">
        <f>(+AO26-BK26)</f>
        <v>1144.927783110883</v>
      </c>
      <c r="BM26" s="1404">
        <v>0.09</v>
      </c>
      <c r="BN26" s="1396">
        <f t="shared" si="4"/>
        <v>606.26042399999994</v>
      </c>
      <c r="BO26" s="1405">
        <v>11.36</v>
      </c>
      <c r="BP26" s="1388" t="s">
        <v>182</v>
      </c>
      <c r="BQ26" s="1406" t="s">
        <v>210</v>
      </c>
      <c r="BR26" s="1417">
        <f>'[2]PLANILLA MENSUAL'!$BS$26+1000</f>
        <v>1291.6844184649763</v>
      </c>
      <c r="BS26" s="1407">
        <f>+BR26+BL26</f>
        <v>2436.6122015758592</v>
      </c>
      <c r="BT26" s="1408"/>
      <c r="BU26" s="1395">
        <f t="shared" si="17"/>
        <v>572.46389155544148</v>
      </c>
      <c r="BV26" s="1183">
        <v>1150</v>
      </c>
      <c r="BW26" s="1387" t="s">
        <v>210</v>
      </c>
      <c r="BX26" s="1387"/>
      <c r="BY26" s="1408"/>
      <c r="BZ26" s="1408"/>
      <c r="CA26" s="1408"/>
      <c r="CB26" s="1409"/>
      <c r="CC26" s="1410"/>
      <c r="CD26" s="1408"/>
      <c r="CE26" s="1408"/>
      <c r="CF26" s="1408"/>
      <c r="CG26" s="1408"/>
      <c r="CH26" s="1408"/>
      <c r="CI26" s="1408"/>
      <c r="CJ26" s="1408"/>
      <c r="CK26" s="1408"/>
      <c r="CL26" s="1408"/>
      <c r="CM26" s="1408"/>
      <c r="CN26" s="1408"/>
      <c r="CO26" s="1408"/>
      <c r="CP26" s="1408"/>
      <c r="CQ26" s="1408"/>
      <c r="CR26" s="1408"/>
      <c r="CS26" s="1408"/>
      <c r="CT26" s="1408"/>
      <c r="CU26" s="1408"/>
      <c r="CV26" s="1408"/>
      <c r="CW26" s="1408"/>
      <c r="CX26" s="1408"/>
      <c r="CY26" s="1408"/>
      <c r="CZ26" s="1408"/>
      <c r="DA26" s="1408"/>
      <c r="DB26" s="1408"/>
      <c r="DC26" s="1408"/>
      <c r="DD26" s="1408"/>
      <c r="DE26" s="1408"/>
      <c r="DF26" s="1408"/>
      <c r="DG26" s="1408"/>
      <c r="DH26" s="1408"/>
      <c r="DI26" s="1408"/>
      <c r="DJ26" s="1408"/>
      <c r="DK26" s="1408"/>
      <c r="DL26" s="1408"/>
      <c r="DM26" s="1408"/>
      <c r="DN26" s="1408"/>
      <c r="DO26" s="1408"/>
      <c r="DP26" s="1408"/>
      <c r="DQ26" s="1408"/>
      <c r="DR26" s="1408"/>
      <c r="DS26" s="1408"/>
      <c r="DT26" s="1408"/>
      <c r="DU26" s="1408"/>
      <c r="DV26" s="1408"/>
      <c r="DW26" s="1408"/>
      <c r="DX26" s="1408"/>
      <c r="DY26" s="1408"/>
      <c r="DZ26" s="1408"/>
      <c r="EA26" s="1408"/>
      <c r="EB26" s="1408"/>
      <c r="EC26" s="1408"/>
      <c r="ED26" s="1408"/>
      <c r="EE26" s="1408"/>
      <c r="EF26" s="1408"/>
      <c r="EG26" s="1408"/>
      <c r="EH26" s="1408"/>
      <c r="EI26" s="1408"/>
      <c r="EJ26" s="1408"/>
      <c r="EK26" s="1408"/>
      <c r="EL26" s="1408"/>
      <c r="EM26" s="1408"/>
      <c r="EN26" s="1408"/>
      <c r="EO26" s="1408"/>
      <c r="EP26" s="1408"/>
      <c r="EQ26" s="1408"/>
      <c r="ER26" s="1408"/>
      <c r="ES26" s="1408"/>
      <c r="ET26" s="1408"/>
      <c r="EU26" s="1408"/>
      <c r="EV26" s="1408"/>
      <c r="EW26" s="1408"/>
      <c r="EX26" s="1408"/>
      <c r="EY26" s="1408"/>
      <c r="EZ26" s="1408"/>
    </row>
    <row r="27" spans="1:156" s="549" customFormat="1">
      <c r="A27" s="546" t="s">
        <v>204</v>
      </c>
      <c r="B27" s="1080">
        <f t="shared" si="27"/>
        <v>16</v>
      </c>
      <c r="C27" s="1100" t="s">
        <v>248</v>
      </c>
      <c r="D27" s="1090">
        <v>45654429</v>
      </c>
      <c r="E27" s="1091">
        <v>30383</v>
      </c>
      <c r="F27" s="1085">
        <v>45398</v>
      </c>
      <c r="G27" s="1085"/>
      <c r="H27" s="1086" t="s">
        <v>795</v>
      </c>
      <c r="I27" s="1087" t="s">
        <v>144</v>
      </c>
      <c r="J27" s="554">
        <v>1200</v>
      </c>
      <c r="K27" s="576"/>
      <c r="L27" s="1081">
        <v>30</v>
      </c>
      <c r="M27" s="1081"/>
      <c r="N27" s="1081"/>
      <c r="O27" s="1081"/>
      <c r="P27" s="1081">
        <f t="shared" si="0"/>
        <v>30</v>
      </c>
      <c r="Q27" s="549">
        <v>8</v>
      </c>
      <c r="R27" s="1081">
        <f t="shared" si="13"/>
        <v>240</v>
      </c>
      <c r="S27" s="1096">
        <f t="shared" si="5"/>
        <v>1200</v>
      </c>
      <c r="T27" s="919">
        <f t="shared" si="6"/>
        <v>0</v>
      </c>
      <c r="U27" s="827">
        <f t="shared" si="7"/>
        <v>0</v>
      </c>
      <c r="V27" s="576"/>
      <c r="W27" s="1096"/>
      <c r="X27" s="576">
        <f>H.E!L21</f>
        <v>0</v>
      </c>
      <c r="Y27" s="576">
        <f>H.E!M21</f>
        <v>0</v>
      </c>
      <c r="Z27" s="576">
        <f>H.E!N21</f>
        <v>0</v>
      </c>
      <c r="AA27" s="1106"/>
      <c r="AB27" s="576"/>
      <c r="AC27" s="576"/>
      <c r="AD27" s="827">
        <f t="shared" si="8"/>
        <v>0</v>
      </c>
      <c r="AE27" s="827"/>
      <c r="AF27" s="576"/>
      <c r="AG27" s="576"/>
      <c r="AH27" s="576"/>
      <c r="AI27" s="576"/>
      <c r="AJ27" s="576"/>
      <c r="AK27" s="554"/>
      <c r="AL27" s="576"/>
      <c r="AM27" s="1077"/>
      <c r="AN27" s="1093"/>
      <c r="AO27" s="576">
        <f t="shared" si="1"/>
        <v>1200</v>
      </c>
      <c r="AP27" s="1072">
        <f t="shared" si="9"/>
        <v>1200</v>
      </c>
      <c r="AQ27" s="1097">
        <v>0.13</v>
      </c>
      <c r="AR27" s="576">
        <f>+AP27*AQ27</f>
        <v>156</v>
      </c>
      <c r="AS27" s="1089"/>
      <c r="AT27" s="1093"/>
      <c r="AU27" s="1089"/>
      <c r="AV27" s="576"/>
      <c r="AW27" s="1089"/>
      <c r="AX27" s="576"/>
      <c r="AY27" s="1089"/>
      <c r="AZ27" s="576"/>
      <c r="BA27" s="576">
        <f>TARDANZA!K21</f>
        <v>0</v>
      </c>
      <c r="BB27" s="576">
        <f>TARDANZA!L21</f>
        <v>0</v>
      </c>
      <c r="BC27" s="832">
        <v>520</v>
      </c>
      <c r="BD27" s="576"/>
      <c r="BE27" s="576"/>
      <c r="BF27" s="576"/>
      <c r="BG27" s="576"/>
      <c r="BH27" s="576"/>
      <c r="BI27" s="1113">
        <f>+[3]AGO.26!$C$14</f>
        <v>22.36</v>
      </c>
      <c r="BJ27" s="827"/>
      <c r="BK27" s="827">
        <f t="shared" si="10"/>
        <v>698.36</v>
      </c>
      <c r="BL27" s="595">
        <f t="shared" si="11"/>
        <v>501.64</v>
      </c>
      <c r="BM27" s="1088">
        <v>0.09</v>
      </c>
      <c r="BN27" s="576">
        <f t="shared" si="4"/>
        <v>108</v>
      </c>
      <c r="BO27" s="919">
        <v>4.4000000000000004</v>
      </c>
      <c r="BP27" s="1080"/>
      <c r="BQ27" s="1092" t="s">
        <v>203</v>
      </c>
      <c r="BR27" s="1300"/>
      <c r="BS27" s="1055"/>
      <c r="BT27" s="543"/>
      <c r="BU27" s="554">
        <f t="shared" si="17"/>
        <v>250.82</v>
      </c>
      <c r="BV27" s="832">
        <v>520</v>
      </c>
      <c r="BW27" s="546" t="s">
        <v>203</v>
      </c>
      <c r="BX27" s="543"/>
      <c r="BY27" s="543"/>
      <c r="BZ27" s="543"/>
      <c r="CA27" s="543"/>
      <c r="CB27" s="1177"/>
      <c r="CC27" s="1113"/>
      <c r="CD27" s="543"/>
      <c r="CE27" s="543"/>
      <c r="CF27" s="543"/>
      <c r="CG27" s="543"/>
      <c r="CH27" s="543"/>
      <c r="CI27" s="543"/>
      <c r="CJ27" s="543"/>
      <c r="CK27" s="543"/>
      <c r="CL27" s="543"/>
      <c r="CM27" s="543"/>
      <c r="CN27" s="543"/>
      <c r="CO27" s="543"/>
      <c r="CP27" s="543"/>
      <c r="CQ27" s="543"/>
      <c r="CR27" s="543"/>
      <c r="CS27" s="543"/>
      <c r="CT27" s="543"/>
      <c r="CU27" s="543"/>
      <c r="CV27" s="543"/>
      <c r="CW27" s="543"/>
      <c r="CX27" s="543"/>
      <c r="CY27" s="543"/>
      <c r="CZ27" s="543"/>
      <c r="DA27" s="543"/>
      <c r="DB27" s="543"/>
      <c r="DC27" s="543"/>
      <c r="DD27" s="543"/>
      <c r="DE27" s="543"/>
      <c r="DF27" s="543"/>
      <c r="DG27" s="543"/>
      <c r="DH27" s="543"/>
      <c r="DI27" s="543"/>
      <c r="DJ27" s="543"/>
      <c r="DK27" s="543"/>
      <c r="DL27" s="543"/>
      <c r="DM27" s="543"/>
      <c r="DN27" s="543"/>
      <c r="DO27" s="543"/>
      <c r="DP27" s="543"/>
      <c r="DQ27" s="543"/>
      <c r="DR27" s="543"/>
      <c r="DS27" s="543"/>
      <c r="DT27" s="543"/>
      <c r="DU27" s="543"/>
      <c r="DV27" s="543"/>
      <c r="DW27" s="543"/>
      <c r="DX27" s="543"/>
      <c r="DY27" s="543"/>
      <c r="DZ27" s="543"/>
      <c r="EA27" s="543"/>
      <c r="EB27" s="543"/>
      <c r="EC27" s="543"/>
      <c r="ED27" s="543"/>
      <c r="EE27" s="543"/>
      <c r="EF27" s="543"/>
      <c r="EG27" s="543"/>
      <c r="EH27" s="543"/>
      <c r="EI27" s="543"/>
      <c r="EJ27" s="543"/>
      <c r="EK27" s="543"/>
      <c r="EL27" s="543"/>
      <c r="EM27" s="543"/>
      <c r="EN27" s="543"/>
      <c r="EO27" s="543"/>
      <c r="EP27" s="543"/>
      <c r="EQ27" s="543"/>
      <c r="ER27" s="543"/>
      <c r="ES27" s="543"/>
      <c r="ET27" s="543"/>
      <c r="EU27" s="543"/>
      <c r="EV27" s="543"/>
      <c r="EW27" s="543"/>
      <c r="EX27" s="543"/>
      <c r="EY27" s="543"/>
      <c r="EZ27" s="543"/>
    </row>
    <row r="28" spans="1:156" s="549" customFormat="1">
      <c r="A28" s="546" t="s">
        <v>237</v>
      </c>
      <c r="B28" s="1080">
        <f t="shared" si="27"/>
        <v>17</v>
      </c>
      <c r="C28" s="1100" t="s">
        <v>250</v>
      </c>
      <c r="D28" s="1090">
        <v>74450353</v>
      </c>
      <c r="E28" s="1091">
        <v>34560</v>
      </c>
      <c r="F28" s="1085">
        <v>45418</v>
      </c>
      <c r="G28" s="1085"/>
      <c r="H28" s="1086" t="s">
        <v>926</v>
      </c>
      <c r="I28" s="1087" t="s">
        <v>71</v>
      </c>
      <c r="J28" s="554">
        <v>2800</v>
      </c>
      <c r="K28" s="576"/>
      <c r="L28" s="1081">
        <v>30</v>
      </c>
      <c r="M28" s="1081"/>
      <c r="N28" s="1081"/>
      <c r="O28" s="1081"/>
      <c r="P28" s="1081">
        <f t="shared" si="0"/>
        <v>30</v>
      </c>
      <c r="Q28" s="549">
        <v>8</v>
      </c>
      <c r="R28" s="1081">
        <f t="shared" si="13"/>
        <v>240</v>
      </c>
      <c r="S28" s="1096">
        <f t="shared" si="5"/>
        <v>2800</v>
      </c>
      <c r="T28" s="919">
        <f t="shared" si="6"/>
        <v>0</v>
      </c>
      <c r="U28" s="827">
        <f t="shared" si="7"/>
        <v>0</v>
      </c>
      <c r="V28" s="576"/>
      <c r="W28" s="576"/>
      <c r="X28" s="576">
        <f>H.E!L22</f>
        <v>0</v>
      </c>
      <c r="Y28" s="576">
        <f>H.E!M22</f>
        <v>0</v>
      </c>
      <c r="Z28" s="576">
        <f>H.E!N22</f>
        <v>0</v>
      </c>
      <c r="AA28" s="1106"/>
      <c r="AB28" s="576"/>
      <c r="AC28" s="576"/>
      <c r="AD28" s="827">
        <f t="shared" si="8"/>
        <v>0</v>
      </c>
      <c r="AE28" s="827"/>
      <c r="AF28" s="576"/>
      <c r="AG28" s="576"/>
      <c r="AH28" s="576"/>
      <c r="AI28" s="576"/>
      <c r="AJ28" s="576"/>
      <c r="AK28" s="554"/>
      <c r="AL28" s="576"/>
      <c r="AM28" s="1077"/>
      <c r="AN28" s="1093"/>
      <c r="AO28" s="576">
        <f t="shared" si="1"/>
        <v>2800</v>
      </c>
      <c r="AP28" s="1072">
        <f t="shared" si="9"/>
        <v>2792.0277777777778</v>
      </c>
      <c r="AQ28" s="1097"/>
      <c r="AR28" s="576"/>
      <c r="AS28" s="1089">
        <v>0.1</v>
      </c>
      <c r="AT28" s="1093">
        <f>+AP28*AS28</f>
        <v>279.20277777777778</v>
      </c>
      <c r="AU28" s="1089">
        <v>0</v>
      </c>
      <c r="AV28" s="576">
        <f>+AP28*AU28</f>
        <v>0</v>
      </c>
      <c r="AW28" s="1089">
        <v>1.37E-2</v>
      </c>
      <c r="AX28" s="576">
        <f>+AP28*AW28</f>
        <v>38.250780555555558</v>
      </c>
      <c r="AY28" s="1089">
        <f>+AS28+AU28+AW28</f>
        <v>0.11370000000000001</v>
      </c>
      <c r="AZ28" s="576">
        <f>+AT28+AV28+AX28</f>
        <v>317.45355833333332</v>
      </c>
      <c r="BA28" s="576">
        <f>TARDANZA!K22</f>
        <v>0</v>
      </c>
      <c r="BB28" s="576">
        <f>TARDANZA!L22</f>
        <v>7.9722222222222223</v>
      </c>
      <c r="BC28" s="832">
        <v>1240</v>
      </c>
      <c r="BD28" s="576"/>
      <c r="BE28" s="576">
        <v>350</v>
      </c>
      <c r="BF28" s="576"/>
      <c r="BG28" s="576"/>
      <c r="BH28" s="576"/>
      <c r="BI28" s="1093"/>
      <c r="BJ28" s="827">
        <f>'RTA 5TA'!N118</f>
        <v>122.7729916666666</v>
      </c>
      <c r="BK28" s="827">
        <f t="shared" si="10"/>
        <v>2038.1987722222223</v>
      </c>
      <c r="BL28" s="595">
        <f t="shared" si="11"/>
        <v>761.80122777777774</v>
      </c>
      <c r="BM28" s="1088">
        <v>0.09</v>
      </c>
      <c r="BN28" s="576">
        <f t="shared" si="4"/>
        <v>251.2825</v>
      </c>
      <c r="BO28" s="919">
        <v>3.75</v>
      </c>
      <c r="BP28" s="1080"/>
      <c r="BQ28" s="1081" t="s">
        <v>210</v>
      </c>
      <c r="BR28" s="546"/>
      <c r="BT28" s="579"/>
      <c r="BU28" s="554">
        <f t="shared" si="17"/>
        <v>380.90061388888887</v>
      </c>
      <c r="BV28" s="832">
        <v>1240</v>
      </c>
      <c r="BW28" s="546" t="s">
        <v>210</v>
      </c>
      <c r="BX28" s="543"/>
      <c r="BY28" s="543"/>
      <c r="BZ28" s="543"/>
      <c r="CA28" s="543"/>
      <c r="CB28" s="1177"/>
      <c r="CC28" s="1113"/>
      <c r="CD28" s="543"/>
      <c r="CE28" s="543"/>
      <c r="CF28" s="543"/>
      <c r="CG28" s="543"/>
      <c r="CH28" s="543"/>
      <c r="CI28" s="543"/>
      <c r="CJ28" s="543"/>
      <c r="CK28" s="543"/>
      <c r="CL28" s="543"/>
      <c r="CM28" s="543"/>
      <c r="CN28" s="543"/>
      <c r="CO28" s="543"/>
      <c r="CP28" s="543"/>
      <c r="CQ28" s="543"/>
      <c r="CR28" s="543"/>
      <c r="CS28" s="543"/>
      <c r="CT28" s="543"/>
      <c r="CU28" s="543"/>
      <c r="CV28" s="543"/>
      <c r="CW28" s="543"/>
      <c r="CX28" s="543"/>
      <c r="CY28" s="543"/>
      <c r="CZ28" s="543"/>
      <c r="DA28" s="543"/>
      <c r="DB28" s="543"/>
      <c r="DC28" s="543"/>
      <c r="DD28" s="543"/>
      <c r="DE28" s="543"/>
      <c r="DF28" s="543"/>
      <c r="DG28" s="543"/>
      <c r="DH28" s="543"/>
      <c r="DI28" s="543"/>
      <c r="DJ28" s="543"/>
      <c r="DK28" s="543"/>
      <c r="DL28" s="543"/>
      <c r="DM28" s="543"/>
      <c r="DN28" s="543"/>
      <c r="DO28" s="543"/>
      <c r="DP28" s="543"/>
      <c r="DQ28" s="543"/>
      <c r="DR28" s="543"/>
      <c r="DS28" s="543"/>
      <c r="DT28" s="543"/>
      <c r="DU28" s="543"/>
      <c r="DV28" s="543"/>
      <c r="DW28" s="543"/>
      <c r="DX28" s="543"/>
      <c r="DY28" s="543"/>
      <c r="DZ28" s="543"/>
      <c r="EA28" s="543"/>
      <c r="EB28" s="543"/>
      <c r="EC28" s="543"/>
      <c r="ED28" s="543"/>
      <c r="EE28" s="543"/>
      <c r="EF28" s="543"/>
      <c r="EG28" s="543"/>
      <c r="EH28" s="543"/>
      <c r="EI28" s="543"/>
      <c r="EJ28" s="543"/>
      <c r="EK28" s="543"/>
      <c r="EL28" s="543"/>
      <c r="EM28" s="543"/>
      <c r="EN28" s="543"/>
      <c r="EO28" s="543"/>
      <c r="EP28" s="543"/>
      <c r="EQ28" s="543"/>
      <c r="ER28" s="543"/>
      <c r="ES28" s="543"/>
      <c r="ET28" s="543"/>
      <c r="EU28" s="543"/>
      <c r="EV28" s="543"/>
      <c r="EW28" s="543"/>
      <c r="EX28" s="543"/>
      <c r="EY28" s="543"/>
      <c r="EZ28" s="543"/>
    </row>
    <row r="29" spans="1:156" s="549" customFormat="1">
      <c r="A29" s="546" t="s">
        <v>200</v>
      </c>
      <c r="B29" s="1080">
        <f t="shared" si="27"/>
        <v>18</v>
      </c>
      <c r="C29" s="1100" t="s">
        <v>252</v>
      </c>
      <c r="D29" s="1090" t="s">
        <v>253</v>
      </c>
      <c r="E29" s="1091">
        <v>26434</v>
      </c>
      <c r="F29" s="1085">
        <v>45474</v>
      </c>
      <c r="G29" s="1085"/>
      <c r="H29" s="1086" t="s">
        <v>254</v>
      </c>
      <c r="I29" s="1087" t="s">
        <v>72</v>
      </c>
      <c r="J29" s="554">
        <v>2800</v>
      </c>
      <c r="K29" s="576"/>
      <c r="L29" s="1081">
        <v>30</v>
      </c>
      <c r="M29" s="1081"/>
      <c r="N29" s="1081"/>
      <c r="O29" s="1081">
        <v>8</v>
      </c>
      <c r="P29" s="1081">
        <f t="shared" si="0"/>
        <v>22</v>
      </c>
      <c r="Q29" s="549">
        <v>8</v>
      </c>
      <c r="R29" s="1081">
        <f t="shared" si="13"/>
        <v>176</v>
      </c>
      <c r="S29" s="1096">
        <f t="shared" si="5"/>
        <v>2053.3333333333335</v>
      </c>
      <c r="T29" s="919">
        <f t="shared" si="6"/>
        <v>0</v>
      </c>
      <c r="U29" s="827">
        <f t="shared" si="7"/>
        <v>0</v>
      </c>
      <c r="V29" s="576"/>
      <c r="W29" s="576"/>
      <c r="X29" s="576">
        <f>H.E!L23</f>
        <v>0</v>
      </c>
      <c r="Y29" s="576">
        <f>H.E!M23</f>
        <v>0</v>
      </c>
      <c r="Z29" s="576">
        <f>H.E!N23</f>
        <v>0</v>
      </c>
      <c r="AA29" s="1106"/>
      <c r="AB29" s="576"/>
      <c r="AC29" s="576"/>
      <c r="AD29" s="827">
        <f t="shared" si="8"/>
        <v>746.66666666666663</v>
      </c>
      <c r="AE29" s="1355"/>
      <c r="AF29" s="1096"/>
      <c r="AG29" s="576"/>
      <c r="AH29" s="576"/>
      <c r="AI29" s="1096"/>
      <c r="AJ29" s="1096"/>
      <c r="AK29" s="554"/>
      <c r="AL29" s="576"/>
      <c r="AM29" s="1081"/>
      <c r="AN29" s="1093"/>
      <c r="AO29" s="576">
        <f t="shared" si="1"/>
        <v>2800</v>
      </c>
      <c r="AP29" s="1072">
        <f t="shared" si="9"/>
        <v>2791.4444444444443</v>
      </c>
      <c r="AQ29" s="1097"/>
      <c r="AR29" s="576"/>
      <c r="AS29" s="1089">
        <v>0.1</v>
      </c>
      <c r="AT29" s="1093">
        <f t="shared" ref="AT29" si="33">+AP29*AS29</f>
        <v>279.14444444444445</v>
      </c>
      <c r="AU29" s="1089">
        <v>1.6E-2</v>
      </c>
      <c r="AV29" s="576">
        <f>+AP29*AU29</f>
        <v>44.663111111111114</v>
      </c>
      <c r="AW29" s="1089">
        <v>1.37E-2</v>
      </c>
      <c r="AX29" s="576">
        <f t="shared" si="26"/>
        <v>38.242788888888889</v>
      </c>
      <c r="AY29" s="1089">
        <f t="shared" ref="AY29:AZ30" si="34">+AS29+AU29+AW29</f>
        <v>0.12970000000000001</v>
      </c>
      <c r="AZ29" s="576">
        <f t="shared" si="34"/>
        <v>362.05034444444442</v>
      </c>
      <c r="BA29" s="576">
        <f>TARDANZA!K23</f>
        <v>0</v>
      </c>
      <c r="BB29" s="576">
        <f>TARDANZA!L23</f>
        <v>8.5555555555555554</v>
      </c>
      <c r="BC29" s="832">
        <v>1220</v>
      </c>
      <c r="BD29" s="576"/>
      <c r="BE29" s="576"/>
      <c r="BF29" s="576"/>
      <c r="BG29" s="576">
        <f>'HT. EPS'!E47</f>
        <v>53.645627747974558</v>
      </c>
      <c r="BH29" s="576"/>
      <c r="BJ29" s="1228">
        <f>'RTA 5TA'!O118</f>
        <v>100.91581404779072</v>
      </c>
      <c r="BK29" s="827">
        <f t="shared" si="10"/>
        <v>1745.1673417957652</v>
      </c>
      <c r="BL29" s="595">
        <f t="shared" si="11"/>
        <v>1054.8326582042348</v>
      </c>
      <c r="BM29" s="1088">
        <v>0.09</v>
      </c>
      <c r="BN29" s="576">
        <f t="shared" si="4"/>
        <v>251.23</v>
      </c>
      <c r="BO29" s="919">
        <v>9.75</v>
      </c>
      <c r="BP29" s="1080" t="s">
        <v>182</v>
      </c>
      <c r="BQ29" s="1081" t="s">
        <v>210</v>
      </c>
      <c r="BR29" s="546"/>
      <c r="BT29" s="543"/>
      <c r="BU29" s="554">
        <f t="shared" si="17"/>
        <v>527.4163291021174</v>
      </c>
      <c r="BV29" s="832">
        <v>1220</v>
      </c>
      <c r="BW29" s="546" t="s">
        <v>210</v>
      </c>
      <c r="BX29" s="543"/>
      <c r="BY29" s="543"/>
      <c r="BZ29" s="543"/>
      <c r="CA29" s="543"/>
      <c r="CB29" s="1177"/>
      <c r="CC29" s="1113"/>
      <c r="CD29" s="543"/>
      <c r="CE29" s="543"/>
      <c r="CF29" s="543"/>
      <c r="CG29" s="543"/>
      <c r="CH29" s="543"/>
      <c r="CI29" s="543"/>
      <c r="CJ29" s="543"/>
      <c r="CK29" s="543"/>
      <c r="CL29" s="543"/>
      <c r="CM29" s="543"/>
      <c r="CN29" s="543"/>
      <c r="CO29" s="543"/>
      <c r="CP29" s="543"/>
      <c r="CQ29" s="543"/>
      <c r="CR29" s="543"/>
      <c r="CS29" s="543"/>
      <c r="CT29" s="543"/>
      <c r="CU29" s="543"/>
      <c r="CV29" s="543"/>
      <c r="CW29" s="543"/>
      <c r="CX29" s="543"/>
      <c r="CY29" s="543"/>
      <c r="CZ29" s="543"/>
      <c r="DA29" s="543"/>
      <c r="DB29" s="543"/>
      <c r="DC29" s="543"/>
      <c r="DD29" s="543"/>
      <c r="DE29" s="543"/>
      <c r="DF29" s="543"/>
      <c r="DG29" s="543"/>
      <c r="DH29" s="543"/>
      <c r="DI29" s="543"/>
      <c r="DJ29" s="543"/>
      <c r="DK29" s="543"/>
      <c r="DL29" s="543"/>
      <c r="DM29" s="543"/>
      <c r="DN29" s="543"/>
      <c r="DO29" s="543"/>
      <c r="DP29" s="543"/>
      <c r="DQ29" s="543"/>
      <c r="DR29" s="543"/>
      <c r="DS29" s="543"/>
      <c r="DT29" s="543"/>
      <c r="DU29" s="543"/>
      <c r="DV29" s="543"/>
      <c r="DW29" s="543"/>
      <c r="DX29" s="543"/>
      <c r="DY29" s="543"/>
      <c r="DZ29" s="543"/>
      <c r="EA29" s="543"/>
      <c r="EB29" s="543"/>
      <c r="EC29" s="543"/>
      <c r="ED29" s="543"/>
      <c r="EE29" s="543"/>
      <c r="EF29" s="543"/>
      <c r="EG29" s="543"/>
      <c r="EH29" s="543"/>
      <c r="EI29" s="543"/>
      <c r="EJ29" s="543"/>
      <c r="EK29" s="543"/>
      <c r="EL29" s="543"/>
      <c r="EM29" s="543"/>
      <c r="EN29" s="543"/>
      <c r="EO29" s="543"/>
      <c r="EP29" s="543"/>
      <c r="EQ29" s="543"/>
      <c r="ER29" s="543"/>
      <c r="ES29" s="543"/>
      <c r="ET29" s="543"/>
      <c r="EU29" s="543"/>
      <c r="EV29" s="543"/>
      <c r="EW29" s="543"/>
      <c r="EX29" s="543"/>
      <c r="EY29" s="543"/>
      <c r="EZ29" s="543"/>
    </row>
    <row r="30" spans="1:156" s="549" customFormat="1">
      <c r="A30" s="546" t="s">
        <v>207</v>
      </c>
      <c r="B30" s="1080">
        <f t="shared" si="27"/>
        <v>19</v>
      </c>
      <c r="C30" s="1100" t="s">
        <v>255</v>
      </c>
      <c r="D30" s="1090">
        <v>73231901</v>
      </c>
      <c r="E30" s="1091">
        <v>34632</v>
      </c>
      <c r="F30" s="1085">
        <v>45537</v>
      </c>
      <c r="G30" s="1085"/>
      <c r="H30" s="1086" t="s">
        <v>257</v>
      </c>
      <c r="I30" s="1087" t="s">
        <v>72</v>
      </c>
      <c r="J30" s="554">
        <v>2500</v>
      </c>
      <c r="K30" s="576"/>
      <c r="L30" s="1081">
        <v>30</v>
      </c>
      <c r="M30" s="1081"/>
      <c r="N30" s="1081"/>
      <c r="O30" s="1081">
        <v>4</v>
      </c>
      <c r="P30" s="1081">
        <f t="shared" si="0"/>
        <v>26</v>
      </c>
      <c r="Q30" s="549">
        <v>8</v>
      </c>
      <c r="R30" s="1081">
        <f t="shared" si="13"/>
        <v>208</v>
      </c>
      <c r="S30" s="1096">
        <f>+J30-AD30-U30</f>
        <v>2166.6666666666665</v>
      </c>
      <c r="T30" s="919">
        <f t="shared" si="6"/>
        <v>0</v>
      </c>
      <c r="U30" s="827">
        <f t="shared" si="7"/>
        <v>0</v>
      </c>
      <c r="V30" s="576"/>
      <c r="W30" s="1096"/>
      <c r="X30" s="576">
        <f>H.E!L24</f>
        <v>184.89583333333331</v>
      </c>
      <c r="Y30" s="576">
        <f>H.E!M24</f>
        <v>123.046875</v>
      </c>
      <c r="Z30" s="576">
        <f>H.E!N24</f>
        <v>0</v>
      </c>
      <c r="AA30" s="1106"/>
      <c r="AB30" s="576"/>
      <c r="AC30" s="1096"/>
      <c r="AD30" s="827">
        <f>(J30+K30)/30*O30</f>
        <v>333.33333333333331</v>
      </c>
      <c r="AE30" s="1355"/>
      <c r="AF30" s="1096"/>
      <c r="AG30" s="576"/>
      <c r="AH30" s="576"/>
      <c r="AI30" s="1096"/>
      <c r="AJ30" s="1096"/>
      <c r="AK30" s="554"/>
      <c r="AL30" s="576"/>
      <c r="AN30" s="1303"/>
      <c r="AO30" s="576">
        <f t="shared" si="1"/>
        <v>2807.9427083333335</v>
      </c>
      <c r="AP30" s="1072">
        <f t="shared" si="9"/>
        <v>2788.671875</v>
      </c>
      <c r="AQ30" s="1304"/>
      <c r="AR30" s="1303"/>
      <c r="AS30" s="1089">
        <v>0.1</v>
      </c>
      <c r="AT30" s="1305">
        <f t="shared" ref="AT30" si="35">+AP30*AS30</f>
        <v>278.8671875</v>
      </c>
      <c r="AU30" s="1089">
        <v>0</v>
      </c>
      <c r="AV30" s="576">
        <f>+AP30*AU30</f>
        <v>0</v>
      </c>
      <c r="AW30" s="1089">
        <v>1.37E-2</v>
      </c>
      <c r="AX30" s="576">
        <f t="shared" ref="AX30" si="36">+AP30*AW30</f>
        <v>38.204804687500001</v>
      </c>
      <c r="AY30" s="1089">
        <f t="shared" si="34"/>
        <v>0.11370000000000001</v>
      </c>
      <c r="AZ30" s="1303">
        <f t="shared" si="34"/>
        <v>317.07199218749997</v>
      </c>
      <c r="BA30" s="576">
        <f>TARDANZA!K24</f>
        <v>0</v>
      </c>
      <c r="BB30" s="576">
        <f>TARDANZA!L24</f>
        <v>19.270833333333332</v>
      </c>
      <c r="BC30" s="956">
        <v>1100</v>
      </c>
      <c r="BD30" s="576"/>
      <c r="BE30" s="576"/>
      <c r="BF30" s="576"/>
      <c r="BG30" s="576"/>
      <c r="BH30" s="576"/>
      <c r="BJ30" s="842">
        <f>'RTA 5TA'!S118</f>
        <v>47.532184873970344</v>
      </c>
      <c r="BK30" s="827">
        <f t="shared" si="10"/>
        <v>1483.8750103948037</v>
      </c>
      <c r="BL30" s="595">
        <f t="shared" si="11"/>
        <v>1324.0676979385298</v>
      </c>
      <c r="BM30" s="1088">
        <v>0.09</v>
      </c>
      <c r="BN30" s="576">
        <f t="shared" si="4"/>
        <v>250.98046875</v>
      </c>
      <c r="BO30" s="919">
        <v>3</v>
      </c>
      <c r="BP30" s="1080"/>
      <c r="BQ30" s="1092" t="s">
        <v>203</v>
      </c>
      <c r="BR30" s="1306"/>
      <c r="BS30" s="1307"/>
      <c r="BT30" s="543"/>
      <c r="BU30" s="554">
        <f t="shared" si="17"/>
        <v>662.03384896926491</v>
      </c>
      <c r="BV30" s="956">
        <v>1100</v>
      </c>
      <c r="BW30" s="546" t="s">
        <v>203</v>
      </c>
      <c r="BX30" s="543"/>
      <c r="BY30" s="543"/>
      <c r="BZ30" s="543"/>
      <c r="CA30" s="543"/>
      <c r="CB30" s="1308"/>
      <c r="CC30" s="1113"/>
      <c r="CD30" s="543"/>
      <c r="CE30" s="543"/>
      <c r="CF30" s="543"/>
      <c r="CG30" s="543"/>
      <c r="CH30" s="543"/>
      <c r="CI30" s="543"/>
      <c r="CJ30" s="543"/>
      <c r="CK30" s="543"/>
      <c r="CL30" s="543"/>
      <c r="CM30" s="543"/>
      <c r="CN30" s="543"/>
      <c r="CO30" s="543"/>
      <c r="CP30" s="543"/>
      <c r="CQ30" s="543"/>
      <c r="CR30" s="543"/>
      <c r="CS30" s="543"/>
      <c r="CT30" s="543"/>
      <c r="CU30" s="543"/>
      <c r="CV30" s="543"/>
      <c r="CW30" s="543"/>
      <c r="CX30" s="543"/>
      <c r="CY30" s="543"/>
      <c r="CZ30" s="543"/>
      <c r="DA30" s="543"/>
      <c r="DB30" s="543"/>
      <c r="DC30" s="543"/>
      <c r="DD30" s="543"/>
      <c r="DE30" s="543"/>
      <c r="DF30" s="543"/>
      <c r="DG30" s="543"/>
      <c r="DH30" s="543"/>
      <c r="DI30" s="543"/>
      <c r="DJ30" s="543"/>
      <c r="DK30" s="543"/>
      <c r="DL30" s="543"/>
      <c r="DM30" s="543"/>
      <c r="DN30" s="543"/>
      <c r="DO30" s="543"/>
      <c r="DP30" s="543"/>
      <c r="DQ30" s="543"/>
      <c r="DR30" s="543"/>
      <c r="DS30" s="543"/>
      <c r="DT30" s="543"/>
      <c r="DU30" s="543"/>
      <c r="DV30" s="543"/>
      <c r="DW30" s="543"/>
      <c r="DX30" s="543"/>
      <c r="DY30" s="543"/>
      <c r="DZ30" s="543"/>
      <c r="EA30" s="543"/>
      <c r="EB30" s="543"/>
      <c r="EC30" s="543"/>
      <c r="ED30" s="543"/>
      <c r="EE30" s="543"/>
      <c r="EF30" s="543"/>
      <c r="EG30" s="543"/>
      <c r="EH30" s="543"/>
      <c r="EI30" s="543"/>
      <c r="EJ30" s="543"/>
      <c r="EK30" s="543"/>
      <c r="EL30" s="543"/>
      <c r="EM30" s="543"/>
      <c r="EN30" s="543"/>
      <c r="EO30" s="543"/>
      <c r="EP30" s="543"/>
      <c r="EQ30" s="543"/>
      <c r="ER30" s="543"/>
      <c r="ES30" s="543"/>
      <c r="ET30" s="543"/>
      <c r="EU30" s="543"/>
      <c r="EV30" s="543"/>
      <c r="EW30" s="543"/>
      <c r="EX30" s="543"/>
      <c r="EY30" s="543"/>
      <c r="EZ30" s="543"/>
    </row>
    <row r="31" spans="1:156" s="549" customFormat="1">
      <c r="A31" s="546" t="s">
        <v>207</v>
      </c>
      <c r="B31" s="1080">
        <f t="shared" si="27"/>
        <v>20</v>
      </c>
      <c r="C31" s="1100" t="s">
        <v>258</v>
      </c>
      <c r="D31" s="1090" t="s">
        <v>259</v>
      </c>
      <c r="E31" s="1091">
        <v>35803</v>
      </c>
      <c r="F31" s="1085">
        <v>45581</v>
      </c>
      <c r="G31" s="1085"/>
      <c r="H31" s="1086" t="s">
        <v>257</v>
      </c>
      <c r="I31" s="1087" t="s">
        <v>71</v>
      </c>
      <c r="J31" s="554">
        <v>2500</v>
      </c>
      <c r="K31" s="576"/>
      <c r="L31" s="1081">
        <v>30</v>
      </c>
      <c r="M31" s="1081"/>
      <c r="N31" s="1081"/>
      <c r="O31" s="1081">
        <v>8</v>
      </c>
      <c r="P31" s="1081">
        <f t="shared" si="0"/>
        <v>22</v>
      </c>
      <c r="Q31" s="549">
        <v>8</v>
      </c>
      <c r="R31" s="1081">
        <f t="shared" si="13"/>
        <v>176</v>
      </c>
      <c r="S31" s="1096">
        <f t="shared" si="5"/>
        <v>1833.3333333333335</v>
      </c>
      <c r="T31" s="919">
        <f t="shared" si="6"/>
        <v>0</v>
      </c>
      <c r="U31" s="827">
        <f t="shared" si="7"/>
        <v>0</v>
      </c>
      <c r="V31" s="576"/>
      <c r="W31" s="1096"/>
      <c r="X31" s="576">
        <f>H.E!L25</f>
        <v>112.84722222222221</v>
      </c>
      <c r="Y31" s="576">
        <f>H.E!M25</f>
        <v>89.0625</v>
      </c>
      <c r="Z31" s="576">
        <f>H.E!N25</f>
        <v>166.66666666666666</v>
      </c>
      <c r="AA31" s="576"/>
      <c r="AB31" s="576"/>
      <c r="AC31" s="1096"/>
      <c r="AD31" s="827">
        <f t="shared" si="8"/>
        <v>666.66666666666663</v>
      </c>
      <c r="AE31" s="1355"/>
      <c r="AF31" s="1096"/>
      <c r="AG31" s="576"/>
      <c r="AH31" s="576"/>
      <c r="AI31" s="1096"/>
      <c r="AJ31" s="1096"/>
      <c r="AK31" s="554"/>
      <c r="AL31" s="576"/>
      <c r="AM31" s="827"/>
      <c r="AN31" s="827"/>
      <c r="AO31" s="576">
        <f t="shared" si="1"/>
        <v>2868.5763888888887</v>
      </c>
      <c r="AP31" s="1072">
        <f t="shared" si="9"/>
        <v>2866.8402777777774</v>
      </c>
      <c r="AQ31" s="1078"/>
      <c r="AR31" s="827"/>
      <c r="AS31" s="1089">
        <v>0.1</v>
      </c>
      <c r="AT31" s="842">
        <f t="shared" ref="AT31:AT32" si="37">+AP31*AS31</f>
        <v>286.68402777777777</v>
      </c>
      <c r="AU31" s="1089">
        <v>0</v>
      </c>
      <c r="AV31" s="576">
        <f t="shared" ref="AV31:AV34" si="38">+AP31*AU31</f>
        <v>0</v>
      </c>
      <c r="AW31" s="1089">
        <v>1.37E-2</v>
      </c>
      <c r="AX31" s="576">
        <f t="shared" ref="AX31:AX32" si="39">+AP31*AW31</f>
        <v>39.275711805555552</v>
      </c>
      <c r="AY31" s="1089">
        <f t="shared" ref="AY31:AY32" si="40">+AS31+AU31+AW31</f>
        <v>0.11370000000000001</v>
      </c>
      <c r="AZ31" s="827">
        <f t="shared" ref="AZ31:AZ35" si="41">+AT31+AV31+AX31</f>
        <v>325.95973958333332</v>
      </c>
      <c r="BA31" s="576">
        <f>TARDANZA!K25</f>
        <v>0</v>
      </c>
      <c r="BB31" s="576">
        <f>TARDANZA!L25</f>
        <v>1.7361111111111112</v>
      </c>
      <c r="BC31" s="832">
        <v>1100</v>
      </c>
      <c r="BD31" s="576"/>
      <c r="BE31" s="576"/>
      <c r="BF31" s="576"/>
      <c r="BG31" s="576"/>
      <c r="BH31" s="576"/>
      <c r="BJ31" s="842">
        <f>'RTA 5TA'!R118</f>
        <v>35.787374966612091</v>
      </c>
      <c r="BK31" s="827">
        <f t="shared" si="10"/>
        <v>1463.4832256610566</v>
      </c>
      <c r="BL31" s="595">
        <f t="shared" si="11"/>
        <v>1405.0931632278321</v>
      </c>
      <c r="BM31" s="1088">
        <v>0.09</v>
      </c>
      <c r="BN31" s="576">
        <f t="shared" si="4"/>
        <v>258.01562499999994</v>
      </c>
      <c r="BO31" s="919">
        <v>3</v>
      </c>
      <c r="BP31" s="1080"/>
      <c r="BQ31" s="1081" t="s">
        <v>210</v>
      </c>
      <c r="BR31" s="546"/>
      <c r="BT31" s="543"/>
      <c r="BU31" s="554">
        <f t="shared" si="17"/>
        <v>702.54658161391603</v>
      </c>
      <c r="BV31" s="832">
        <v>1100</v>
      </c>
      <c r="BW31" s="546" t="s">
        <v>210</v>
      </c>
      <c r="BX31" s="543"/>
      <c r="BY31" s="543"/>
      <c r="BZ31" s="543"/>
      <c r="CA31" s="543"/>
      <c r="CB31" s="1177"/>
      <c r="CC31" s="1113"/>
      <c r="CD31" s="543"/>
      <c r="CE31" s="543"/>
      <c r="CF31" s="543"/>
      <c r="CG31" s="543"/>
      <c r="CH31" s="543"/>
      <c r="CI31" s="543"/>
      <c r="CJ31" s="543"/>
      <c r="CK31" s="543"/>
      <c r="CL31" s="543"/>
      <c r="CM31" s="543"/>
      <c r="CN31" s="543"/>
      <c r="CO31" s="543"/>
      <c r="CP31" s="543"/>
      <c r="CQ31" s="543"/>
      <c r="CR31" s="543"/>
      <c r="CS31" s="543"/>
      <c r="CT31" s="543"/>
      <c r="CU31" s="543"/>
      <c r="CV31" s="543"/>
      <c r="CW31" s="543"/>
      <c r="CX31" s="543"/>
      <c r="CY31" s="543"/>
      <c r="CZ31" s="543"/>
      <c r="DA31" s="543"/>
      <c r="DB31" s="543"/>
      <c r="DC31" s="543"/>
      <c r="DD31" s="543"/>
      <c r="DE31" s="543"/>
      <c r="DF31" s="543"/>
      <c r="DG31" s="543"/>
      <c r="DH31" s="543"/>
      <c r="DI31" s="543"/>
      <c r="DJ31" s="543"/>
      <c r="DK31" s="543"/>
      <c r="DL31" s="543"/>
      <c r="DM31" s="543"/>
      <c r="DN31" s="543"/>
      <c r="DO31" s="543"/>
      <c r="DP31" s="543"/>
      <c r="DQ31" s="543"/>
      <c r="DR31" s="543"/>
      <c r="DS31" s="543"/>
      <c r="DT31" s="543"/>
      <c r="DU31" s="543"/>
      <c r="DV31" s="543"/>
      <c r="DW31" s="543"/>
      <c r="DX31" s="543"/>
      <c r="DY31" s="543"/>
      <c r="DZ31" s="543"/>
      <c r="EA31" s="543"/>
      <c r="EB31" s="543"/>
      <c r="EC31" s="543"/>
      <c r="ED31" s="543"/>
      <c r="EE31" s="543"/>
      <c r="EF31" s="543"/>
      <c r="EG31" s="543"/>
      <c r="EH31" s="543"/>
      <c r="EI31" s="543"/>
      <c r="EJ31" s="543"/>
      <c r="EK31" s="543"/>
      <c r="EL31" s="543"/>
      <c r="EM31" s="543"/>
      <c r="EN31" s="543"/>
      <c r="EO31" s="543"/>
      <c r="EP31" s="543"/>
      <c r="EQ31" s="543"/>
      <c r="ER31" s="543"/>
      <c r="ES31" s="543"/>
      <c r="ET31" s="543"/>
      <c r="EU31" s="543"/>
      <c r="EV31" s="543"/>
      <c r="EW31" s="543"/>
      <c r="EX31" s="543"/>
      <c r="EY31" s="543"/>
      <c r="EZ31" s="543"/>
    </row>
    <row r="32" spans="1:156" s="1107" customFormat="1">
      <c r="A32" s="1098" t="s">
        <v>225</v>
      </c>
      <c r="B32" s="1080">
        <f t="shared" si="27"/>
        <v>21</v>
      </c>
      <c r="C32" s="1100" t="s">
        <v>260</v>
      </c>
      <c r="D32" s="1101">
        <v>73952223</v>
      </c>
      <c r="E32" s="1102">
        <v>36779</v>
      </c>
      <c r="F32" s="1103">
        <v>45627</v>
      </c>
      <c r="G32" s="1103"/>
      <c r="H32" s="1104" t="s">
        <v>263</v>
      </c>
      <c r="I32" s="1105" t="s">
        <v>71</v>
      </c>
      <c r="J32" s="554">
        <v>2500</v>
      </c>
      <c r="K32" s="1106"/>
      <c r="L32" s="1100">
        <v>30</v>
      </c>
      <c r="M32" s="1100"/>
      <c r="N32" s="1100"/>
      <c r="O32" s="1081"/>
      <c r="P32" s="1081">
        <f t="shared" si="0"/>
        <v>30</v>
      </c>
      <c r="Q32" s="1107">
        <v>8</v>
      </c>
      <c r="R32" s="1100">
        <f t="shared" si="13"/>
        <v>240</v>
      </c>
      <c r="S32" s="1096">
        <f t="shared" si="5"/>
        <v>2500</v>
      </c>
      <c r="T32" s="919">
        <f t="shared" si="6"/>
        <v>0</v>
      </c>
      <c r="U32" s="827">
        <f t="shared" si="7"/>
        <v>0</v>
      </c>
      <c r="V32" s="576"/>
      <c r="W32" s="1108"/>
      <c r="X32" s="576">
        <f>H.E!L26</f>
        <v>0</v>
      </c>
      <c r="Y32" s="576">
        <f>H.E!M26</f>
        <v>0</v>
      </c>
      <c r="Z32" s="576">
        <f>H.E!N26</f>
        <v>0</v>
      </c>
      <c r="AA32" s="576"/>
      <c r="AB32" s="576"/>
      <c r="AC32" s="1108"/>
      <c r="AD32" s="827">
        <f t="shared" si="8"/>
        <v>0</v>
      </c>
      <c r="AE32" s="1355"/>
      <c r="AF32" s="1108"/>
      <c r="AG32" s="576"/>
      <c r="AH32" s="1106"/>
      <c r="AI32" s="1108"/>
      <c r="AJ32" s="1108"/>
      <c r="AK32" s="556"/>
      <c r="AL32" s="576"/>
      <c r="AM32" s="1004"/>
      <c r="AN32" s="1004"/>
      <c r="AO32" s="576">
        <f t="shared" si="1"/>
        <v>2500</v>
      </c>
      <c r="AP32" s="1072">
        <f t="shared" si="9"/>
        <v>2485.7638888888887</v>
      </c>
      <c r="AQ32" s="1079"/>
      <c r="AR32" s="1004"/>
      <c r="AS32" s="1111">
        <v>0.1</v>
      </c>
      <c r="AT32" s="1005">
        <f t="shared" si="37"/>
        <v>248.57638888888889</v>
      </c>
      <c r="AU32" s="1111">
        <v>0</v>
      </c>
      <c r="AV32" s="1106">
        <f t="shared" si="38"/>
        <v>0</v>
      </c>
      <c r="AW32" s="1111">
        <v>1.37E-2</v>
      </c>
      <c r="AX32" s="1106">
        <f t="shared" si="39"/>
        <v>34.054965277777775</v>
      </c>
      <c r="AY32" s="1111">
        <f t="shared" si="40"/>
        <v>0.11370000000000001</v>
      </c>
      <c r="AZ32" s="1004">
        <f t="shared" si="41"/>
        <v>282.63135416666665</v>
      </c>
      <c r="BA32" s="576">
        <f>TARDANZA!K26</f>
        <v>0</v>
      </c>
      <c r="BB32" s="576">
        <f>TARDANZA!L26</f>
        <v>14.236111111111111</v>
      </c>
      <c r="BC32" s="832">
        <v>1100</v>
      </c>
      <c r="BD32" s="576"/>
      <c r="BE32" s="576"/>
      <c r="BF32" s="576"/>
      <c r="BG32" s="576"/>
      <c r="BH32" s="576"/>
      <c r="BJ32" s="1005">
        <f>'RTA 5TA'!Q118</f>
        <v>35.232335059183065</v>
      </c>
      <c r="BK32" s="827">
        <f t="shared" si="10"/>
        <v>1432.0998003369607</v>
      </c>
      <c r="BL32" s="595">
        <f t="shared" si="11"/>
        <v>1067.9001996630393</v>
      </c>
      <c r="BM32" s="1110">
        <v>0.09</v>
      </c>
      <c r="BN32" s="1106">
        <f t="shared" si="4"/>
        <v>223.71874999999997</v>
      </c>
      <c r="BO32" s="1076">
        <v>3.3000000000000003</v>
      </c>
      <c r="BP32" s="1099"/>
      <c r="BQ32" s="1100" t="s">
        <v>210</v>
      </c>
      <c r="BR32" s="1098"/>
      <c r="BT32" s="544"/>
      <c r="BU32" s="554">
        <f t="shared" si="17"/>
        <v>533.95009983151965</v>
      </c>
      <c r="BV32" s="832">
        <v>1100</v>
      </c>
      <c r="BW32" s="1098" t="s">
        <v>210</v>
      </c>
      <c r="BX32" s="543"/>
      <c r="BY32" s="543"/>
      <c r="BZ32" s="544"/>
      <c r="CA32" s="544"/>
      <c r="CB32" s="1178"/>
      <c r="CC32" s="1113"/>
      <c r="CD32" s="544"/>
      <c r="CE32" s="544"/>
      <c r="CF32" s="544"/>
      <c r="CG32" s="544"/>
      <c r="CH32" s="544"/>
      <c r="CI32" s="544"/>
      <c r="CJ32" s="544"/>
      <c r="CK32" s="544"/>
      <c r="CL32" s="544"/>
      <c r="CM32" s="544"/>
      <c r="CN32" s="544"/>
      <c r="CO32" s="544"/>
      <c r="CP32" s="544"/>
      <c r="CQ32" s="544"/>
      <c r="CR32" s="544"/>
      <c r="CS32" s="544"/>
      <c r="CT32" s="544"/>
      <c r="CU32" s="544"/>
      <c r="CV32" s="544"/>
      <c r="CW32" s="544"/>
      <c r="CX32" s="544"/>
      <c r="CY32" s="544"/>
      <c r="CZ32" s="544"/>
      <c r="DA32" s="544"/>
      <c r="DB32" s="544"/>
      <c r="DC32" s="544"/>
      <c r="DD32" s="544"/>
      <c r="DE32" s="544"/>
      <c r="DF32" s="544"/>
      <c r="DG32" s="544"/>
      <c r="DH32" s="544"/>
      <c r="DI32" s="544"/>
      <c r="DJ32" s="544"/>
      <c r="DK32" s="544"/>
      <c r="DL32" s="544"/>
      <c r="DM32" s="544"/>
      <c r="DN32" s="544"/>
      <c r="DO32" s="544"/>
      <c r="DP32" s="544"/>
      <c r="DQ32" s="544"/>
      <c r="DR32" s="544"/>
      <c r="DS32" s="544"/>
      <c r="DT32" s="544"/>
      <c r="DU32" s="544"/>
      <c r="DV32" s="544"/>
      <c r="DW32" s="544"/>
      <c r="DX32" s="544"/>
      <c r="DY32" s="544"/>
      <c r="DZ32" s="544"/>
      <c r="EA32" s="544"/>
      <c r="EB32" s="544"/>
      <c r="EC32" s="544"/>
      <c r="ED32" s="544"/>
      <c r="EE32" s="544"/>
      <c r="EF32" s="544"/>
      <c r="EG32" s="544"/>
      <c r="EH32" s="544"/>
      <c r="EI32" s="544"/>
      <c r="EJ32" s="544"/>
      <c r="EK32" s="544"/>
      <c r="EL32" s="544"/>
      <c r="EM32" s="544"/>
      <c r="EN32" s="544"/>
      <c r="EO32" s="544"/>
      <c r="EP32" s="544"/>
      <c r="EQ32" s="544"/>
      <c r="ER32" s="544"/>
      <c r="ES32" s="544"/>
      <c r="ET32" s="544"/>
      <c r="EU32" s="544"/>
      <c r="EV32" s="544"/>
      <c r="EW32" s="544"/>
      <c r="EX32" s="544"/>
      <c r="EY32" s="544"/>
      <c r="EZ32" s="544"/>
    </row>
    <row r="33" spans="1:156" s="549" customFormat="1">
      <c r="A33" s="546" t="s">
        <v>233</v>
      </c>
      <c r="B33" s="1080">
        <f t="shared" si="27"/>
        <v>22</v>
      </c>
      <c r="C33" s="1100" t="s">
        <v>264</v>
      </c>
      <c r="D33" s="1090" t="s">
        <v>265</v>
      </c>
      <c r="E33" s="1091">
        <v>32383</v>
      </c>
      <c r="F33" s="1085">
        <v>45658</v>
      </c>
      <c r="G33" s="1085"/>
      <c r="H33" s="1086" t="s">
        <v>236</v>
      </c>
      <c r="I33" s="1087" t="s">
        <v>72</v>
      </c>
      <c r="J33" s="554">
        <v>2800</v>
      </c>
      <c r="K33" s="576"/>
      <c r="L33" s="1081">
        <v>30</v>
      </c>
      <c r="M33" s="1081"/>
      <c r="N33" s="1081"/>
      <c r="O33" s="1081"/>
      <c r="P33" s="1081">
        <f t="shared" si="0"/>
        <v>30</v>
      </c>
      <c r="Q33" s="549">
        <v>8</v>
      </c>
      <c r="R33" s="1081">
        <f t="shared" si="13"/>
        <v>240</v>
      </c>
      <c r="S33" s="1096">
        <f t="shared" si="5"/>
        <v>2800</v>
      </c>
      <c r="T33" s="919">
        <f t="shared" si="6"/>
        <v>0</v>
      </c>
      <c r="U33" s="827">
        <f t="shared" si="7"/>
        <v>0</v>
      </c>
      <c r="V33" s="1081"/>
      <c r="W33" s="1096"/>
      <c r="X33" s="576">
        <f>H.E!L27</f>
        <v>0</v>
      </c>
      <c r="Y33" s="576">
        <f>H.E!M27</f>
        <v>0</v>
      </c>
      <c r="Z33" s="576">
        <f>H.E!N27</f>
        <v>0</v>
      </c>
      <c r="AA33" s="1096"/>
      <c r="AB33" s="576"/>
      <c r="AC33" s="1096"/>
      <c r="AD33" s="827">
        <f t="shared" si="8"/>
        <v>0</v>
      </c>
      <c r="AE33" s="1355"/>
      <c r="AF33" s="1096"/>
      <c r="AG33" s="576"/>
      <c r="AH33" s="576"/>
      <c r="AI33" s="1096"/>
      <c r="AJ33" s="1096"/>
      <c r="AK33" s="554"/>
      <c r="AL33" s="576"/>
      <c r="AM33" s="1081"/>
      <c r="AN33" s="1081"/>
      <c r="AO33" s="576">
        <f t="shared" si="1"/>
        <v>2800</v>
      </c>
      <c r="AP33" s="1072">
        <f t="shared" si="9"/>
        <v>2800</v>
      </c>
      <c r="AQ33" s="1097"/>
      <c r="AR33" s="576"/>
      <c r="AS33" s="1089">
        <v>0.1</v>
      </c>
      <c r="AT33" s="1093">
        <f t="shared" ref="AT33:AT34" si="42">+AP33*AS33</f>
        <v>280</v>
      </c>
      <c r="AU33" s="1089">
        <v>0</v>
      </c>
      <c r="AV33" s="576">
        <f t="shared" si="38"/>
        <v>0</v>
      </c>
      <c r="AW33" s="1089">
        <v>1.37E-2</v>
      </c>
      <c r="AX33" s="576">
        <f t="shared" ref="AX33:AX34" si="43">+AP33*AW33</f>
        <v>38.36</v>
      </c>
      <c r="AY33" s="1089">
        <f t="shared" ref="AY33:AY34" si="44">+AS33+AU33+AW33</f>
        <v>0.11370000000000001</v>
      </c>
      <c r="AZ33" s="576">
        <f t="shared" si="41"/>
        <v>318.36</v>
      </c>
      <c r="BA33" s="576">
        <f>TARDANZA!K27</f>
        <v>0</v>
      </c>
      <c r="BB33" s="576">
        <f>TARDANZA!L27</f>
        <v>0</v>
      </c>
      <c r="BC33" s="832">
        <v>1240</v>
      </c>
      <c r="BD33" s="576"/>
      <c r="BE33" s="576"/>
      <c r="BF33" s="576"/>
      <c r="BG33" s="1106">
        <f>'HT. EPS'!E48</f>
        <v>50.679526053059305</v>
      </c>
      <c r="BH33" s="576"/>
      <c r="BJ33" s="842">
        <f>'RTA 5TA'!P118</f>
        <v>102.1903639286206</v>
      </c>
      <c r="BK33" s="827">
        <f t="shared" si="10"/>
        <v>1711.2298899816801</v>
      </c>
      <c r="BL33" s="595">
        <f t="shared" si="11"/>
        <v>1088.7701100183199</v>
      </c>
      <c r="BM33" s="1088">
        <v>0.09</v>
      </c>
      <c r="BN33" s="576">
        <f t="shared" si="4"/>
        <v>252</v>
      </c>
      <c r="BO33" s="919">
        <v>9.75</v>
      </c>
      <c r="BP33" s="1080" t="s">
        <v>182</v>
      </c>
      <c r="BQ33" s="1081" t="s">
        <v>210</v>
      </c>
      <c r="BR33" s="1301"/>
      <c r="BS33" s="1113"/>
      <c r="BT33" s="543"/>
      <c r="BU33" s="554">
        <f t="shared" si="17"/>
        <v>544.38505500915994</v>
      </c>
      <c r="BV33" s="832">
        <v>1240</v>
      </c>
      <c r="BW33" s="546" t="s">
        <v>210</v>
      </c>
      <c r="BX33" s="543"/>
      <c r="BY33" s="1113"/>
      <c r="BZ33" s="543"/>
      <c r="CA33" s="543"/>
      <c r="CB33" s="1177"/>
      <c r="CC33" s="1113"/>
      <c r="CD33" s="543"/>
      <c r="CE33" s="543"/>
      <c r="CF33" s="543"/>
      <c r="CG33" s="543"/>
      <c r="CH33" s="543"/>
      <c r="CI33" s="543"/>
      <c r="CJ33" s="543"/>
      <c r="CK33" s="543"/>
      <c r="CL33" s="543"/>
      <c r="CM33" s="543"/>
      <c r="CN33" s="543"/>
      <c r="CO33" s="543"/>
      <c r="CP33" s="543"/>
      <c r="CQ33" s="543"/>
      <c r="CR33" s="543"/>
      <c r="CS33" s="543"/>
      <c r="CT33" s="543"/>
      <c r="CU33" s="543"/>
      <c r="CV33" s="543"/>
      <c r="CW33" s="543"/>
      <c r="CX33" s="543"/>
      <c r="CY33" s="543"/>
      <c r="CZ33" s="543"/>
      <c r="DA33" s="543"/>
      <c r="DB33" s="543"/>
      <c r="DC33" s="543"/>
      <c r="DD33" s="543"/>
      <c r="DE33" s="543"/>
      <c r="DF33" s="543"/>
      <c r="DG33" s="543"/>
      <c r="DH33" s="543"/>
      <c r="DI33" s="543"/>
      <c r="DJ33" s="543"/>
      <c r="DK33" s="543"/>
      <c r="DL33" s="543"/>
      <c r="DM33" s="543"/>
      <c r="DN33" s="543"/>
      <c r="DO33" s="543"/>
      <c r="DP33" s="543"/>
      <c r="DQ33" s="543"/>
      <c r="DR33" s="543"/>
      <c r="DS33" s="543"/>
      <c r="DT33" s="543"/>
      <c r="DU33" s="543"/>
      <c r="DV33" s="543"/>
      <c r="DW33" s="543"/>
      <c r="DX33" s="543"/>
      <c r="DY33" s="543"/>
      <c r="DZ33" s="543"/>
      <c r="EA33" s="543"/>
      <c r="EB33" s="543"/>
      <c r="EC33" s="543"/>
      <c r="ED33" s="543"/>
      <c r="EE33" s="543"/>
      <c r="EF33" s="543"/>
      <c r="EG33" s="543"/>
      <c r="EH33" s="543"/>
      <c r="EI33" s="543"/>
      <c r="EJ33" s="543"/>
      <c r="EK33" s="543"/>
      <c r="EL33" s="543"/>
      <c r="EM33" s="543"/>
      <c r="EN33" s="543"/>
      <c r="EO33" s="543"/>
      <c r="EP33" s="543"/>
      <c r="EQ33" s="543"/>
      <c r="ER33" s="543"/>
      <c r="ES33" s="543"/>
      <c r="ET33" s="543"/>
      <c r="EU33" s="543"/>
      <c r="EV33" s="543"/>
      <c r="EW33" s="543"/>
      <c r="EX33" s="543"/>
      <c r="EY33" s="543"/>
      <c r="EZ33" s="543"/>
    </row>
    <row r="34" spans="1:156" s="549" customFormat="1">
      <c r="A34" s="546" t="s">
        <v>200</v>
      </c>
      <c r="B34" s="1080">
        <f t="shared" si="27"/>
        <v>23</v>
      </c>
      <c r="C34" s="1100" t="s">
        <v>266</v>
      </c>
      <c r="D34" s="1090">
        <v>71114663</v>
      </c>
      <c r="E34" s="1091">
        <v>36860</v>
      </c>
      <c r="F34" s="1085">
        <v>45658</v>
      </c>
      <c r="G34" s="1085"/>
      <c r="H34" s="1086" t="s">
        <v>229</v>
      </c>
      <c r="I34" s="1087" t="s">
        <v>72</v>
      </c>
      <c r="J34" s="554">
        <v>2500</v>
      </c>
      <c r="K34" s="576"/>
      <c r="L34" s="1081">
        <v>30</v>
      </c>
      <c r="M34" s="1081"/>
      <c r="N34" s="1081"/>
      <c r="O34" s="1081">
        <v>7</v>
      </c>
      <c r="P34" s="1081">
        <f t="shared" si="0"/>
        <v>23</v>
      </c>
      <c r="Q34" s="549">
        <v>8</v>
      </c>
      <c r="R34" s="1081">
        <f t="shared" si="13"/>
        <v>184</v>
      </c>
      <c r="S34" s="1096">
        <f t="shared" si="5"/>
        <v>1916.6666666666667</v>
      </c>
      <c r="T34" s="919">
        <f t="shared" si="6"/>
        <v>0</v>
      </c>
      <c r="U34" s="827">
        <f t="shared" si="7"/>
        <v>0</v>
      </c>
      <c r="V34" s="576">
        <f>COMISIONES!K8</f>
        <v>1528.25</v>
      </c>
      <c r="W34" s="1096">
        <f>(SUM(COMISIONES!E8:J8)/180)*'PLANILLA MENSUAL'!O34</f>
        <v>328.56523899717513</v>
      </c>
      <c r="X34" s="576">
        <f>H.E!L28</f>
        <v>0</v>
      </c>
      <c r="Y34" s="576">
        <f>H.E!M28</f>
        <v>0</v>
      </c>
      <c r="Z34" s="576">
        <f>H.E!N28</f>
        <v>0</v>
      </c>
      <c r="AA34" s="1096"/>
      <c r="AB34" s="576"/>
      <c r="AC34" s="1096"/>
      <c r="AD34" s="827">
        <f t="shared" si="8"/>
        <v>583.33333333333326</v>
      </c>
      <c r="AE34" s="1355"/>
      <c r="AF34" s="1096"/>
      <c r="AG34" s="576"/>
      <c r="AH34" s="576"/>
      <c r="AI34" s="1096"/>
      <c r="AJ34" s="1096"/>
      <c r="AK34" s="554"/>
      <c r="AL34" s="576"/>
      <c r="AM34" s="1081"/>
      <c r="AN34" s="1081"/>
      <c r="AO34" s="576">
        <f t="shared" si="1"/>
        <v>4356.8152389971756</v>
      </c>
      <c r="AP34" s="1072">
        <f t="shared" si="9"/>
        <v>4346.3985723305086</v>
      </c>
      <c r="AQ34" s="1097"/>
      <c r="AR34" s="576"/>
      <c r="AS34" s="1089">
        <v>0.1</v>
      </c>
      <c r="AT34" s="1093">
        <f t="shared" si="42"/>
        <v>434.63985723305086</v>
      </c>
      <c r="AU34" s="1089">
        <v>0</v>
      </c>
      <c r="AV34" s="576">
        <f t="shared" si="38"/>
        <v>0</v>
      </c>
      <c r="AW34" s="1089">
        <v>1.37E-2</v>
      </c>
      <c r="AX34" s="576">
        <f t="shared" si="43"/>
        <v>59.545660440927968</v>
      </c>
      <c r="AY34" s="1089">
        <f t="shared" si="44"/>
        <v>0.11370000000000001</v>
      </c>
      <c r="AZ34" s="576">
        <f t="shared" si="41"/>
        <v>494.18551767397884</v>
      </c>
      <c r="BA34" s="576">
        <f>TARDANZA!K28</f>
        <v>0</v>
      </c>
      <c r="BB34" s="576">
        <f>TARDANZA!L28</f>
        <v>10.416666666666666</v>
      </c>
      <c r="BC34" s="832">
        <v>1000</v>
      </c>
      <c r="BD34" s="576"/>
      <c r="BE34" s="576"/>
      <c r="BF34" s="576"/>
      <c r="BG34" s="576"/>
      <c r="BH34" s="576"/>
      <c r="BJ34" s="842">
        <f>'RTA 5TA VTAS'!I126</f>
        <v>185.12032441607835</v>
      </c>
      <c r="BK34" s="827">
        <f>+AZ34+SUM(BA34:BJ34)+AR34</f>
        <v>1689.7225087567238</v>
      </c>
      <c r="BL34" s="595">
        <f>(+AO34-BK34)</f>
        <v>2667.0927302404516</v>
      </c>
      <c r="BM34" s="1088">
        <v>0.09</v>
      </c>
      <c r="BN34" s="576">
        <f t="shared" si="4"/>
        <v>391.17587150974578</v>
      </c>
      <c r="BO34" s="919">
        <v>2.6999999999999997</v>
      </c>
      <c r="BP34" s="1080"/>
      <c r="BQ34" s="1081" t="s">
        <v>210</v>
      </c>
      <c r="BR34" s="546"/>
      <c r="BT34" s="543"/>
      <c r="BU34" s="554">
        <f t="shared" si="17"/>
        <v>1333.5463651202258</v>
      </c>
      <c r="BV34" s="832">
        <v>1000</v>
      </c>
      <c r="BW34" s="546" t="s">
        <v>210</v>
      </c>
      <c r="BX34" s="543"/>
      <c r="BY34" s="543"/>
      <c r="BZ34" s="543"/>
      <c r="CA34" s="543"/>
      <c r="CB34" s="1177"/>
      <c r="CC34" s="1113"/>
      <c r="CD34" s="543"/>
      <c r="CE34" s="543"/>
      <c r="CF34" s="543"/>
      <c r="CG34" s="543"/>
      <c r="CH34" s="543"/>
      <c r="CI34" s="543"/>
      <c r="CJ34" s="543"/>
      <c r="CK34" s="543"/>
      <c r="CL34" s="543"/>
      <c r="CM34" s="543"/>
      <c r="CN34" s="543"/>
      <c r="CO34" s="543"/>
      <c r="CP34" s="543"/>
      <c r="CQ34" s="543"/>
      <c r="CR34" s="543"/>
      <c r="CS34" s="543"/>
      <c r="CT34" s="543"/>
      <c r="CU34" s="543"/>
      <c r="CV34" s="543"/>
      <c r="CW34" s="543"/>
      <c r="CX34" s="543"/>
      <c r="CY34" s="543"/>
      <c r="CZ34" s="543"/>
      <c r="DA34" s="543"/>
      <c r="DB34" s="543"/>
      <c r="DC34" s="543"/>
      <c r="DD34" s="543"/>
      <c r="DE34" s="543"/>
      <c r="DF34" s="543"/>
      <c r="DG34" s="543"/>
      <c r="DH34" s="543"/>
      <c r="DI34" s="543"/>
      <c r="DJ34" s="543"/>
      <c r="DK34" s="543"/>
      <c r="DL34" s="543"/>
      <c r="DM34" s="543"/>
      <c r="DN34" s="543"/>
      <c r="DO34" s="543"/>
      <c r="DP34" s="543"/>
      <c r="DQ34" s="543"/>
      <c r="DR34" s="543"/>
      <c r="DS34" s="543"/>
      <c r="DT34" s="543"/>
      <c r="DU34" s="543"/>
      <c r="DV34" s="543"/>
      <c r="DW34" s="543"/>
      <c r="DX34" s="543"/>
      <c r="DY34" s="543"/>
      <c r="DZ34" s="543"/>
      <c r="EA34" s="543"/>
      <c r="EB34" s="543"/>
      <c r="EC34" s="543"/>
      <c r="ED34" s="543"/>
      <c r="EE34" s="543"/>
      <c r="EF34" s="543"/>
      <c r="EG34" s="543"/>
      <c r="EH34" s="543"/>
      <c r="EI34" s="543"/>
      <c r="EJ34" s="543"/>
      <c r="EK34" s="543"/>
      <c r="EL34" s="543"/>
      <c r="EM34" s="543"/>
      <c r="EN34" s="543"/>
      <c r="EO34" s="543"/>
      <c r="EP34" s="543"/>
      <c r="EQ34" s="543"/>
      <c r="ER34" s="543"/>
      <c r="ES34" s="543"/>
      <c r="ET34" s="543"/>
      <c r="EU34" s="543"/>
      <c r="EV34" s="543"/>
      <c r="EW34" s="543"/>
      <c r="EX34" s="543"/>
      <c r="EY34" s="543"/>
      <c r="EZ34" s="543"/>
    </row>
    <row r="35" spans="1:156" s="549" customFormat="1">
      <c r="A35" s="546" t="s">
        <v>200</v>
      </c>
      <c r="B35" s="1080">
        <f t="shared" si="27"/>
        <v>24</v>
      </c>
      <c r="C35" s="1100" t="s">
        <v>268</v>
      </c>
      <c r="D35" s="1090">
        <v>73735818</v>
      </c>
      <c r="E35" s="1091">
        <v>36161</v>
      </c>
      <c r="F35" s="1085">
        <v>45689</v>
      </c>
      <c r="G35" s="1085"/>
      <c r="H35" s="1086" t="s">
        <v>229</v>
      </c>
      <c r="I35" s="1087" t="s">
        <v>71</v>
      </c>
      <c r="J35" s="554">
        <v>2500</v>
      </c>
      <c r="K35" s="576"/>
      <c r="L35" s="1081">
        <v>30</v>
      </c>
      <c r="M35" s="1081"/>
      <c r="N35" s="1081"/>
      <c r="O35" s="1081">
        <v>7</v>
      </c>
      <c r="P35" s="1081">
        <f t="shared" si="0"/>
        <v>23</v>
      </c>
      <c r="Q35" s="549">
        <v>8</v>
      </c>
      <c r="R35" s="1081">
        <f t="shared" si="13"/>
        <v>184</v>
      </c>
      <c r="S35" s="1096">
        <f t="shared" si="5"/>
        <v>1916.6666666666667</v>
      </c>
      <c r="T35" s="919">
        <f t="shared" si="6"/>
        <v>0</v>
      </c>
      <c r="U35" s="827">
        <f t="shared" si="7"/>
        <v>0</v>
      </c>
      <c r="V35" s="576">
        <f>COMISIONES!K7</f>
        <v>1091.3599999999999</v>
      </c>
      <c r="W35" s="1096">
        <f>(SUM(COMISIONES!E7:J7)/180)*'PLANILLA MENSUAL'!O35</f>
        <v>288.75348249999996</v>
      </c>
      <c r="X35" s="576">
        <f>H.E!L29</f>
        <v>0</v>
      </c>
      <c r="Y35" s="576">
        <f>H.E!M29</f>
        <v>0</v>
      </c>
      <c r="Z35" s="576">
        <f>H.E!N29</f>
        <v>0</v>
      </c>
      <c r="AA35" s="1096"/>
      <c r="AB35" s="576"/>
      <c r="AC35" s="1096"/>
      <c r="AD35" s="827">
        <f t="shared" si="8"/>
        <v>583.33333333333326</v>
      </c>
      <c r="AE35" s="1355"/>
      <c r="AF35" s="1096"/>
      <c r="AG35" s="576"/>
      <c r="AH35" s="576"/>
      <c r="AI35" s="1096"/>
      <c r="AJ35" s="1096"/>
      <c r="AK35" s="554"/>
      <c r="AL35" s="576"/>
      <c r="AM35" s="827"/>
      <c r="AN35" s="827"/>
      <c r="AO35" s="576">
        <f t="shared" si="1"/>
        <v>3880.1134824999999</v>
      </c>
      <c r="AP35" s="1072">
        <f t="shared" si="9"/>
        <v>3880.1134824999999</v>
      </c>
      <c r="AQ35" s="1078"/>
      <c r="AR35" s="827"/>
      <c r="AS35" s="1089">
        <v>0.1</v>
      </c>
      <c r="AT35" s="842">
        <f t="shared" ref="AT35" si="45">+AP35*AS35</f>
        <v>388.01134825000003</v>
      </c>
      <c r="AU35" s="1089">
        <v>0</v>
      </c>
      <c r="AV35" s="576">
        <f t="shared" ref="AV35" si="46">+AP35*AU35</f>
        <v>0</v>
      </c>
      <c r="AW35" s="1089">
        <v>1.37E-2</v>
      </c>
      <c r="AX35" s="576">
        <f t="shared" ref="AX35" si="47">+AP35*AW35</f>
        <v>53.157554710249997</v>
      </c>
      <c r="AY35" s="1089">
        <f t="shared" ref="AY35" si="48">+AS35+AU35+AW35</f>
        <v>0.11370000000000001</v>
      </c>
      <c r="AZ35" s="827">
        <f t="shared" si="41"/>
        <v>441.16890296025002</v>
      </c>
      <c r="BA35" s="576">
        <f>TARDANZA!K29</f>
        <v>0</v>
      </c>
      <c r="BB35" s="576">
        <f>TARDANZA!L29</f>
        <v>0</v>
      </c>
      <c r="BC35" s="832">
        <v>1050</v>
      </c>
      <c r="BD35" s="576"/>
      <c r="BE35" s="576"/>
      <c r="BF35" s="576"/>
      <c r="BG35" s="576"/>
      <c r="BH35" s="576"/>
      <c r="BJ35" s="842">
        <f>'RTA 5TA VTAS'!H126</f>
        <v>148.21147603983658</v>
      </c>
      <c r="BK35" s="827">
        <f t="shared" si="10"/>
        <v>1639.3803790000866</v>
      </c>
      <c r="BL35" s="595">
        <f t="shared" si="11"/>
        <v>2240.7331034999133</v>
      </c>
      <c r="BM35" s="1088">
        <v>0.09</v>
      </c>
      <c r="BN35" s="576">
        <f t="shared" si="4"/>
        <v>349.21021342500001</v>
      </c>
      <c r="BO35" s="919">
        <v>3.75</v>
      </c>
      <c r="BP35" s="1080"/>
      <c r="BQ35" s="1092" t="s">
        <v>203</v>
      </c>
      <c r="BR35" s="1300"/>
      <c r="BS35" s="1055"/>
      <c r="BT35" s="543"/>
      <c r="BU35" s="554">
        <f t="shared" si="17"/>
        <v>1120.3665517499567</v>
      </c>
      <c r="BV35" s="832">
        <v>1050</v>
      </c>
      <c r="BW35" s="546" t="s">
        <v>203</v>
      </c>
      <c r="BX35" s="543"/>
      <c r="BY35" s="543"/>
      <c r="BZ35" s="543"/>
      <c r="CA35" s="543"/>
      <c r="CB35" s="1177"/>
      <c r="CC35" s="1113"/>
      <c r="CD35" s="543"/>
      <c r="CE35" s="543"/>
      <c r="CF35" s="543"/>
      <c r="CG35" s="543"/>
      <c r="CH35" s="543"/>
      <c r="CI35" s="543"/>
      <c r="CJ35" s="543"/>
      <c r="CK35" s="543"/>
      <c r="CL35" s="543"/>
      <c r="CM35" s="543"/>
      <c r="CN35" s="543"/>
      <c r="CO35" s="543"/>
      <c r="CP35" s="543"/>
      <c r="CQ35" s="543"/>
      <c r="CR35" s="543"/>
      <c r="CS35" s="543"/>
      <c r="CT35" s="543"/>
      <c r="CU35" s="543"/>
      <c r="CV35" s="543"/>
      <c r="CW35" s="543"/>
      <c r="CX35" s="543"/>
      <c r="CY35" s="543"/>
      <c r="CZ35" s="543"/>
      <c r="DA35" s="543"/>
      <c r="DB35" s="543"/>
      <c r="DC35" s="543"/>
      <c r="DD35" s="543"/>
      <c r="DE35" s="543"/>
      <c r="DF35" s="543"/>
      <c r="DG35" s="543"/>
      <c r="DH35" s="543"/>
      <c r="DI35" s="543"/>
      <c r="DJ35" s="543"/>
      <c r="DK35" s="543"/>
      <c r="DL35" s="543"/>
      <c r="DM35" s="543"/>
      <c r="DN35" s="543"/>
      <c r="DO35" s="543"/>
      <c r="DP35" s="543"/>
      <c r="DQ35" s="543"/>
      <c r="DR35" s="543"/>
      <c r="DS35" s="543"/>
      <c r="DT35" s="543"/>
      <c r="DU35" s="543"/>
      <c r="DV35" s="543"/>
      <c r="DW35" s="543"/>
      <c r="DX35" s="543"/>
      <c r="DY35" s="543"/>
      <c r="DZ35" s="543"/>
      <c r="EA35" s="543"/>
      <c r="EB35" s="543"/>
      <c r="EC35" s="543"/>
      <c r="ED35" s="543"/>
      <c r="EE35" s="543"/>
      <c r="EF35" s="543"/>
      <c r="EG35" s="543"/>
      <c r="EH35" s="543"/>
      <c r="EI35" s="543"/>
      <c r="EJ35" s="543"/>
      <c r="EK35" s="543"/>
      <c r="EL35" s="543"/>
      <c r="EM35" s="543"/>
      <c r="EN35" s="543"/>
      <c r="EO35" s="543"/>
      <c r="EP35" s="543"/>
      <c r="EQ35" s="543"/>
      <c r="ER35" s="543"/>
      <c r="ES35" s="543"/>
      <c r="ET35" s="543"/>
      <c r="EU35" s="543"/>
      <c r="EV35" s="543"/>
      <c r="EW35" s="543"/>
      <c r="EX35" s="543"/>
      <c r="EY35" s="543"/>
      <c r="EZ35" s="543"/>
    </row>
    <row r="36" spans="1:156" s="549" customFormat="1">
      <c r="A36" s="546" t="s">
        <v>216</v>
      </c>
      <c r="B36" s="1080">
        <f t="shared" si="27"/>
        <v>25</v>
      </c>
      <c r="C36" s="1100" t="s">
        <v>269</v>
      </c>
      <c r="D36" s="1090">
        <v>6802763</v>
      </c>
      <c r="E36" s="1091">
        <v>28259</v>
      </c>
      <c r="F36" s="1085">
        <v>45698</v>
      </c>
      <c r="G36" s="1085"/>
      <c r="H36" s="1086" t="s">
        <v>270</v>
      </c>
      <c r="I36" s="1087" t="s">
        <v>144</v>
      </c>
      <c r="J36" s="554">
        <v>2800</v>
      </c>
      <c r="K36" s="576"/>
      <c r="L36" s="1081">
        <v>30</v>
      </c>
      <c r="M36" s="1081"/>
      <c r="N36" s="1081"/>
      <c r="O36" s="1081">
        <v>2</v>
      </c>
      <c r="P36" s="1081">
        <f t="shared" si="0"/>
        <v>28</v>
      </c>
      <c r="Q36" s="549">
        <v>8</v>
      </c>
      <c r="R36" s="1081">
        <f t="shared" si="13"/>
        <v>224</v>
      </c>
      <c r="S36" s="1096">
        <f t="shared" si="5"/>
        <v>2613.3333333333335</v>
      </c>
      <c r="T36" s="919">
        <f t="shared" si="6"/>
        <v>0</v>
      </c>
      <c r="U36" s="827">
        <f t="shared" si="7"/>
        <v>0</v>
      </c>
      <c r="V36" s="1096"/>
      <c r="W36" s="1096"/>
      <c r="X36" s="576">
        <f>H.E!L30</f>
        <v>0</v>
      </c>
      <c r="Y36" s="576">
        <f>H.E!M30</f>
        <v>0</v>
      </c>
      <c r="Z36" s="576">
        <f>H.E!N30</f>
        <v>0</v>
      </c>
      <c r="AA36" s="1096"/>
      <c r="AB36" s="576"/>
      <c r="AC36" s="1096"/>
      <c r="AD36" s="827">
        <f t="shared" si="8"/>
        <v>186.66666666666666</v>
      </c>
      <c r="AE36" s="1355"/>
      <c r="AF36" s="1096"/>
      <c r="AG36" s="576"/>
      <c r="AH36" s="576"/>
      <c r="AI36" s="1096"/>
      <c r="AJ36" s="1096"/>
      <c r="AK36" s="554"/>
      <c r="AL36" s="576"/>
      <c r="AM36" s="1081"/>
      <c r="AN36" s="1081"/>
      <c r="AO36" s="576">
        <f t="shared" si="1"/>
        <v>2800</v>
      </c>
      <c r="AP36" s="1072">
        <f t="shared" si="9"/>
        <v>2790.0833333333335</v>
      </c>
      <c r="AQ36" s="1097">
        <v>0.13</v>
      </c>
      <c r="AR36" s="576">
        <f>+AP36*AQ36</f>
        <v>362.71083333333337</v>
      </c>
      <c r="AS36" s="1089"/>
      <c r="AT36" s="1093"/>
      <c r="AU36" s="1089"/>
      <c r="AV36" s="576"/>
      <c r="AW36" s="1089"/>
      <c r="AX36" s="576"/>
      <c r="AY36" s="1089"/>
      <c r="AZ36" s="576"/>
      <c r="BA36" s="576">
        <f>TARDANZA!K30</f>
        <v>0</v>
      </c>
      <c r="BB36" s="576">
        <f>TARDANZA!L30</f>
        <v>9.9166666666666661</v>
      </c>
      <c r="BC36" s="832">
        <v>1200</v>
      </c>
      <c r="BD36" s="576"/>
      <c r="BE36" s="576"/>
      <c r="BF36" s="576"/>
      <c r="BG36" s="576"/>
      <c r="BH36" s="576"/>
      <c r="BJ36" s="842">
        <f>'RTA 5TA'!L118</f>
        <v>8.0266666666666673</v>
      </c>
      <c r="BK36" s="827">
        <f t="shared" si="10"/>
        <v>1580.6541666666667</v>
      </c>
      <c r="BL36" s="595">
        <f t="shared" si="11"/>
        <v>1219.3458333333333</v>
      </c>
      <c r="BM36" s="1088">
        <v>0.09</v>
      </c>
      <c r="BN36" s="576">
        <f t="shared" si="4"/>
        <v>251.10750000000002</v>
      </c>
      <c r="BO36" s="919">
        <v>10.92</v>
      </c>
      <c r="BP36" s="1080"/>
      <c r="BQ36" s="1081" t="s">
        <v>210</v>
      </c>
      <c r="BR36" s="546"/>
      <c r="BT36" s="543"/>
      <c r="BU36" s="554">
        <f t="shared" si="17"/>
        <v>609.67291666666665</v>
      </c>
      <c r="BV36" s="832">
        <v>1200</v>
      </c>
      <c r="BW36" s="546" t="s">
        <v>210</v>
      </c>
      <c r="BX36" s="543"/>
      <c r="BY36" s="543"/>
      <c r="BZ36" s="543"/>
      <c r="CA36" s="543"/>
      <c r="CB36" s="1177"/>
      <c r="CC36" s="1113"/>
      <c r="CD36" s="543"/>
      <c r="CE36" s="543"/>
      <c r="CF36" s="543"/>
      <c r="CG36" s="543"/>
      <c r="CH36" s="543"/>
      <c r="CI36" s="543"/>
      <c r="CJ36" s="543"/>
      <c r="CK36" s="543"/>
      <c r="CL36" s="543"/>
      <c r="CM36" s="543"/>
      <c r="CN36" s="543"/>
      <c r="CO36" s="543"/>
      <c r="CP36" s="543"/>
      <c r="CQ36" s="543"/>
      <c r="CR36" s="543"/>
      <c r="CS36" s="543"/>
      <c r="CT36" s="543"/>
      <c r="CU36" s="543"/>
      <c r="CV36" s="543"/>
      <c r="CW36" s="543"/>
      <c r="CX36" s="543"/>
      <c r="CY36" s="543"/>
      <c r="CZ36" s="543"/>
      <c r="DA36" s="543"/>
      <c r="DB36" s="543"/>
      <c r="DC36" s="543"/>
      <c r="DD36" s="543"/>
      <c r="DE36" s="543"/>
      <c r="DF36" s="543"/>
      <c r="DG36" s="543"/>
      <c r="DH36" s="543"/>
      <c r="DI36" s="543"/>
      <c r="DJ36" s="543"/>
      <c r="DK36" s="543"/>
      <c r="DL36" s="543"/>
      <c r="DM36" s="543"/>
      <c r="DN36" s="543"/>
      <c r="DO36" s="543"/>
      <c r="DP36" s="543"/>
      <c r="DQ36" s="543"/>
      <c r="DR36" s="543"/>
      <c r="DS36" s="543"/>
      <c r="DT36" s="543"/>
      <c r="DU36" s="543"/>
      <c r="DV36" s="543"/>
      <c r="DW36" s="543"/>
      <c r="DX36" s="543"/>
      <c r="DY36" s="543"/>
      <c r="DZ36" s="543"/>
      <c r="EA36" s="543"/>
      <c r="EB36" s="543"/>
      <c r="EC36" s="543"/>
      <c r="ED36" s="543"/>
      <c r="EE36" s="543"/>
      <c r="EF36" s="543"/>
      <c r="EG36" s="543"/>
      <c r="EH36" s="543"/>
      <c r="EI36" s="543"/>
      <c r="EJ36" s="543"/>
      <c r="EK36" s="543"/>
      <c r="EL36" s="543"/>
      <c r="EM36" s="543"/>
      <c r="EN36" s="543"/>
      <c r="EO36" s="543"/>
      <c r="EP36" s="543"/>
      <c r="EQ36" s="543"/>
      <c r="ER36" s="543"/>
      <c r="ES36" s="543"/>
      <c r="ET36" s="543"/>
      <c r="EU36" s="543"/>
      <c r="EV36" s="543"/>
      <c r="EW36" s="543"/>
      <c r="EX36" s="543"/>
      <c r="EY36" s="543"/>
      <c r="EZ36" s="543"/>
    </row>
    <row r="37" spans="1:156" s="549" customFormat="1">
      <c r="A37" s="546" t="s">
        <v>207</v>
      </c>
      <c r="B37" s="1080">
        <f t="shared" si="27"/>
        <v>26</v>
      </c>
      <c r="C37" s="1100" t="s">
        <v>271</v>
      </c>
      <c r="D37" s="1090">
        <v>48461873</v>
      </c>
      <c r="E37" s="1091">
        <v>34304</v>
      </c>
      <c r="F37" s="1085">
        <v>45719</v>
      </c>
      <c r="G37" s="1085"/>
      <c r="H37" s="1086" t="s">
        <v>257</v>
      </c>
      <c r="I37" s="1087" t="s">
        <v>71</v>
      </c>
      <c r="J37" s="554">
        <v>2000</v>
      </c>
      <c r="K37" s="576"/>
      <c r="L37" s="1081">
        <v>30</v>
      </c>
      <c r="M37" s="1081"/>
      <c r="N37" s="1081"/>
      <c r="O37" s="1081">
        <v>7</v>
      </c>
      <c r="P37" s="1081">
        <f t="shared" si="0"/>
        <v>23</v>
      </c>
      <c r="Q37" s="549">
        <v>8</v>
      </c>
      <c r="R37" s="1081">
        <f t="shared" si="13"/>
        <v>184</v>
      </c>
      <c r="S37" s="1096">
        <f t="shared" si="5"/>
        <v>1533.3333333333333</v>
      </c>
      <c r="T37" s="919">
        <f t="shared" si="6"/>
        <v>0</v>
      </c>
      <c r="U37" s="827">
        <f t="shared" si="7"/>
        <v>0</v>
      </c>
      <c r="V37" s="576"/>
      <c r="W37" s="1096"/>
      <c r="X37" s="576">
        <f>H.E!L31</f>
        <v>439.40972222222223</v>
      </c>
      <c r="Y37" s="576">
        <f>H.E!M31</f>
        <v>237.93750000000003</v>
      </c>
      <c r="Z37" s="576">
        <f>H.E!N31</f>
        <v>0</v>
      </c>
      <c r="AA37" s="1096"/>
      <c r="AB37" s="576"/>
      <c r="AC37" s="1096"/>
      <c r="AD37" s="827">
        <f t="shared" si="8"/>
        <v>466.66666666666669</v>
      </c>
      <c r="AE37" s="1355"/>
      <c r="AF37" s="1096"/>
      <c r="AG37" s="576"/>
      <c r="AH37" s="576"/>
      <c r="AI37" s="1096"/>
      <c r="AJ37" s="1096"/>
      <c r="AK37" s="554"/>
      <c r="AL37" s="576"/>
      <c r="AN37" s="1303"/>
      <c r="AO37" s="576">
        <f t="shared" si="1"/>
        <v>2677.3472222222222</v>
      </c>
      <c r="AP37" s="1072">
        <f t="shared" si="9"/>
        <v>2672.4861111111109</v>
      </c>
      <c r="AQ37" s="1097"/>
      <c r="AR37" s="576"/>
      <c r="AS37" s="1089">
        <v>0.1</v>
      </c>
      <c r="AT37" s="1093">
        <f t="shared" ref="AT37" si="49">+AP37*AS37</f>
        <v>267.24861111111107</v>
      </c>
      <c r="AU37" s="1089">
        <v>0</v>
      </c>
      <c r="AV37" s="576">
        <f t="shared" ref="AV37" si="50">+AP37*AU37</f>
        <v>0</v>
      </c>
      <c r="AW37" s="1089">
        <v>1.37E-2</v>
      </c>
      <c r="AX37" s="576">
        <f t="shared" ref="AX37" si="51">+AP37*AW37</f>
        <v>36.613059722222218</v>
      </c>
      <c r="AY37" s="1089">
        <f>+AS37+AU37+AW37</f>
        <v>0.11370000000000001</v>
      </c>
      <c r="AZ37" s="576">
        <f>+AT37+AV37+AX37</f>
        <v>303.86167083333328</v>
      </c>
      <c r="BA37" s="576">
        <f>TARDANZA!K31</f>
        <v>0</v>
      </c>
      <c r="BB37" s="576">
        <f>TARDANZA!L31</f>
        <v>4.8611111111111116</v>
      </c>
      <c r="BC37" s="832">
        <v>880</v>
      </c>
      <c r="BD37" s="576"/>
      <c r="BE37" s="576"/>
      <c r="BF37" s="576"/>
      <c r="BG37" s="576"/>
      <c r="BH37" s="576"/>
      <c r="BJ37" s="842"/>
      <c r="BK37" s="827">
        <f t="shared" si="10"/>
        <v>1188.7227819444443</v>
      </c>
      <c r="BL37" s="595">
        <f t="shared" si="11"/>
        <v>1488.6244402777779</v>
      </c>
      <c r="BM37" s="1088">
        <v>0.09</v>
      </c>
      <c r="BN37" s="576">
        <f t="shared" si="4"/>
        <v>240.52374999999998</v>
      </c>
      <c r="BO37" s="919">
        <v>2.5500000000000003</v>
      </c>
      <c r="BP37" s="1080"/>
      <c r="BQ37" s="1092" t="s">
        <v>210</v>
      </c>
      <c r="BR37" s="1306"/>
      <c r="BS37" s="1307"/>
      <c r="BT37" s="543"/>
      <c r="BU37" s="554">
        <f t="shared" si="17"/>
        <v>744.31222013888896</v>
      </c>
      <c r="BV37" s="832">
        <v>880</v>
      </c>
      <c r="BW37" s="546" t="s">
        <v>210</v>
      </c>
      <c r="BX37" s="543"/>
      <c r="BY37" s="543"/>
      <c r="BZ37" s="543"/>
      <c r="CA37" s="543"/>
      <c r="CB37" s="1308"/>
      <c r="CC37" s="1113"/>
      <c r="CD37" s="543"/>
      <c r="CE37" s="543"/>
      <c r="CF37" s="543"/>
      <c r="CG37" s="543"/>
      <c r="CH37" s="543"/>
      <c r="CI37" s="543"/>
      <c r="CJ37" s="543"/>
      <c r="CK37" s="543"/>
      <c r="CL37" s="543"/>
      <c r="CM37" s="543"/>
      <c r="CN37" s="543"/>
      <c r="CO37" s="543"/>
      <c r="CP37" s="543"/>
      <c r="CQ37" s="543"/>
      <c r="CR37" s="543"/>
      <c r="CS37" s="543"/>
      <c r="CT37" s="543"/>
      <c r="CU37" s="543"/>
      <c r="CV37" s="543"/>
      <c r="CW37" s="543"/>
      <c r="CX37" s="543"/>
      <c r="CY37" s="543"/>
      <c r="CZ37" s="543"/>
      <c r="DA37" s="543"/>
      <c r="DB37" s="543"/>
      <c r="DC37" s="543"/>
      <c r="DD37" s="543"/>
      <c r="DE37" s="543"/>
      <c r="DF37" s="543"/>
      <c r="DG37" s="543"/>
      <c r="DH37" s="543"/>
      <c r="DI37" s="543"/>
      <c r="DJ37" s="543"/>
      <c r="DK37" s="543"/>
      <c r="DL37" s="543"/>
      <c r="DM37" s="543"/>
      <c r="DN37" s="543"/>
      <c r="DO37" s="543"/>
      <c r="DP37" s="543"/>
      <c r="DQ37" s="543"/>
      <c r="DR37" s="543"/>
      <c r="DS37" s="543"/>
      <c r="DT37" s="543"/>
      <c r="DU37" s="543"/>
      <c r="DV37" s="543"/>
      <c r="DW37" s="543"/>
      <c r="DX37" s="543"/>
      <c r="DY37" s="543"/>
      <c r="DZ37" s="543"/>
      <c r="EA37" s="543"/>
      <c r="EB37" s="543"/>
      <c r="EC37" s="543"/>
      <c r="ED37" s="543"/>
      <c r="EE37" s="543"/>
      <c r="EF37" s="543"/>
      <c r="EG37" s="543"/>
      <c r="EH37" s="543"/>
      <c r="EI37" s="543"/>
      <c r="EJ37" s="543"/>
      <c r="EK37" s="543"/>
      <c r="EL37" s="543"/>
      <c r="EM37" s="543"/>
      <c r="EN37" s="543"/>
      <c r="EO37" s="543"/>
      <c r="EP37" s="543"/>
      <c r="EQ37" s="543"/>
      <c r="ER37" s="543"/>
      <c r="ES37" s="543"/>
      <c r="ET37" s="543"/>
      <c r="EU37" s="543"/>
      <c r="EV37" s="543"/>
      <c r="EW37" s="543"/>
      <c r="EX37" s="543"/>
      <c r="EY37" s="543"/>
      <c r="EZ37" s="543"/>
    </row>
    <row r="38" spans="1:156" s="549" customFormat="1">
      <c r="A38" s="546" t="s">
        <v>213</v>
      </c>
      <c r="B38" s="1080">
        <f t="shared" si="27"/>
        <v>27</v>
      </c>
      <c r="C38" s="1100" t="s">
        <v>272</v>
      </c>
      <c r="D38" s="1090">
        <v>71932804</v>
      </c>
      <c r="E38" s="1114">
        <v>35956</v>
      </c>
      <c r="F38" s="1085">
        <v>45778</v>
      </c>
      <c r="G38" s="1085"/>
      <c r="H38" s="1086" t="s">
        <v>273</v>
      </c>
      <c r="I38" s="1087" t="s">
        <v>72</v>
      </c>
      <c r="J38" s="554">
        <v>2200</v>
      </c>
      <c r="K38" s="576"/>
      <c r="L38" s="1081">
        <v>30</v>
      </c>
      <c r="M38" s="1081">
        <v>1</v>
      </c>
      <c r="N38" s="1081"/>
      <c r="O38" s="1081"/>
      <c r="P38" s="1081">
        <f t="shared" si="0"/>
        <v>29</v>
      </c>
      <c r="Q38" s="549">
        <v>8</v>
      </c>
      <c r="R38" s="1081">
        <f t="shared" ref="R38:R40" si="52">+P38*Q38</f>
        <v>232</v>
      </c>
      <c r="S38" s="1096">
        <f t="shared" si="5"/>
        <v>2200</v>
      </c>
      <c r="T38" s="919">
        <f t="shared" si="6"/>
        <v>0</v>
      </c>
      <c r="U38" s="827">
        <f t="shared" si="7"/>
        <v>0</v>
      </c>
      <c r="V38" s="576"/>
      <c r="W38" s="1096"/>
      <c r="X38" s="576">
        <f>H.E!L32</f>
        <v>0</v>
      </c>
      <c r="Y38" s="576">
        <f>H.E!M32</f>
        <v>0</v>
      </c>
      <c r="Z38" s="576">
        <f>H.E!N32</f>
        <v>0</v>
      </c>
      <c r="AA38" s="1096"/>
      <c r="AB38" s="576"/>
      <c r="AC38" s="1096"/>
      <c r="AD38" s="827">
        <f t="shared" si="8"/>
        <v>0</v>
      </c>
      <c r="AE38" s="1355"/>
      <c r="AF38" s="1096"/>
      <c r="AG38" s="576"/>
      <c r="AH38" s="576"/>
      <c r="AI38" s="1096"/>
      <c r="AJ38" s="1096"/>
      <c r="AK38" s="554"/>
      <c r="AL38" s="576"/>
      <c r="AM38" s="1081"/>
      <c r="AN38" s="1093"/>
      <c r="AO38" s="576">
        <f t="shared" si="1"/>
        <v>2200</v>
      </c>
      <c r="AP38" s="1072">
        <f t="shared" si="9"/>
        <v>2194.9583333333335</v>
      </c>
      <c r="AQ38" s="1097"/>
      <c r="AR38" s="576"/>
      <c r="AS38" s="1089">
        <v>0.1</v>
      </c>
      <c r="AT38" s="1093">
        <f t="shared" ref="AT38:AT39" si="53">+AP38*AS38</f>
        <v>219.49583333333337</v>
      </c>
      <c r="AU38" s="1089">
        <v>0</v>
      </c>
      <c r="AV38" s="576">
        <f t="shared" ref="AV38:AV39" si="54">+AP38*AU38</f>
        <v>0</v>
      </c>
      <c r="AW38" s="1089">
        <v>1.37E-2</v>
      </c>
      <c r="AX38" s="576">
        <f t="shared" ref="AX38:AX39" si="55">+AP38*AW38</f>
        <v>30.070929166666669</v>
      </c>
      <c r="AY38" s="1089">
        <f t="shared" ref="AY38:AY39" si="56">+AS38+AU38+AW38</f>
        <v>0.11370000000000001</v>
      </c>
      <c r="AZ38" s="576">
        <f t="shared" ref="AZ38:AZ39" si="57">+AT38+AV38+AX38</f>
        <v>249.56676250000004</v>
      </c>
      <c r="BA38" s="576">
        <f>TARDANZA!K32</f>
        <v>0</v>
      </c>
      <c r="BB38" s="576">
        <f>TARDANZA!L32</f>
        <v>5.0416666666666661</v>
      </c>
      <c r="BC38" s="832">
        <v>970</v>
      </c>
      <c r="BD38" s="576"/>
      <c r="BE38" s="576"/>
      <c r="BF38" s="576"/>
      <c r="BG38" s="576">
        <f>'HT. EPS'!E49</f>
        <v>53.645627747974558</v>
      </c>
      <c r="BH38" s="576"/>
      <c r="BJ38" s="842"/>
      <c r="BK38" s="827">
        <f t="shared" si="10"/>
        <v>1278.2540569146413</v>
      </c>
      <c r="BL38" s="595">
        <f>(+AO38-BK38)</f>
        <v>921.7459430853587</v>
      </c>
      <c r="BM38" s="1088">
        <v>0.09</v>
      </c>
      <c r="BN38" s="576">
        <f>AP38*BM38</f>
        <v>197.54625000000001</v>
      </c>
      <c r="BO38" s="919">
        <v>2.86</v>
      </c>
      <c r="BP38" s="1080" t="s">
        <v>182</v>
      </c>
      <c r="BQ38" s="1092" t="s">
        <v>210</v>
      </c>
      <c r="BR38" s="1300"/>
      <c r="BS38" s="1055"/>
      <c r="BT38" s="543"/>
      <c r="BU38" s="554">
        <f t="shared" si="17"/>
        <v>460.87297154267935</v>
      </c>
      <c r="BV38" s="832">
        <v>970</v>
      </c>
      <c r="BW38" s="546" t="s">
        <v>210</v>
      </c>
      <c r="BX38" s="543"/>
      <c r="BY38" s="543"/>
      <c r="BZ38" s="543"/>
      <c r="CA38" s="543"/>
      <c r="CB38" s="1177"/>
      <c r="CC38" s="1113"/>
      <c r="CD38" s="543"/>
      <c r="CE38" s="543"/>
      <c r="CF38" s="543"/>
      <c r="CG38" s="543"/>
      <c r="CH38" s="543"/>
      <c r="CI38" s="543"/>
      <c r="CJ38" s="543"/>
      <c r="CK38" s="543"/>
      <c r="CL38" s="543"/>
      <c r="CM38" s="543"/>
      <c r="CN38" s="543"/>
      <c r="CO38" s="543"/>
      <c r="CP38" s="543"/>
      <c r="CQ38" s="543"/>
      <c r="CR38" s="543"/>
      <c r="CS38" s="543"/>
      <c r="CT38" s="543"/>
      <c r="CU38" s="543"/>
      <c r="CV38" s="543"/>
      <c r="CW38" s="543"/>
      <c r="CX38" s="543"/>
      <c r="CY38" s="543"/>
      <c r="CZ38" s="543"/>
      <c r="DA38" s="543"/>
      <c r="DB38" s="543"/>
      <c r="DC38" s="543"/>
      <c r="DD38" s="543"/>
      <c r="DE38" s="543"/>
      <c r="DF38" s="543"/>
      <c r="DG38" s="543"/>
      <c r="DH38" s="543"/>
      <c r="DI38" s="543"/>
      <c r="DJ38" s="543"/>
      <c r="DK38" s="543"/>
      <c r="DL38" s="543"/>
      <c r="DM38" s="543"/>
      <c r="DN38" s="543"/>
      <c r="DO38" s="543"/>
      <c r="DP38" s="543"/>
      <c r="DQ38" s="543"/>
      <c r="DR38" s="543"/>
      <c r="DS38" s="543"/>
      <c r="DT38" s="543"/>
      <c r="DU38" s="543"/>
      <c r="DV38" s="543"/>
      <c r="DW38" s="543"/>
      <c r="DX38" s="543"/>
      <c r="DY38" s="543"/>
      <c r="DZ38" s="543"/>
      <c r="EA38" s="543"/>
      <c r="EB38" s="543"/>
      <c r="EC38" s="543"/>
      <c r="ED38" s="543"/>
      <c r="EE38" s="543"/>
      <c r="EF38" s="543"/>
      <c r="EG38" s="543"/>
      <c r="EH38" s="543"/>
      <c r="EI38" s="543"/>
      <c r="EJ38" s="543"/>
      <c r="EK38" s="543"/>
      <c r="EL38" s="543"/>
      <c r="EM38" s="543"/>
      <c r="EN38" s="543"/>
      <c r="EO38" s="543"/>
      <c r="EP38" s="543"/>
      <c r="EQ38" s="543"/>
      <c r="ER38" s="543"/>
      <c r="ES38" s="543"/>
      <c r="ET38" s="543"/>
      <c r="EU38" s="543"/>
      <c r="EV38" s="543"/>
      <c r="EW38" s="543"/>
      <c r="EX38" s="543"/>
      <c r="EY38" s="543"/>
      <c r="EZ38" s="543"/>
    </row>
    <row r="39" spans="1:156" s="549" customFormat="1">
      <c r="A39" s="546" t="s">
        <v>200</v>
      </c>
      <c r="B39" s="1080">
        <f t="shared" si="27"/>
        <v>28</v>
      </c>
      <c r="C39" s="1100" t="s">
        <v>274</v>
      </c>
      <c r="D39" s="1090">
        <v>72192314</v>
      </c>
      <c r="E39" s="1114">
        <v>34152</v>
      </c>
      <c r="F39" s="1085">
        <v>45778</v>
      </c>
      <c r="G39" s="1085"/>
      <c r="H39" s="1086" t="s">
        <v>275</v>
      </c>
      <c r="I39" s="1087" t="s">
        <v>71</v>
      </c>
      <c r="J39" s="576">
        <v>2300</v>
      </c>
      <c r="K39" s="576"/>
      <c r="L39" s="1081">
        <v>30</v>
      </c>
      <c r="M39" s="1081"/>
      <c r="N39" s="1081"/>
      <c r="O39" s="1081"/>
      <c r="P39" s="1081">
        <f t="shared" si="0"/>
        <v>30</v>
      </c>
      <c r="Q39" s="549">
        <v>8</v>
      </c>
      <c r="R39" s="1081">
        <f t="shared" si="52"/>
        <v>240</v>
      </c>
      <c r="S39" s="1096">
        <f t="shared" si="5"/>
        <v>2300</v>
      </c>
      <c r="T39" s="919">
        <f t="shared" si="6"/>
        <v>0</v>
      </c>
      <c r="U39" s="827">
        <f t="shared" si="7"/>
        <v>0</v>
      </c>
      <c r="V39" s="576">
        <f>COMISIONES!K9</f>
        <v>3375.75</v>
      </c>
      <c r="W39" s="1096"/>
      <c r="X39" s="576">
        <f>H.E!L33</f>
        <v>0</v>
      </c>
      <c r="Y39" s="576">
        <f>H.E!M33</f>
        <v>0</v>
      </c>
      <c r="Z39" s="576">
        <f>H.E!N33</f>
        <v>0</v>
      </c>
      <c r="AA39" s="1096"/>
      <c r="AB39" s="576"/>
      <c r="AC39" s="1096"/>
      <c r="AD39" s="827">
        <f t="shared" si="8"/>
        <v>0</v>
      </c>
      <c r="AE39" s="1355"/>
      <c r="AF39" s="1096"/>
      <c r="AG39" s="576"/>
      <c r="AH39" s="576"/>
      <c r="AI39" s="1096"/>
      <c r="AJ39" s="1096"/>
      <c r="AK39" s="554"/>
      <c r="AL39" s="576"/>
      <c r="AM39" s="1081"/>
      <c r="AN39" s="1093"/>
      <c r="AO39" s="576">
        <f t="shared" si="1"/>
        <v>5675.75</v>
      </c>
      <c r="AP39" s="1072">
        <f t="shared" si="9"/>
        <v>5673.6736111111113</v>
      </c>
      <c r="AQ39" s="1097"/>
      <c r="AR39" s="576"/>
      <c r="AS39" s="1089">
        <v>0.1</v>
      </c>
      <c r="AT39" s="1093">
        <f t="shared" si="53"/>
        <v>567.36736111111111</v>
      </c>
      <c r="AU39" s="1089">
        <v>0</v>
      </c>
      <c r="AV39" s="576">
        <f t="shared" si="54"/>
        <v>0</v>
      </c>
      <c r="AW39" s="1089">
        <v>1.37E-2</v>
      </c>
      <c r="AX39" s="576">
        <f t="shared" si="55"/>
        <v>77.729328472222221</v>
      </c>
      <c r="AY39" s="1089">
        <f t="shared" si="56"/>
        <v>0.11370000000000001</v>
      </c>
      <c r="AZ39" s="576">
        <f t="shared" si="57"/>
        <v>645.09668958333327</v>
      </c>
      <c r="BA39" s="576">
        <f>TARDANZA!K33</f>
        <v>0</v>
      </c>
      <c r="BB39" s="576">
        <f>TARDANZA!L33</f>
        <v>2.0763888888888893</v>
      </c>
      <c r="BC39" s="832">
        <v>940</v>
      </c>
      <c r="BD39" s="576"/>
      <c r="BE39" s="576"/>
      <c r="BF39" s="576"/>
      <c r="BG39" s="576">
        <f>'HT. EPS'!E50</f>
        <v>53.645627747974558</v>
      </c>
      <c r="BH39" s="576"/>
      <c r="BJ39" s="842">
        <f>'RTA 5TA VTAS'!J126</f>
        <v>405.80360842180266</v>
      </c>
      <c r="BK39" s="827">
        <f t="shared" si="10"/>
        <v>2046.6223146419995</v>
      </c>
      <c r="BL39" s="595">
        <f t="shared" si="11"/>
        <v>3629.1276853580002</v>
      </c>
      <c r="BM39" s="1088">
        <v>0.09</v>
      </c>
      <c r="BN39" s="576">
        <f t="shared" ref="BN39" si="58">AP39*BM39</f>
        <v>510.63062500000001</v>
      </c>
      <c r="BO39" s="919">
        <v>3</v>
      </c>
      <c r="BP39" s="1080" t="s">
        <v>182</v>
      </c>
      <c r="BQ39" s="1092" t="s">
        <v>210</v>
      </c>
      <c r="BR39" s="1300"/>
      <c r="BS39" s="1055"/>
      <c r="BT39" s="543"/>
      <c r="BU39" s="554">
        <f t="shared" si="17"/>
        <v>1814.5638426790001</v>
      </c>
      <c r="BV39" s="832">
        <v>940</v>
      </c>
      <c r="BW39" s="546" t="s">
        <v>210</v>
      </c>
      <c r="BX39" s="543"/>
      <c r="BY39" s="543"/>
      <c r="BZ39" s="543"/>
      <c r="CA39" s="543"/>
      <c r="CB39" s="1177"/>
      <c r="CC39" s="1113"/>
      <c r="CD39" s="543"/>
      <c r="CE39" s="543"/>
      <c r="CF39" s="543"/>
      <c r="CG39" s="543"/>
      <c r="CH39" s="543"/>
      <c r="CI39" s="543"/>
      <c r="CJ39" s="543"/>
      <c r="CK39" s="543"/>
      <c r="CL39" s="543"/>
      <c r="CM39" s="543"/>
      <c r="CN39" s="543"/>
      <c r="CO39" s="543"/>
      <c r="CP39" s="543"/>
      <c r="CQ39" s="543"/>
      <c r="CR39" s="543"/>
      <c r="CS39" s="543"/>
      <c r="CT39" s="543"/>
      <c r="CU39" s="543"/>
      <c r="CV39" s="543"/>
      <c r="CW39" s="543"/>
      <c r="CX39" s="543"/>
      <c r="CY39" s="543"/>
      <c r="CZ39" s="543"/>
      <c r="DA39" s="543"/>
      <c r="DB39" s="543"/>
      <c r="DC39" s="543"/>
      <c r="DD39" s="543"/>
      <c r="DE39" s="543"/>
      <c r="DF39" s="543"/>
      <c r="DG39" s="543"/>
      <c r="DH39" s="543"/>
      <c r="DI39" s="543"/>
      <c r="DJ39" s="543"/>
      <c r="DK39" s="543"/>
      <c r="DL39" s="543"/>
      <c r="DM39" s="543"/>
      <c r="DN39" s="543"/>
      <c r="DO39" s="543"/>
      <c r="DP39" s="543"/>
      <c r="DQ39" s="543"/>
      <c r="DR39" s="543"/>
      <c r="DS39" s="543"/>
      <c r="DT39" s="543"/>
      <c r="DU39" s="543"/>
      <c r="DV39" s="543"/>
      <c r="DW39" s="543"/>
      <c r="DX39" s="543"/>
      <c r="DY39" s="543"/>
      <c r="DZ39" s="543"/>
      <c r="EA39" s="543"/>
      <c r="EB39" s="543"/>
      <c r="EC39" s="543"/>
      <c r="ED39" s="543"/>
      <c r="EE39" s="543"/>
      <c r="EF39" s="543"/>
      <c r="EG39" s="543"/>
      <c r="EH39" s="543"/>
      <c r="EI39" s="543"/>
      <c r="EJ39" s="543"/>
      <c r="EK39" s="543"/>
      <c r="EL39" s="543"/>
      <c r="EM39" s="543"/>
      <c r="EN39" s="543"/>
      <c r="EO39" s="543"/>
      <c r="EP39" s="543"/>
      <c r="EQ39" s="543"/>
      <c r="ER39" s="543"/>
      <c r="ES39" s="543"/>
      <c r="ET39" s="543"/>
      <c r="EU39" s="543"/>
      <c r="EV39" s="543"/>
      <c r="EW39" s="543"/>
      <c r="EX39" s="543"/>
      <c r="EY39" s="543"/>
      <c r="EZ39" s="543"/>
    </row>
    <row r="40" spans="1:156" s="549" customFormat="1">
      <c r="A40" s="546" t="s">
        <v>225</v>
      </c>
      <c r="B40" s="1080">
        <f t="shared" si="27"/>
        <v>29</v>
      </c>
      <c r="C40" s="1100" t="s">
        <v>276</v>
      </c>
      <c r="D40" s="1090">
        <v>41995632</v>
      </c>
      <c r="E40" s="1091">
        <v>30308</v>
      </c>
      <c r="F40" s="1085">
        <v>45782</v>
      </c>
      <c r="G40" s="1085"/>
      <c r="H40" s="1086" t="s">
        <v>278</v>
      </c>
      <c r="I40" s="549" t="s">
        <v>144</v>
      </c>
      <c r="J40" s="576">
        <v>2500</v>
      </c>
      <c r="K40" s="576">
        <v>113</v>
      </c>
      <c r="L40" s="1081">
        <v>30</v>
      </c>
      <c r="M40" s="1081"/>
      <c r="N40" s="1081"/>
      <c r="O40" s="1081"/>
      <c r="P40" s="1081">
        <f t="shared" si="0"/>
        <v>30</v>
      </c>
      <c r="Q40" s="549">
        <v>8</v>
      </c>
      <c r="R40" s="1081">
        <f t="shared" si="52"/>
        <v>240</v>
      </c>
      <c r="S40" s="1096">
        <f t="shared" si="5"/>
        <v>2500</v>
      </c>
      <c r="T40" s="919">
        <f t="shared" si="6"/>
        <v>113</v>
      </c>
      <c r="U40" s="827">
        <f t="shared" si="7"/>
        <v>0</v>
      </c>
      <c r="V40" s="576"/>
      <c r="W40" s="1096"/>
      <c r="X40" s="576">
        <f>H.E!L34</f>
        <v>0</v>
      </c>
      <c r="Y40" s="576">
        <f>H.E!M34</f>
        <v>0</v>
      </c>
      <c r="Z40" s="576">
        <f>H.E!N34</f>
        <v>0</v>
      </c>
      <c r="AA40" s="1096"/>
      <c r="AB40" s="576"/>
      <c r="AC40" s="1096"/>
      <c r="AD40" s="827">
        <f t="shared" si="8"/>
        <v>0</v>
      </c>
      <c r="AE40" s="1355"/>
      <c r="AF40" s="1096"/>
      <c r="AG40" s="576"/>
      <c r="AH40" s="576"/>
      <c r="AI40" s="1096"/>
      <c r="AJ40" s="1096"/>
      <c r="AK40" s="554"/>
      <c r="AL40" s="576"/>
      <c r="AM40" s="1081"/>
      <c r="AN40" s="1093"/>
      <c r="AO40" s="576">
        <f t="shared" si="1"/>
        <v>2613</v>
      </c>
      <c r="AP40" s="1072">
        <f t="shared" si="9"/>
        <v>2587.9587499999998</v>
      </c>
      <c r="AQ40" s="1097">
        <v>0.13</v>
      </c>
      <c r="AR40" s="576">
        <f>+AP40*AQ40</f>
        <v>336.43463750000001</v>
      </c>
      <c r="AS40" s="1089"/>
      <c r="AT40" s="1093"/>
      <c r="AU40" s="1089"/>
      <c r="AV40" s="1096"/>
      <c r="AW40" s="1089"/>
      <c r="AX40" s="576"/>
      <c r="AY40" s="1089"/>
      <c r="AZ40" s="576"/>
      <c r="BA40" s="576">
        <f>TARDANZA!K34</f>
        <v>0</v>
      </c>
      <c r="BB40" s="576">
        <f>TARDANZA!L34</f>
        <v>25.041250000000002</v>
      </c>
      <c r="BC40" s="832">
        <v>1130</v>
      </c>
      <c r="BD40" s="576"/>
      <c r="BE40" s="576"/>
      <c r="BF40" s="576"/>
      <c r="BG40" s="576"/>
      <c r="BH40" s="576"/>
      <c r="BJ40" s="842">
        <f>'RTA 5TA'!T118</f>
        <v>16.849439999999944</v>
      </c>
      <c r="BK40" s="827">
        <f t="shared" si="10"/>
        <v>1508.3253275</v>
      </c>
      <c r="BL40" s="595">
        <f t="shared" si="11"/>
        <v>1104.6746725</v>
      </c>
      <c r="BM40" s="1088">
        <v>0.09</v>
      </c>
      <c r="BN40" s="576">
        <f t="shared" ref="BN40:BN43" si="59">AP40*BM40</f>
        <v>232.91628749999998</v>
      </c>
      <c r="BO40" s="919">
        <v>8.24</v>
      </c>
      <c r="BP40" s="1080"/>
      <c r="BQ40" s="1092" t="s">
        <v>203</v>
      </c>
      <c r="BR40" s="1055"/>
      <c r="BS40" s="1055"/>
      <c r="BT40" s="543"/>
      <c r="BU40" s="554">
        <f t="shared" si="17"/>
        <v>552.33733625000002</v>
      </c>
      <c r="BV40" s="832">
        <v>1130</v>
      </c>
      <c r="BW40" s="546" t="s">
        <v>203</v>
      </c>
      <c r="BX40" s="543"/>
      <c r="BY40" s="543"/>
      <c r="BZ40" s="543"/>
      <c r="CA40" s="543"/>
      <c r="CB40" s="1177"/>
      <c r="CC40" s="1113"/>
      <c r="CD40" s="543"/>
      <c r="CE40" s="543"/>
      <c r="CF40" s="543"/>
      <c r="CG40" s="543"/>
      <c r="CH40" s="543"/>
      <c r="CI40" s="543"/>
      <c r="CJ40" s="543"/>
      <c r="CK40" s="543"/>
      <c r="CL40" s="543"/>
      <c r="CM40" s="543"/>
      <c r="CN40" s="543"/>
      <c r="CO40" s="543"/>
      <c r="CP40" s="543"/>
      <c r="CQ40" s="543"/>
      <c r="CR40" s="543"/>
      <c r="CS40" s="543"/>
      <c r="CT40" s="543"/>
      <c r="CU40" s="543"/>
      <c r="CV40" s="543"/>
      <c r="CW40" s="543"/>
      <c r="CX40" s="543"/>
      <c r="CY40" s="543"/>
      <c r="CZ40" s="543"/>
      <c r="DA40" s="543"/>
      <c r="DB40" s="543"/>
      <c r="DC40" s="543"/>
      <c r="DD40" s="543"/>
      <c r="DE40" s="543"/>
      <c r="DF40" s="543"/>
      <c r="DG40" s="543"/>
      <c r="DH40" s="543"/>
      <c r="DI40" s="543"/>
      <c r="DJ40" s="543"/>
      <c r="DK40" s="543"/>
      <c r="DL40" s="543"/>
      <c r="DM40" s="543"/>
      <c r="DN40" s="543"/>
      <c r="DO40" s="543"/>
      <c r="DP40" s="543"/>
      <c r="DQ40" s="543"/>
      <c r="DR40" s="543"/>
      <c r="DS40" s="543"/>
      <c r="DT40" s="543"/>
      <c r="DU40" s="543"/>
      <c r="DV40" s="543"/>
      <c r="DW40" s="543"/>
      <c r="DX40" s="543"/>
      <c r="DY40" s="543"/>
      <c r="DZ40" s="543"/>
      <c r="EA40" s="543"/>
      <c r="EB40" s="543"/>
      <c r="EC40" s="543"/>
      <c r="ED40" s="543"/>
      <c r="EE40" s="543"/>
      <c r="EF40" s="543"/>
      <c r="EG40" s="543"/>
      <c r="EH40" s="543"/>
      <c r="EI40" s="543"/>
      <c r="EJ40" s="543"/>
      <c r="EK40" s="543"/>
      <c r="EL40" s="543"/>
      <c r="EM40" s="543"/>
      <c r="EN40" s="543"/>
      <c r="EO40" s="543"/>
      <c r="EP40" s="543"/>
      <c r="EQ40" s="543"/>
      <c r="ER40" s="543"/>
      <c r="ES40" s="543"/>
      <c r="ET40" s="543"/>
      <c r="EU40" s="543"/>
      <c r="EV40" s="543"/>
      <c r="EW40" s="543"/>
      <c r="EX40" s="543"/>
      <c r="EY40" s="543"/>
      <c r="EZ40" s="543"/>
    </row>
    <row r="41" spans="1:156" s="549" customFormat="1">
      <c r="A41" s="546" t="s">
        <v>200</v>
      </c>
      <c r="B41" s="1080">
        <f t="shared" si="27"/>
        <v>30</v>
      </c>
      <c r="C41" s="1100" t="s">
        <v>279</v>
      </c>
      <c r="D41" s="1090">
        <v>70608078</v>
      </c>
      <c r="E41" s="1114">
        <v>36556</v>
      </c>
      <c r="F41" s="1085">
        <v>45789</v>
      </c>
      <c r="G41" s="1085"/>
      <c r="H41" s="1086" t="s">
        <v>280</v>
      </c>
      <c r="I41" s="549" t="s">
        <v>71</v>
      </c>
      <c r="J41" s="576">
        <v>1800</v>
      </c>
      <c r="K41" s="576"/>
      <c r="L41" s="1081">
        <v>30</v>
      </c>
      <c r="M41" s="1081"/>
      <c r="N41" s="1081"/>
      <c r="O41" s="1081"/>
      <c r="P41" s="1081">
        <f t="shared" si="0"/>
        <v>30</v>
      </c>
      <c r="Q41" s="549">
        <v>8</v>
      </c>
      <c r="R41" s="1081">
        <f t="shared" ref="R41" si="60">+P41*Q41</f>
        <v>240</v>
      </c>
      <c r="S41" s="1096">
        <f t="shared" si="5"/>
        <v>1800</v>
      </c>
      <c r="T41" s="919">
        <f t="shared" si="6"/>
        <v>0</v>
      </c>
      <c r="U41" s="827">
        <f t="shared" si="7"/>
        <v>0</v>
      </c>
      <c r="V41" s="576">
        <f>COMISIONES!K10</f>
        <v>1440.1</v>
      </c>
      <c r="W41" s="1096"/>
      <c r="X41" s="576">
        <f>H.E!L35</f>
        <v>0</v>
      </c>
      <c r="Y41" s="576">
        <f>H.E!M35</f>
        <v>0</v>
      </c>
      <c r="Z41" s="576">
        <f>H.E!N35</f>
        <v>0</v>
      </c>
      <c r="AA41" s="1096"/>
      <c r="AB41" s="576"/>
      <c r="AC41" s="1096"/>
      <c r="AD41" s="827">
        <f t="shared" si="8"/>
        <v>0</v>
      </c>
      <c r="AE41" s="1355"/>
      <c r="AF41" s="1096"/>
      <c r="AG41" s="576"/>
      <c r="AH41" s="576"/>
      <c r="AI41" s="1096"/>
      <c r="AJ41" s="1096"/>
      <c r="AK41" s="554"/>
      <c r="AL41" s="576"/>
      <c r="AM41" s="1081"/>
      <c r="AN41" s="1093"/>
      <c r="AO41" s="576">
        <f t="shared" si="1"/>
        <v>3240.1</v>
      </c>
      <c r="AP41" s="1072">
        <f t="shared" si="9"/>
        <v>3211.6</v>
      </c>
      <c r="AQ41" s="1097"/>
      <c r="AR41" s="576"/>
      <c r="AS41" s="1089">
        <v>0.1</v>
      </c>
      <c r="AT41" s="1093">
        <f t="shared" ref="AT41:AT42" si="61">+AP41*AS41</f>
        <v>321.16000000000003</v>
      </c>
      <c r="AU41" s="1089">
        <v>0</v>
      </c>
      <c r="AV41" s="576">
        <f t="shared" ref="AV41:AV42" si="62">+AP41*AU41</f>
        <v>0</v>
      </c>
      <c r="AW41" s="1089">
        <v>1.37E-2</v>
      </c>
      <c r="AX41" s="576">
        <f t="shared" ref="AX41:AX42" si="63">+AP41*AW41</f>
        <v>43.998919999999998</v>
      </c>
      <c r="AY41" s="1089">
        <f>+AS41+AU41+AW41</f>
        <v>0.11370000000000001</v>
      </c>
      <c r="AZ41" s="576">
        <f>+AT41+AV41+AX41</f>
        <v>365.15892000000002</v>
      </c>
      <c r="BA41" s="576">
        <f>TARDANZA!K35</f>
        <v>0</v>
      </c>
      <c r="BB41" s="576">
        <f>TARDANZA!L35</f>
        <v>28.5</v>
      </c>
      <c r="BC41" s="832">
        <v>790</v>
      </c>
      <c r="BD41" s="576"/>
      <c r="BE41" s="576"/>
      <c r="BF41" s="576"/>
      <c r="BG41" s="576"/>
      <c r="BH41" s="576"/>
      <c r="BJ41" s="842"/>
      <c r="BK41" s="827">
        <f t="shared" si="10"/>
        <v>1183.6589200000001</v>
      </c>
      <c r="BL41" s="595">
        <f t="shared" si="11"/>
        <v>2056.4410799999996</v>
      </c>
      <c r="BM41" s="1088">
        <v>0.09</v>
      </c>
      <c r="BN41" s="576">
        <f t="shared" si="59"/>
        <v>289.04399999999998</v>
      </c>
      <c r="BO41" s="919">
        <v>2.25</v>
      </c>
      <c r="BP41" s="1080"/>
      <c r="BQ41" s="1092" t="s">
        <v>203</v>
      </c>
      <c r="BR41" s="1055"/>
      <c r="BS41" s="1055"/>
      <c r="BT41" s="543"/>
      <c r="BU41" s="554">
        <f t="shared" si="17"/>
        <v>1028.2205399999998</v>
      </c>
      <c r="BV41" s="832">
        <v>790</v>
      </c>
      <c r="BW41" s="546" t="s">
        <v>203</v>
      </c>
      <c r="BX41" s="543"/>
      <c r="BY41" s="543"/>
      <c r="BZ41" s="543"/>
      <c r="CA41" s="543"/>
      <c r="CB41" s="1177"/>
      <c r="CC41" s="111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543"/>
      <c r="CW41" s="543"/>
      <c r="CX41" s="543"/>
      <c r="CY41" s="543"/>
      <c r="CZ41" s="543"/>
      <c r="DA41" s="543"/>
      <c r="DB41" s="543"/>
      <c r="DC41" s="543"/>
      <c r="DD41" s="543"/>
      <c r="DE41" s="543"/>
      <c r="DF41" s="543"/>
      <c r="DG41" s="543"/>
      <c r="DH41" s="543"/>
      <c r="DI41" s="543"/>
      <c r="DJ41" s="543"/>
      <c r="DK41" s="543"/>
      <c r="DL41" s="543"/>
      <c r="DM41" s="543"/>
      <c r="DN41" s="543"/>
      <c r="DO41" s="543"/>
      <c r="DP41" s="543"/>
      <c r="DQ41" s="543"/>
      <c r="DR41" s="543"/>
      <c r="DS41" s="543"/>
      <c r="DT41" s="543"/>
      <c r="DU41" s="543"/>
      <c r="DV41" s="543"/>
      <c r="DW41" s="543"/>
      <c r="DX41" s="543"/>
      <c r="DY41" s="543"/>
      <c r="DZ41" s="543"/>
      <c r="EA41" s="543"/>
      <c r="EB41" s="543"/>
      <c r="EC41" s="543"/>
      <c r="ED41" s="543"/>
      <c r="EE41" s="543"/>
      <c r="EF41" s="543"/>
      <c r="EG41" s="543"/>
      <c r="EH41" s="543"/>
      <c r="EI41" s="543"/>
      <c r="EJ41" s="543"/>
      <c r="EK41" s="543"/>
      <c r="EL41" s="543">
        <f>4000+113</f>
        <v>4113</v>
      </c>
      <c r="EM41" s="543"/>
      <c r="EN41" s="543">
        <f>4000/30</f>
        <v>133.33333333333334</v>
      </c>
      <c r="EO41" s="543"/>
      <c r="EP41" s="543"/>
      <c r="EQ41" s="543"/>
      <c r="ER41" s="543"/>
      <c r="ES41" s="543"/>
      <c r="ET41" s="543"/>
      <c r="EU41" s="543"/>
      <c r="EV41" s="543"/>
      <c r="EW41" s="543"/>
      <c r="EX41" s="543"/>
      <c r="EY41" s="543"/>
      <c r="EZ41" s="543"/>
    </row>
    <row r="42" spans="1:156" s="549" customFormat="1">
      <c r="A42" s="546" t="s">
        <v>225</v>
      </c>
      <c r="B42" s="1080">
        <f t="shared" si="27"/>
        <v>31</v>
      </c>
      <c r="C42" s="1100" t="s">
        <v>281</v>
      </c>
      <c r="D42" s="1090">
        <v>45469176</v>
      </c>
      <c r="E42" s="1114">
        <v>32412</v>
      </c>
      <c r="F42" s="1085">
        <v>45796</v>
      </c>
      <c r="G42" s="1085"/>
      <c r="H42" s="1086" t="s">
        <v>278</v>
      </c>
      <c r="I42" s="549" t="s">
        <v>72</v>
      </c>
      <c r="J42" s="576">
        <v>1700</v>
      </c>
      <c r="K42" s="576">
        <v>113</v>
      </c>
      <c r="L42" s="1081">
        <v>30</v>
      </c>
      <c r="M42" s="1081"/>
      <c r="N42" s="1081"/>
      <c r="O42" s="1081">
        <v>2</v>
      </c>
      <c r="P42" s="1081">
        <f t="shared" si="0"/>
        <v>28</v>
      </c>
      <c r="Q42" s="549">
        <v>8</v>
      </c>
      <c r="R42" s="1081">
        <f t="shared" ref="R42" si="64">+P42*Q42</f>
        <v>224</v>
      </c>
      <c r="S42" s="1096">
        <f t="shared" si="5"/>
        <v>1579.1333333333334</v>
      </c>
      <c r="T42" s="919">
        <f t="shared" si="6"/>
        <v>113</v>
      </c>
      <c r="U42" s="827">
        <f t="shared" si="7"/>
        <v>0</v>
      </c>
      <c r="V42" s="576"/>
      <c r="W42" s="1096"/>
      <c r="X42" s="576">
        <f>H.E!L36</f>
        <v>0</v>
      </c>
      <c r="Y42" s="576">
        <f>H.E!M36</f>
        <v>0</v>
      </c>
      <c r="Z42" s="576">
        <f>H.E!N36</f>
        <v>0</v>
      </c>
      <c r="AA42" s="1096"/>
      <c r="AB42" s="576"/>
      <c r="AC42" s="1096"/>
      <c r="AD42" s="827">
        <f>(J42+K42)/30*O42</f>
        <v>120.86666666666666</v>
      </c>
      <c r="AE42" s="1355"/>
      <c r="AF42" s="1096"/>
      <c r="AG42" s="576"/>
      <c r="AH42" s="576"/>
      <c r="AI42" s="1096"/>
      <c r="AJ42" s="1096"/>
      <c r="AK42" s="554"/>
      <c r="AL42" s="576"/>
      <c r="AM42" s="1115"/>
      <c r="AN42" s="1093"/>
      <c r="AO42" s="576">
        <f t="shared" si="1"/>
        <v>1813</v>
      </c>
      <c r="AP42" s="1072">
        <f t="shared" si="9"/>
        <v>1746.5129166666666</v>
      </c>
      <c r="AQ42" s="1097"/>
      <c r="AR42" s="576"/>
      <c r="AS42" s="1089">
        <v>0.1</v>
      </c>
      <c r="AT42" s="1093">
        <f t="shared" si="61"/>
        <v>174.65129166666668</v>
      </c>
      <c r="AU42" s="1089">
        <v>0</v>
      </c>
      <c r="AV42" s="576">
        <f t="shared" si="62"/>
        <v>0</v>
      </c>
      <c r="AW42" s="1089">
        <v>1.37E-2</v>
      </c>
      <c r="AX42" s="576">
        <f t="shared" si="63"/>
        <v>23.927226958333332</v>
      </c>
      <c r="AY42" s="1089">
        <f t="shared" ref="AY42" si="65">+AS42+AU42+AW42</f>
        <v>0.11370000000000001</v>
      </c>
      <c r="AZ42" s="576">
        <f t="shared" ref="AZ42" si="66">+AT42+AV42+AX42</f>
        <v>198.57851862500002</v>
      </c>
      <c r="BA42" s="576">
        <f>TARDANZA!K36</f>
        <v>56.666666666666664</v>
      </c>
      <c r="BB42" s="576">
        <f>TARDANZA!L36</f>
        <v>9.8204166666666666</v>
      </c>
      <c r="BC42" s="832">
        <v>800</v>
      </c>
      <c r="BD42" s="576"/>
      <c r="BE42" s="576"/>
      <c r="BF42" s="576"/>
      <c r="BG42" s="576"/>
      <c r="BH42" s="576"/>
      <c r="BJ42" s="842"/>
      <c r="BK42" s="827">
        <f t="shared" si="10"/>
        <v>1065.0656019583334</v>
      </c>
      <c r="BL42" s="595">
        <f t="shared" si="11"/>
        <v>747.93439804166655</v>
      </c>
      <c r="BM42" s="1088">
        <v>0.09</v>
      </c>
      <c r="BN42" s="576">
        <f t="shared" si="59"/>
        <v>157.18616249999999</v>
      </c>
      <c r="BO42" s="919">
        <v>7.07</v>
      </c>
      <c r="BP42" s="1080"/>
      <c r="BQ42" s="1092" t="s">
        <v>203</v>
      </c>
      <c r="BR42" s="1055"/>
      <c r="BS42" s="1055"/>
      <c r="BT42" s="543"/>
      <c r="BU42" s="554">
        <f t="shared" si="17"/>
        <v>373.96719902083328</v>
      </c>
      <c r="BV42" s="832">
        <v>800</v>
      </c>
      <c r="BW42" s="546" t="s">
        <v>203</v>
      </c>
      <c r="BX42" s="1116"/>
      <c r="BY42" s="1116"/>
      <c r="BZ42" s="1073"/>
      <c r="CA42" s="1116"/>
      <c r="CB42" s="1179"/>
      <c r="CC42" s="1113"/>
      <c r="CD42" s="543"/>
      <c r="CE42" s="543"/>
      <c r="CF42" s="543"/>
      <c r="CG42" s="543"/>
      <c r="CH42" s="543"/>
      <c r="CI42" s="543"/>
      <c r="CJ42" s="543"/>
      <c r="CK42" s="543"/>
      <c r="CL42" s="543"/>
      <c r="CM42" s="543"/>
      <c r="CN42" s="543"/>
      <c r="CO42" s="543"/>
      <c r="CP42" s="543"/>
      <c r="CQ42" s="543"/>
      <c r="CR42" s="543"/>
      <c r="CS42" s="543"/>
      <c r="CT42" s="543"/>
      <c r="CU42" s="543"/>
      <c r="CV42" s="543"/>
      <c r="CW42" s="543"/>
      <c r="CX42" s="543"/>
      <c r="CY42" s="543"/>
      <c r="CZ42" s="543"/>
      <c r="DA42" s="543"/>
      <c r="DB42" s="543"/>
      <c r="DC42" s="543"/>
      <c r="DD42" s="543"/>
      <c r="DE42" s="543"/>
      <c r="DF42" s="543"/>
      <c r="DG42" s="543"/>
      <c r="DH42" s="543"/>
      <c r="DI42" s="543"/>
      <c r="DJ42" s="543"/>
      <c r="DK42" s="543"/>
      <c r="DL42" s="543"/>
      <c r="DM42" s="543"/>
      <c r="DN42" s="543"/>
      <c r="DO42" s="543"/>
      <c r="DP42" s="543"/>
      <c r="DQ42" s="543"/>
      <c r="DR42" s="543"/>
      <c r="DS42" s="543"/>
      <c r="DT42" s="543"/>
      <c r="DU42" s="543"/>
      <c r="DV42" s="543"/>
      <c r="DW42" s="543"/>
      <c r="DX42" s="543"/>
      <c r="DY42" s="543"/>
      <c r="DZ42" s="543"/>
      <c r="EA42" s="543"/>
      <c r="EB42" s="543"/>
      <c r="EC42" s="543"/>
      <c r="ED42" s="543"/>
      <c r="EE42" s="543"/>
      <c r="EF42" s="543"/>
      <c r="EG42" s="543"/>
      <c r="EH42" s="543"/>
      <c r="EI42" s="543"/>
      <c r="EJ42" s="543"/>
      <c r="EK42" s="543"/>
      <c r="EL42" s="543">
        <f>EL41/30</f>
        <v>137.1</v>
      </c>
      <c r="EM42" s="543"/>
      <c r="EN42" s="543"/>
      <c r="EO42" s="543"/>
      <c r="EP42" s="543"/>
      <c r="EQ42" s="543"/>
      <c r="ER42" s="543"/>
      <c r="ES42" s="543"/>
      <c r="ET42" s="543"/>
      <c r="EU42" s="543"/>
      <c r="EV42" s="543"/>
      <c r="EW42" s="543"/>
      <c r="EX42" s="543"/>
      <c r="EY42" s="543"/>
      <c r="EZ42" s="543"/>
    </row>
    <row r="43" spans="1:156" s="549" customFormat="1">
      <c r="A43" s="546" t="s">
        <v>207</v>
      </c>
      <c r="B43" s="1080">
        <f t="shared" si="27"/>
        <v>32</v>
      </c>
      <c r="C43" s="1100" t="s">
        <v>282</v>
      </c>
      <c r="D43" s="1090">
        <v>75676708</v>
      </c>
      <c r="E43" s="1114">
        <v>34883</v>
      </c>
      <c r="F43" s="1085">
        <v>45946</v>
      </c>
      <c r="G43" s="1085"/>
      <c r="H43" s="1086" t="s">
        <v>283</v>
      </c>
      <c r="I43" s="549" t="s">
        <v>70</v>
      </c>
      <c r="J43" s="576">
        <v>1500</v>
      </c>
      <c r="K43" s="576">
        <v>113</v>
      </c>
      <c r="L43" s="1081">
        <v>30</v>
      </c>
      <c r="M43" s="1081"/>
      <c r="N43" s="1081"/>
      <c r="O43" s="1081"/>
      <c r="P43" s="1081">
        <f t="shared" si="0"/>
        <v>30</v>
      </c>
      <c r="Q43" s="549">
        <v>8</v>
      </c>
      <c r="R43" s="1081">
        <f t="shared" ref="R43" si="67">+P43*Q43</f>
        <v>240</v>
      </c>
      <c r="S43" s="1096">
        <f t="shared" si="5"/>
        <v>1500</v>
      </c>
      <c r="T43" s="919">
        <f t="shared" si="6"/>
        <v>113</v>
      </c>
      <c r="U43" s="827">
        <f t="shared" si="7"/>
        <v>0</v>
      </c>
      <c r="V43" s="576"/>
      <c r="W43" s="1096"/>
      <c r="X43" s="576">
        <f>H.E!L37</f>
        <v>332.40121527777779</v>
      </c>
      <c r="Y43" s="576">
        <f>H.E!M37</f>
        <v>172.0869375</v>
      </c>
      <c r="Z43" s="576">
        <f>H.E!N37</f>
        <v>0</v>
      </c>
      <c r="AA43" s="1096"/>
      <c r="AB43" s="576"/>
      <c r="AC43" s="1096"/>
      <c r="AD43" s="827">
        <f t="shared" si="8"/>
        <v>0</v>
      </c>
      <c r="AE43" s="1355"/>
      <c r="AF43" s="1096"/>
      <c r="AG43" s="576"/>
      <c r="AH43" s="576"/>
      <c r="AI43" s="1096"/>
      <c r="AJ43" s="1096"/>
      <c r="AK43" s="554"/>
      <c r="AL43" s="576"/>
      <c r="AM43" s="1115"/>
      <c r="AN43" s="1093"/>
      <c r="AO43" s="576">
        <f t="shared" si="1"/>
        <v>2117.4881527777779</v>
      </c>
      <c r="AP43" s="1072">
        <f t="shared" si="9"/>
        <v>2116.2560000000003</v>
      </c>
      <c r="AQ43" s="1097"/>
      <c r="AR43" s="576"/>
      <c r="AS43" s="1089">
        <v>0.1</v>
      </c>
      <c r="AT43" s="576">
        <f>+AP43*AS43</f>
        <v>211.62560000000005</v>
      </c>
      <c r="AU43" s="1089">
        <v>0</v>
      </c>
      <c r="AV43" s="576">
        <f t="shared" ref="AV43" si="68">+AP43*AU43</f>
        <v>0</v>
      </c>
      <c r="AW43" s="1089">
        <v>1.37E-2</v>
      </c>
      <c r="AX43" s="576">
        <f t="shared" ref="AX43" si="69">+AP43*AW43</f>
        <v>28.992707200000005</v>
      </c>
      <c r="AY43" s="1089">
        <f>+AS43+AU43+AW43</f>
        <v>0.11370000000000001</v>
      </c>
      <c r="AZ43" s="576">
        <f t="shared" ref="AZ43" si="70">+AT43+AV43+AX43</f>
        <v>240.61830720000006</v>
      </c>
      <c r="BA43" s="576">
        <f>TARDANZA!K37</f>
        <v>0</v>
      </c>
      <c r="BB43" s="576">
        <f>TARDANZA!L37</f>
        <v>1.2321527777777777</v>
      </c>
      <c r="BC43" s="832">
        <v>720</v>
      </c>
      <c r="BD43" s="576"/>
      <c r="BE43" s="576"/>
      <c r="BF43" s="576"/>
      <c r="BG43" s="576"/>
      <c r="BH43" s="576"/>
      <c r="BI43" s="576"/>
      <c r="BJ43" s="827"/>
      <c r="BK43" s="827">
        <f t="shared" si="10"/>
        <v>961.85045997777775</v>
      </c>
      <c r="BL43" s="595">
        <f t="shared" si="11"/>
        <v>1155.6376928000002</v>
      </c>
      <c r="BM43" s="1088">
        <v>0.09</v>
      </c>
      <c r="BN43" s="576">
        <f t="shared" si="59"/>
        <v>190.46304000000003</v>
      </c>
      <c r="BO43" s="919">
        <v>2.27</v>
      </c>
      <c r="BP43" s="1081"/>
      <c r="BQ43" s="1081" t="s">
        <v>210</v>
      </c>
      <c r="BT43" s="543"/>
      <c r="BU43" s="554">
        <f t="shared" si="17"/>
        <v>577.8188464000001</v>
      </c>
      <c r="BV43" s="832">
        <v>720</v>
      </c>
      <c r="BW43" s="546" t="s">
        <v>210</v>
      </c>
      <c r="BX43" s="1116"/>
      <c r="BY43" s="1116"/>
      <c r="BZ43" s="1073"/>
      <c r="CA43" s="1116"/>
      <c r="CB43" s="1179"/>
      <c r="CC43" s="1113"/>
      <c r="CD43" s="543"/>
      <c r="CE43" s="543"/>
      <c r="CF43" s="543"/>
      <c r="CG43" s="543"/>
      <c r="CH43" s="543"/>
      <c r="CI43" s="543"/>
      <c r="CJ43" s="543"/>
      <c r="CK43" s="543"/>
      <c r="CL43" s="543"/>
      <c r="CM43" s="543"/>
      <c r="CN43" s="543"/>
      <c r="CO43" s="543"/>
      <c r="CP43" s="543"/>
      <c r="CQ43" s="543"/>
      <c r="CR43" s="543"/>
      <c r="CS43" s="543"/>
      <c r="CT43" s="543"/>
      <c r="CU43" s="543"/>
      <c r="CV43" s="543"/>
      <c r="CW43" s="543"/>
      <c r="CX43" s="543"/>
      <c r="CY43" s="543"/>
      <c r="CZ43" s="543"/>
      <c r="DA43" s="543"/>
      <c r="DB43" s="543"/>
      <c r="DC43" s="543"/>
      <c r="DD43" s="543"/>
      <c r="DE43" s="543"/>
      <c r="DF43" s="543"/>
      <c r="DG43" s="543"/>
      <c r="DH43" s="543"/>
      <c r="DI43" s="543"/>
      <c r="DJ43" s="543"/>
      <c r="DK43" s="543"/>
      <c r="DL43" s="543"/>
      <c r="DM43" s="543"/>
      <c r="DN43" s="543"/>
      <c r="DO43" s="543"/>
      <c r="DP43" s="543"/>
      <c r="DQ43" s="543"/>
      <c r="DR43" s="543"/>
      <c r="DS43" s="543"/>
      <c r="DT43" s="543"/>
      <c r="DU43" s="543"/>
      <c r="DV43" s="543"/>
      <c r="DW43" s="543"/>
      <c r="DX43" s="543"/>
      <c r="DY43" s="543"/>
      <c r="DZ43" s="543"/>
      <c r="EA43" s="543"/>
      <c r="EB43" s="543"/>
      <c r="EC43" s="543"/>
      <c r="ED43" s="543"/>
      <c r="EE43" s="543"/>
      <c r="EF43" s="543"/>
      <c r="EG43" s="543"/>
      <c r="EH43" s="543"/>
      <c r="EI43" s="543"/>
      <c r="EJ43" s="543"/>
      <c r="EK43" s="543"/>
      <c r="EL43" s="543"/>
      <c r="EM43" s="543"/>
      <c r="EN43" s="543"/>
      <c r="EO43" s="543"/>
      <c r="EP43" s="543"/>
      <c r="EQ43" s="543"/>
      <c r="ER43" s="543"/>
      <c r="ES43" s="543"/>
      <c r="ET43" s="543"/>
      <c r="EU43" s="543"/>
      <c r="EV43" s="543"/>
      <c r="EW43" s="543"/>
      <c r="EX43" s="543"/>
      <c r="EY43" s="543"/>
      <c r="EZ43" s="543"/>
    </row>
    <row r="44" spans="1:156" s="549" customFormat="1">
      <c r="A44" s="546" t="s">
        <v>200</v>
      </c>
      <c r="B44" s="1080">
        <f t="shared" si="27"/>
        <v>33</v>
      </c>
      <c r="C44" s="1081" t="s">
        <v>284</v>
      </c>
      <c r="D44" s="1090">
        <v>71127067</v>
      </c>
      <c r="E44" s="1132">
        <v>35153</v>
      </c>
      <c r="F44" s="1134">
        <v>46083</v>
      </c>
      <c r="G44" s="1015"/>
      <c r="H44" s="1117" t="s">
        <v>280</v>
      </c>
      <c r="I44" s="549" t="s">
        <v>72</v>
      </c>
      <c r="J44" s="576">
        <v>2000</v>
      </c>
      <c r="K44" s="576"/>
      <c r="L44" s="1081">
        <v>30</v>
      </c>
      <c r="M44" s="1081"/>
      <c r="N44" s="1081"/>
      <c r="O44" s="1081"/>
      <c r="P44" s="1081">
        <f t="shared" si="0"/>
        <v>30</v>
      </c>
      <c r="Q44" s="549">
        <v>8</v>
      </c>
      <c r="R44" s="1081">
        <f t="shared" ref="R44" si="71">+P44*Q44</f>
        <v>240</v>
      </c>
      <c r="S44" s="1096">
        <f t="shared" si="5"/>
        <v>2000</v>
      </c>
      <c r="T44" s="919">
        <f t="shared" si="6"/>
        <v>0</v>
      </c>
      <c r="U44" s="827">
        <f t="shared" si="7"/>
        <v>0</v>
      </c>
      <c r="V44" s="576"/>
      <c r="W44" s="1096"/>
      <c r="X44" s="576">
        <f>H.E!L38</f>
        <v>0</v>
      </c>
      <c r="Y44" s="576">
        <f>H.E!M38</f>
        <v>0</v>
      </c>
      <c r="Z44" s="576">
        <f>H.E!N38</f>
        <v>0</v>
      </c>
      <c r="AA44" s="1096"/>
      <c r="AB44" s="576"/>
      <c r="AC44" s="1096"/>
      <c r="AD44" s="827">
        <f t="shared" si="8"/>
        <v>0</v>
      </c>
      <c r="AE44" s="1355"/>
      <c r="AF44" s="1096"/>
      <c r="AG44" s="1096"/>
      <c r="AH44" s="576"/>
      <c r="AI44" s="1096"/>
      <c r="AJ44" s="1096"/>
      <c r="AK44" s="554"/>
      <c r="AL44" s="576"/>
      <c r="AM44" s="1081"/>
      <c r="AN44" s="1093"/>
      <c r="AO44" s="576">
        <f t="shared" si="1"/>
        <v>2000</v>
      </c>
      <c r="AP44" s="1072">
        <f t="shared" si="9"/>
        <v>1988.0555555555557</v>
      </c>
      <c r="AQ44" s="1097"/>
      <c r="AR44" s="576"/>
      <c r="AS44" s="1089">
        <v>0.1</v>
      </c>
      <c r="AT44" s="1093">
        <f t="shared" ref="AT44" si="72">+AP44*AS44</f>
        <v>198.80555555555557</v>
      </c>
      <c r="AU44" s="1089">
        <v>0</v>
      </c>
      <c r="AV44" s="576">
        <f t="shared" ref="AV44" si="73">+AP44*AU44</f>
        <v>0</v>
      </c>
      <c r="AW44" s="1089">
        <v>1.37E-2</v>
      </c>
      <c r="AX44" s="576">
        <f t="shared" ref="AX44" si="74">+AP44*AW44</f>
        <v>27.236361111111112</v>
      </c>
      <c r="AY44" s="1089">
        <f t="shared" ref="AY44" si="75">+AS44+AU44+AW44</f>
        <v>0.11370000000000001</v>
      </c>
      <c r="AZ44" s="576">
        <f t="shared" ref="AZ44:AZ45" si="76">+AT44+AV44+AX44</f>
        <v>226.04191666666668</v>
      </c>
      <c r="BA44" s="576">
        <f>TARDANZA!K38</f>
        <v>0</v>
      </c>
      <c r="BB44" s="576">
        <f>TARDANZA!L38</f>
        <v>11.944444444444445</v>
      </c>
      <c r="BC44" s="832">
        <v>880</v>
      </c>
      <c r="BD44" s="576"/>
      <c r="BE44" s="576"/>
      <c r="BF44" s="576"/>
      <c r="BG44" s="576"/>
      <c r="BH44" s="576"/>
      <c r="BJ44" s="842"/>
      <c r="BK44" s="827">
        <f t="shared" si="10"/>
        <v>1117.9863611111111</v>
      </c>
      <c r="BL44" s="595">
        <f>(+AO44-BK44)</f>
        <v>882.01363888888886</v>
      </c>
      <c r="BM44" s="1088">
        <v>0.09</v>
      </c>
      <c r="BN44" s="576">
        <f>AP44*BM44</f>
        <v>178.92500000000001</v>
      </c>
      <c r="BO44" s="1174">
        <v>3</v>
      </c>
      <c r="BP44" s="1080"/>
      <c r="BQ44" s="1092" t="s">
        <v>203</v>
      </c>
      <c r="BT44" s="543"/>
      <c r="BU44" s="554">
        <f t="shared" si="17"/>
        <v>441.00681944444443</v>
      </c>
      <c r="BV44" s="832">
        <v>880</v>
      </c>
      <c r="BW44" s="546" t="s">
        <v>203</v>
      </c>
      <c r="BX44" s="543"/>
      <c r="BY44" s="543"/>
      <c r="BZ44" s="543"/>
      <c r="CA44" s="543"/>
      <c r="CB44" s="1177"/>
      <c r="CC44" s="1113"/>
      <c r="CD44" s="543"/>
      <c r="CE44" s="543"/>
      <c r="CF44" s="543"/>
      <c r="CG44" s="543"/>
      <c r="CH44" s="543"/>
      <c r="CI44" s="543"/>
      <c r="CJ44" s="543"/>
      <c r="CK44" s="543"/>
      <c r="CL44" s="543"/>
      <c r="CM44" s="543"/>
      <c r="CN44" s="543"/>
      <c r="CO44" s="543"/>
      <c r="CP44" s="543"/>
      <c r="CQ44" s="543"/>
      <c r="CR44" s="543"/>
      <c r="CS44" s="543"/>
      <c r="CT44" s="543"/>
      <c r="CU44" s="543"/>
      <c r="CV44" s="543"/>
      <c r="CW44" s="543"/>
      <c r="CX44" s="543"/>
      <c r="CY44" s="543"/>
      <c r="CZ44" s="543"/>
      <c r="DA44" s="543"/>
      <c r="DB44" s="543"/>
      <c r="DC44" s="543"/>
      <c r="DD44" s="543"/>
      <c r="DE44" s="543"/>
      <c r="DF44" s="543"/>
      <c r="DG44" s="543"/>
      <c r="DH44" s="543"/>
      <c r="DI44" s="543"/>
      <c r="DJ44" s="543"/>
      <c r="DK44" s="543"/>
      <c r="DL44" s="543"/>
      <c r="DM44" s="543"/>
      <c r="DN44" s="543"/>
      <c r="DO44" s="543"/>
      <c r="DP44" s="543"/>
      <c r="DQ44" s="543"/>
      <c r="DR44" s="543"/>
      <c r="DS44" s="543"/>
      <c r="DT44" s="543"/>
      <c r="DU44" s="543"/>
      <c r="DV44" s="543"/>
      <c r="DW44" s="543"/>
      <c r="DX44" s="543"/>
      <c r="DY44" s="543"/>
      <c r="DZ44" s="543"/>
      <c r="EA44" s="543"/>
      <c r="EB44" s="543"/>
      <c r="EC44" s="543"/>
      <c r="ED44" s="543"/>
      <c r="EE44" s="543"/>
      <c r="EF44" s="543"/>
      <c r="EG44" s="543"/>
      <c r="EH44" s="543"/>
      <c r="EI44" s="543"/>
      <c r="EJ44" s="543"/>
      <c r="EK44" s="543"/>
      <c r="EL44" s="543"/>
      <c r="EM44" s="543"/>
      <c r="EN44" s="543"/>
      <c r="EO44" s="543"/>
      <c r="EP44" s="543"/>
      <c r="EQ44" s="543"/>
      <c r="ER44" s="543"/>
      <c r="ES44" s="543"/>
      <c r="ET44" s="543"/>
      <c r="EU44" s="543"/>
      <c r="EV44" s="543"/>
      <c r="EW44" s="543"/>
      <c r="EX44" s="543"/>
      <c r="EY44" s="543"/>
      <c r="EZ44" s="543"/>
    </row>
    <row r="45" spans="1:156" s="549" customFormat="1">
      <c r="A45" s="546" t="s">
        <v>237</v>
      </c>
      <c r="B45" s="1080">
        <f t="shared" si="27"/>
        <v>34</v>
      </c>
      <c r="C45" s="1081" t="s">
        <v>757</v>
      </c>
      <c r="D45" s="1090">
        <v>74217394</v>
      </c>
      <c r="E45" s="1132">
        <v>34877</v>
      </c>
      <c r="F45" s="1134">
        <v>46160</v>
      </c>
      <c r="G45" s="1015"/>
      <c r="H45" s="1117" t="s">
        <v>756</v>
      </c>
      <c r="I45" s="549" t="s">
        <v>73</v>
      </c>
      <c r="J45" s="576">
        <v>2850</v>
      </c>
      <c r="K45" s="576"/>
      <c r="L45" s="1081">
        <v>30</v>
      </c>
      <c r="M45" s="1081"/>
      <c r="N45" s="1081"/>
      <c r="O45" s="1081"/>
      <c r="P45" s="1081">
        <f t="shared" si="0"/>
        <v>30</v>
      </c>
      <c r="Q45" s="549">
        <v>8</v>
      </c>
      <c r="R45" s="1081">
        <f t="shared" ref="R45:R50" si="77">+P45*Q45</f>
        <v>240</v>
      </c>
      <c r="S45" s="1096">
        <f t="shared" si="5"/>
        <v>2850</v>
      </c>
      <c r="T45" s="919">
        <f t="shared" si="6"/>
        <v>0</v>
      </c>
      <c r="U45" s="827">
        <f t="shared" si="7"/>
        <v>0</v>
      </c>
      <c r="V45" s="576"/>
      <c r="W45" s="1096"/>
      <c r="X45" s="576">
        <f>H.E!L39</f>
        <v>0</v>
      </c>
      <c r="Y45" s="576">
        <f>H.E!M39</f>
        <v>0</v>
      </c>
      <c r="Z45" s="576">
        <f>H.E!N39</f>
        <v>0</v>
      </c>
      <c r="AA45" s="1096"/>
      <c r="AB45" s="576"/>
      <c r="AC45" s="1096"/>
      <c r="AD45" s="827">
        <f t="shared" si="8"/>
        <v>0</v>
      </c>
      <c r="AE45" s="1355"/>
      <c r="AF45" s="1096"/>
      <c r="AG45" s="1096"/>
      <c r="AH45" s="576"/>
      <c r="AI45" s="1096"/>
      <c r="AJ45" s="1096"/>
      <c r="AK45" s="554"/>
      <c r="AL45" s="576"/>
      <c r="AM45" s="1081"/>
      <c r="AN45" s="1093"/>
      <c r="AO45" s="576">
        <f t="shared" si="1"/>
        <v>2850</v>
      </c>
      <c r="AP45" s="1072">
        <f t="shared" si="9"/>
        <v>2782.7083333333335</v>
      </c>
      <c r="AQ45" s="1097"/>
      <c r="AR45" s="576"/>
      <c r="AS45" s="1089">
        <v>0.1</v>
      </c>
      <c r="AT45" s="576">
        <f>+AP45*AS45</f>
        <v>278.27083333333337</v>
      </c>
      <c r="AU45" s="1089">
        <v>0</v>
      </c>
      <c r="AV45" s="576">
        <f>+AP45*AU45</f>
        <v>0</v>
      </c>
      <c r="AW45" s="1089">
        <v>1.37E-2</v>
      </c>
      <c r="AX45" s="576">
        <f>+AP45*AW45</f>
        <v>38.123104166666671</v>
      </c>
      <c r="AY45" s="1089">
        <f>+AS45+AU45+AW45</f>
        <v>0.11370000000000001</v>
      </c>
      <c r="AZ45" s="576">
        <f t="shared" si="76"/>
        <v>316.39393750000005</v>
      </c>
      <c r="BA45" s="576">
        <f>TARDANZA!K39</f>
        <v>0</v>
      </c>
      <c r="BB45" s="576">
        <f>TARDANZA!L39</f>
        <v>67.291666666666657</v>
      </c>
      <c r="BC45" s="832">
        <v>1230</v>
      </c>
      <c r="BD45" s="576"/>
      <c r="BE45" s="576"/>
      <c r="BF45" s="576"/>
      <c r="BG45" s="576"/>
      <c r="BH45" s="576"/>
      <c r="BJ45" s="842"/>
      <c r="BK45" s="827">
        <f t="shared" si="10"/>
        <v>1613.6856041666667</v>
      </c>
      <c r="BL45" s="595">
        <f t="shared" ref="BL45" si="78">(+AO45-BK45)</f>
        <v>1236.3143958333333</v>
      </c>
      <c r="BM45" s="1088">
        <v>0.09</v>
      </c>
      <c r="BN45" s="576">
        <f t="shared" ref="BN45" si="79">AP45*BM45</f>
        <v>250.44374999999999</v>
      </c>
      <c r="BO45" s="919">
        <v>4.8099999999999996</v>
      </c>
      <c r="BP45" s="1080"/>
      <c r="BQ45" s="1092" t="s">
        <v>203</v>
      </c>
      <c r="BT45" s="543"/>
      <c r="BU45" s="554">
        <f t="shared" si="17"/>
        <v>618.15719791666663</v>
      </c>
      <c r="BV45" s="832">
        <v>1230</v>
      </c>
      <c r="BW45" s="546" t="s">
        <v>203</v>
      </c>
      <c r="BX45" s="543"/>
      <c r="BY45" s="543"/>
      <c r="BZ45" s="543"/>
      <c r="CA45" s="543"/>
      <c r="CB45" s="1177"/>
      <c r="CC45" s="1113"/>
      <c r="CD45" s="543"/>
      <c r="CE45" s="543"/>
      <c r="CF45" s="543"/>
      <c r="CG45" s="543"/>
      <c r="CH45" s="543"/>
      <c r="CI45" s="543"/>
      <c r="CJ45" s="543"/>
      <c r="CK45" s="543"/>
      <c r="CL45" s="543"/>
      <c r="CM45" s="543"/>
      <c r="CN45" s="543"/>
      <c r="CO45" s="543"/>
      <c r="CP45" s="543"/>
      <c r="CQ45" s="543"/>
      <c r="CR45" s="543"/>
      <c r="CS45" s="543"/>
      <c r="CT45" s="543"/>
      <c r="CU45" s="543"/>
      <c r="CV45" s="543"/>
      <c r="CW45" s="543"/>
      <c r="CX45" s="543"/>
      <c r="CY45" s="543"/>
      <c r="CZ45" s="543"/>
      <c r="DA45" s="543"/>
      <c r="DB45" s="543"/>
      <c r="DC45" s="543"/>
      <c r="DD45" s="543"/>
      <c r="DE45" s="543"/>
      <c r="DF45" s="543"/>
      <c r="DG45" s="543"/>
      <c r="DH45" s="543"/>
      <c r="DI45" s="543"/>
      <c r="DJ45" s="543"/>
      <c r="DK45" s="543"/>
      <c r="DL45" s="543"/>
      <c r="DM45" s="543"/>
      <c r="DN45" s="543"/>
      <c r="DO45" s="543"/>
      <c r="DP45" s="543"/>
      <c r="DQ45" s="543"/>
      <c r="DR45" s="543"/>
      <c r="DS45" s="543"/>
      <c r="DT45" s="543"/>
      <c r="DU45" s="543"/>
      <c r="DV45" s="543"/>
      <c r="DW45" s="543"/>
      <c r="DX45" s="543"/>
      <c r="DY45" s="543"/>
      <c r="DZ45" s="543"/>
      <c r="EA45" s="543"/>
      <c r="EB45" s="543"/>
      <c r="EC45" s="543"/>
      <c r="ED45" s="543"/>
      <c r="EE45" s="543"/>
      <c r="EF45" s="543"/>
      <c r="EG45" s="543"/>
      <c r="EH45" s="543"/>
      <c r="EI45" s="543"/>
      <c r="EJ45" s="543"/>
      <c r="EK45" s="543"/>
      <c r="EL45" s="543"/>
      <c r="EM45" s="543"/>
      <c r="EN45" s="543"/>
      <c r="EO45" s="543"/>
      <c r="EP45" s="543"/>
      <c r="EQ45" s="543"/>
      <c r="ER45" s="543"/>
      <c r="ES45" s="543"/>
      <c r="ET45" s="543"/>
      <c r="EU45" s="543"/>
      <c r="EV45" s="543"/>
      <c r="EW45" s="543"/>
      <c r="EX45" s="543"/>
      <c r="EY45" s="543"/>
      <c r="EZ45" s="543"/>
    </row>
    <row r="46" spans="1:156" s="549" customFormat="1">
      <c r="A46" s="546" t="s">
        <v>207</v>
      </c>
      <c r="B46" s="1080">
        <f t="shared" si="27"/>
        <v>35</v>
      </c>
      <c r="C46" s="1081" t="s">
        <v>760</v>
      </c>
      <c r="D46" s="1090">
        <v>72326112</v>
      </c>
      <c r="E46" s="1132">
        <v>35254</v>
      </c>
      <c r="F46" s="1134">
        <v>46181</v>
      </c>
      <c r="G46" s="1015"/>
      <c r="H46" s="1117" t="s">
        <v>257</v>
      </c>
      <c r="I46" s="549" t="s">
        <v>71</v>
      </c>
      <c r="J46" s="576">
        <v>1700</v>
      </c>
      <c r="K46" s="576"/>
      <c r="L46" s="1081">
        <v>30</v>
      </c>
      <c r="M46" s="1081"/>
      <c r="N46" s="1081"/>
      <c r="O46" s="1081"/>
      <c r="P46" s="1081">
        <f t="shared" si="0"/>
        <v>30</v>
      </c>
      <c r="Q46" s="549">
        <v>8</v>
      </c>
      <c r="R46" s="1081">
        <f t="shared" ref="R46:R49" si="80">+P46*Q46</f>
        <v>240</v>
      </c>
      <c r="S46" s="1096">
        <f t="shared" si="5"/>
        <v>1700</v>
      </c>
      <c r="T46" s="919">
        <f t="shared" si="6"/>
        <v>0</v>
      </c>
      <c r="U46" s="827">
        <f t="shared" si="7"/>
        <v>0</v>
      </c>
      <c r="V46" s="576"/>
      <c r="W46" s="1096"/>
      <c r="X46" s="576">
        <f>H.E!L40</f>
        <v>265.625</v>
      </c>
      <c r="Y46" s="576">
        <f>H.E!M40</f>
        <v>175.63125000000002</v>
      </c>
      <c r="Z46" s="576">
        <f>H.E!N40</f>
        <v>0</v>
      </c>
      <c r="AA46" s="1096"/>
      <c r="AB46" s="576"/>
      <c r="AC46" s="1096"/>
      <c r="AD46" s="827">
        <f t="shared" si="8"/>
        <v>0</v>
      </c>
      <c r="AE46" s="1355"/>
      <c r="AF46" s="1096"/>
      <c r="AG46" s="1096"/>
      <c r="AH46" s="576"/>
      <c r="AI46" s="1096"/>
      <c r="AJ46" s="1096"/>
      <c r="AK46" s="554"/>
      <c r="AL46" s="576"/>
      <c r="AM46" s="1081"/>
      <c r="AN46" s="1093"/>
      <c r="AO46" s="576">
        <f t="shared" si="1"/>
        <v>2141.2562499999999</v>
      </c>
      <c r="AP46" s="1072">
        <f t="shared" si="9"/>
        <v>2139.9576388888886</v>
      </c>
      <c r="AQ46" s="1097"/>
      <c r="AR46" s="576"/>
      <c r="AS46" s="1089">
        <v>0.1</v>
      </c>
      <c r="AT46" s="1093">
        <f>+AP46*AS46</f>
        <v>213.99576388888886</v>
      </c>
      <c r="AU46" s="1089">
        <v>0</v>
      </c>
      <c r="AV46" s="576">
        <f t="shared" ref="AV46:AV50" si="81">+AP46*AU46</f>
        <v>0</v>
      </c>
      <c r="AW46" s="1089">
        <v>1.37E-2</v>
      </c>
      <c r="AX46" s="576">
        <f t="shared" ref="AX46:AX50" si="82">+AP46*AW46</f>
        <v>29.317419652777776</v>
      </c>
      <c r="AY46" s="1089">
        <f>+AS46+AU46+AW46</f>
        <v>0.11370000000000001</v>
      </c>
      <c r="AZ46" s="576">
        <f>+AT46+AV46+AX46</f>
        <v>243.31318354166663</v>
      </c>
      <c r="BA46" s="576">
        <f>TARDANZA!K40</f>
        <v>0</v>
      </c>
      <c r="BB46" s="576">
        <f>TARDANZA!L40</f>
        <v>1.2986111111111112</v>
      </c>
      <c r="BC46" s="832">
        <v>750</v>
      </c>
      <c r="BD46" s="576"/>
      <c r="BE46" s="576"/>
      <c r="BF46" s="576"/>
      <c r="BG46" s="576"/>
      <c r="BH46" s="576"/>
      <c r="BJ46" s="842"/>
      <c r="BK46" s="827">
        <f t="shared" ref="BK46:BK47" si="83">+AZ46+SUM(BA46:BJ46)+AR46</f>
        <v>994.61179465277769</v>
      </c>
      <c r="BL46" s="595">
        <f t="shared" ref="BL46:BL47" si="84">(+AO46-BK46)</f>
        <v>1146.6444553472222</v>
      </c>
      <c r="BM46" s="1088">
        <v>0.09</v>
      </c>
      <c r="BN46" s="576">
        <f t="shared" ref="BN46" si="85">AP46*BM46</f>
        <v>192.59618749999996</v>
      </c>
      <c r="BO46" s="919">
        <v>2.5499999999999998</v>
      </c>
      <c r="BP46" s="1080"/>
      <c r="BQ46" s="1092" t="s">
        <v>203</v>
      </c>
      <c r="BR46" s="1230"/>
      <c r="BT46" s="543"/>
      <c r="BU46" s="554">
        <f t="shared" si="17"/>
        <v>573.32222767361111</v>
      </c>
      <c r="BV46" s="832">
        <v>750</v>
      </c>
      <c r="BW46" s="546" t="s">
        <v>203</v>
      </c>
      <c r="BX46" s="543"/>
      <c r="BY46" s="543"/>
      <c r="BZ46" s="543"/>
      <c r="CA46" s="543"/>
      <c r="CB46" s="1177"/>
      <c r="CC46" s="1113"/>
      <c r="CD46" s="543"/>
      <c r="CE46" s="543"/>
      <c r="CF46" s="543"/>
      <c r="CG46" s="543"/>
      <c r="CH46" s="543"/>
      <c r="CI46" s="543"/>
      <c r="CJ46" s="543"/>
      <c r="CK46" s="543"/>
      <c r="CL46" s="543"/>
      <c r="CM46" s="543"/>
      <c r="CN46" s="543"/>
      <c r="CO46" s="543"/>
      <c r="CP46" s="543"/>
      <c r="CQ46" s="543"/>
      <c r="CR46" s="543"/>
      <c r="CS46" s="543"/>
      <c r="CT46" s="543"/>
      <c r="CU46" s="543"/>
      <c r="CV46" s="543"/>
      <c r="CW46" s="543"/>
      <c r="CX46" s="543"/>
      <c r="CY46" s="543"/>
      <c r="CZ46" s="543"/>
      <c r="DA46" s="543"/>
      <c r="DB46" s="543"/>
      <c r="DC46" s="543"/>
      <c r="DD46" s="543"/>
      <c r="DE46" s="543"/>
      <c r="DF46" s="543"/>
      <c r="DG46" s="543"/>
      <c r="DH46" s="543"/>
      <c r="DI46" s="543"/>
      <c r="DJ46" s="543"/>
      <c r="DK46" s="543"/>
      <c r="DL46" s="543"/>
      <c r="DM46" s="543"/>
      <c r="DN46" s="543"/>
      <c r="DO46" s="543"/>
      <c r="DP46" s="543"/>
      <c r="DQ46" s="543"/>
      <c r="DR46" s="543"/>
      <c r="DS46" s="543"/>
      <c r="DT46" s="543"/>
      <c r="DU46" s="543"/>
      <c r="DV46" s="543"/>
      <c r="DW46" s="543"/>
      <c r="DX46" s="543"/>
      <c r="DY46" s="543"/>
      <c r="DZ46" s="543"/>
      <c r="EA46" s="543"/>
      <c r="EB46" s="543"/>
      <c r="EC46" s="543"/>
      <c r="ED46" s="543"/>
      <c r="EE46" s="543"/>
      <c r="EF46" s="543"/>
      <c r="EG46" s="543"/>
      <c r="EH46" s="543"/>
      <c r="EI46" s="543"/>
      <c r="EJ46" s="543"/>
      <c r="EK46" s="543"/>
      <c r="EL46" s="543"/>
      <c r="EM46" s="543"/>
      <c r="EN46" s="543"/>
      <c r="EO46" s="543"/>
      <c r="EP46" s="543"/>
      <c r="EQ46" s="543"/>
      <c r="ER46" s="543"/>
      <c r="ES46" s="543"/>
      <c r="ET46" s="543"/>
      <c r="EU46" s="543"/>
      <c r="EV46" s="543"/>
      <c r="EW46" s="543"/>
      <c r="EX46" s="543"/>
      <c r="EY46" s="543"/>
      <c r="EZ46" s="543"/>
    </row>
    <row r="47" spans="1:156" s="549" customFormat="1">
      <c r="A47" s="546" t="s">
        <v>207</v>
      </c>
      <c r="B47" s="1080">
        <f t="shared" si="27"/>
        <v>36</v>
      </c>
      <c r="C47" s="1081" t="s">
        <v>762</v>
      </c>
      <c r="D47" s="1090">
        <v>72705177</v>
      </c>
      <c r="E47" s="1132">
        <v>36894</v>
      </c>
      <c r="F47" s="1134">
        <v>46188</v>
      </c>
      <c r="G47" s="1015"/>
      <c r="H47" s="1117" t="s">
        <v>257</v>
      </c>
      <c r="I47" s="549" t="s">
        <v>71</v>
      </c>
      <c r="J47" s="576">
        <v>2800</v>
      </c>
      <c r="K47" s="576"/>
      <c r="L47" s="1081">
        <v>30</v>
      </c>
      <c r="M47" s="1081"/>
      <c r="N47" s="1081"/>
      <c r="O47" s="1081"/>
      <c r="P47" s="1081">
        <f t="shared" si="0"/>
        <v>30</v>
      </c>
      <c r="Q47" s="549">
        <v>8</v>
      </c>
      <c r="R47" s="1081">
        <f t="shared" si="80"/>
        <v>240</v>
      </c>
      <c r="S47" s="1096">
        <f t="shared" si="5"/>
        <v>2800</v>
      </c>
      <c r="T47" s="919">
        <f t="shared" si="6"/>
        <v>0</v>
      </c>
      <c r="U47" s="827">
        <f t="shared" si="7"/>
        <v>0</v>
      </c>
      <c r="V47" s="576"/>
      <c r="W47" s="1096"/>
      <c r="X47" s="576">
        <f>H.E!L41</f>
        <v>0</v>
      </c>
      <c r="Y47" s="576">
        <f>H.E!M41</f>
        <v>0</v>
      </c>
      <c r="Z47" s="576">
        <f>H.E!N41</f>
        <v>0</v>
      </c>
      <c r="AA47" s="1096"/>
      <c r="AB47" s="576"/>
      <c r="AC47" s="1096"/>
      <c r="AD47" s="827">
        <f t="shared" si="8"/>
        <v>0</v>
      </c>
      <c r="AE47" s="1355"/>
      <c r="AF47" s="1096"/>
      <c r="AG47" s="1096"/>
      <c r="AH47" s="576"/>
      <c r="AI47" s="1096"/>
      <c r="AJ47" s="1096"/>
      <c r="AK47" s="554"/>
      <c r="AL47" s="576"/>
      <c r="AM47" s="1081"/>
      <c r="AN47" s="1093"/>
      <c r="AO47" s="576">
        <f t="shared" si="1"/>
        <v>2800</v>
      </c>
      <c r="AP47" s="1072">
        <f t="shared" si="9"/>
        <v>2780.3611111111113</v>
      </c>
      <c r="AQ47" s="1097"/>
      <c r="AR47" s="576"/>
      <c r="AS47" s="1089">
        <v>0.1</v>
      </c>
      <c r="AT47" s="576">
        <f>+AP47*AS47</f>
        <v>278.03611111111115</v>
      </c>
      <c r="AU47" s="1089">
        <v>0</v>
      </c>
      <c r="AV47" s="576">
        <f t="shared" si="81"/>
        <v>0</v>
      </c>
      <c r="AW47" s="1089">
        <v>1.37E-2</v>
      </c>
      <c r="AX47" s="576">
        <f t="shared" si="82"/>
        <v>38.090947222222226</v>
      </c>
      <c r="AY47" s="1089">
        <f t="shared" ref="AY47:AY50" si="86">+AS47+AU47+AW47</f>
        <v>0.11370000000000001</v>
      </c>
      <c r="AZ47" s="576">
        <f t="shared" ref="AZ47:AZ50" si="87">+AT47+AV47+AX47</f>
        <v>316.12705833333337</v>
      </c>
      <c r="BA47" s="576">
        <f>TARDANZA!K41</f>
        <v>0</v>
      </c>
      <c r="BB47" s="576">
        <f>TARDANZA!L41</f>
        <v>19.638888888888889</v>
      </c>
      <c r="BC47" s="832">
        <v>1240</v>
      </c>
      <c r="BD47" s="827"/>
      <c r="BE47" s="576"/>
      <c r="BF47" s="576"/>
      <c r="BG47" s="576"/>
      <c r="BH47" s="576"/>
      <c r="BJ47" s="842"/>
      <c r="BK47" s="827">
        <f t="shared" si="83"/>
        <v>1575.7659472222222</v>
      </c>
      <c r="BL47" s="595">
        <f t="shared" si="84"/>
        <v>1224.2340527777778</v>
      </c>
      <c r="BM47" s="1088">
        <v>0.09</v>
      </c>
      <c r="BN47" s="595">
        <f t="shared" ref="BN47:BN55" si="88">AP47*BM47</f>
        <v>250.23250000000002</v>
      </c>
      <c r="BO47" s="919">
        <v>4.2</v>
      </c>
      <c r="BP47" s="1080"/>
      <c r="BQ47" s="1190" t="s">
        <v>203</v>
      </c>
      <c r="BR47" s="1055"/>
      <c r="BS47" s="1055"/>
      <c r="BU47" s="554">
        <f t="shared" si="17"/>
        <v>612.11702638888892</v>
      </c>
      <c r="BV47" s="832">
        <v>1240</v>
      </c>
      <c r="BW47" s="546" t="s">
        <v>203</v>
      </c>
    </row>
    <row r="48" spans="1:156" s="550" customFormat="1">
      <c r="A48" s="546" t="s">
        <v>207</v>
      </c>
      <c r="B48" s="1080">
        <f t="shared" si="27"/>
        <v>37</v>
      </c>
      <c r="C48" s="1081" t="s">
        <v>763</v>
      </c>
      <c r="D48" s="1090">
        <v>72368094</v>
      </c>
      <c r="E48" s="1132">
        <v>37634</v>
      </c>
      <c r="F48" s="1134">
        <v>46188</v>
      </c>
      <c r="G48" s="1015"/>
      <c r="H48" s="1117" t="s">
        <v>783</v>
      </c>
      <c r="I48" s="549" t="s">
        <v>73</v>
      </c>
      <c r="J48" s="576">
        <v>1400</v>
      </c>
      <c r="K48" s="576"/>
      <c r="L48" s="1081">
        <v>30</v>
      </c>
      <c r="M48" s="1081"/>
      <c r="N48" s="1081"/>
      <c r="O48" s="1081"/>
      <c r="P48" s="1081">
        <f t="shared" si="0"/>
        <v>30</v>
      </c>
      <c r="Q48" s="549">
        <v>8</v>
      </c>
      <c r="R48" s="1081">
        <f t="shared" si="77"/>
        <v>240</v>
      </c>
      <c r="S48" s="1096">
        <f t="shared" si="5"/>
        <v>1400</v>
      </c>
      <c r="T48" s="919">
        <f t="shared" si="6"/>
        <v>0</v>
      </c>
      <c r="U48" s="827">
        <f t="shared" si="7"/>
        <v>0</v>
      </c>
      <c r="V48" s="576"/>
      <c r="W48" s="1096"/>
      <c r="X48" s="576">
        <f>H.E!L42</f>
        <v>0</v>
      </c>
      <c r="Y48" s="576">
        <f>H.E!M42</f>
        <v>0</v>
      </c>
      <c r="Z48" s="576">
        <f>H.E!N42</f>
        <v>0</v>
      </c>
      <c r="AA48" s="1096"/>
      <c r="AB48" s="576"/>
      <c r="AC48" s="1096"/>
      <c r="AD48" s="827">
        <f t="shared" si="8"/>
        <v>0</v>
      </c>
      <c r="AE48" s="1355"/>
      <c r="AF48" s="1096"/>
      <c r="AG48" s="1096"/>
      <c r="AH48" s="576"/>
      <c r="AI48" s="1096"/>
      <c r="AJ48" s="1096"/>
      <c r="AK48" s="554"/>
      <c r="AL48" s="576"/>
      <c r="AM48" s="1081"/>
      <c r="AN48" s="1093"/>
      <c r="AO48" s="576">
        <f t="shared" si="1"/>
        <v>1400</v>
      </c>
      <c r="AP48" s="1072">
        <f t="shared" si="9"/>
        <v>1397.2777777777778</v>
      </c>
      <c r="AQ48" s="1097"/>
      <c r="AR48" s="576"/>
      <c r="AS48" s="1089">
        <v>0.1</v>
      </c>
      <c r="AT48" s="576">
        <f>+AP48*AS48</f>
        <v>139.72777777777779</v>
      </c>
      <c r="AU48" s="1089">
        <v>0</v>
      </c>
      <c r="AV48" s="576">
        <f>+AP48*AU48</f>
        <v>0</v>
      </c>
      <c r="AW48" s="1089">
        <v>1.37E-2</v>
      </c>
      <c r="AX48" s="576">
        <f t="shared" si="82"/>
        <v>19.142705555555558</v>
      </c>
      <c r="AY48" s="1089">
        <f t="shared" si="86"/>
        <v>0.11370000000000001</v>
      </c>
      <c r="AZ48" s="576">
        <f t="shared" si="87"/>
        <v>158.87048333333334</v>
      </c>
      <c r="BA48" s="576">
        <f>TARDANZA!K42</f>
        <v>0</v>
      </c>
      <c r="BB48" s="576">
        <f>TARDANZA!L42</f>
        <v>2.7222222222222223</v>
      </c>
      <c r="BC48" s="832">
        <v>620</v>
      </c>
      <c r="BD48" s="827"/>
      <c r="BE48" s="576"/>
      <c r="BF48" s="576"/>
      <c r="BG48" s="576"/>
      <c r="BH48" s="576"/>
      <c r="BI48" s="549"/>
      <c r="BJ48" s="842"/>
      <c r="BK48" s="827">
        <f t="shared" ref="BK48:BK50" si="89">+AZ48+SUM(BA48:BJ48)+AR48</f>
        <v>781.59270555555554</v>
      </c>
      <c r="BL48" s="595">
        <f t="shared" ref="BL48:BL50" si="90">(+AO48-BK48)</f>
        <v>618.40729444444446</v>
      </c>
      <c r="BM48" s="1088">
        <v>0.09</v>
      </c>
      <c r="BN48" s="595">
        <f t="shared" si="88"/>
        <v>125.755</v>
      </c>
      <c r="BO48" s="919">
        <v>2.1</v>
      </c>
      <c r="BP48" s="1080"/>
      <c r="BQ48" s="1190" t="s">
        <v>203</v>
      </c>
      <c r="BR48" s="551"/>
      <c r="BS48" s="551"/>
      <c r="BU48" s="554">
        <f t="shared" si="17"/>
        <v>309.20364722222223</v>
      </c>
      <c r="BV48" s="832">
        <v>620</v>
      </c>
      <c r="BW48" s="546" t="s">
        <v>203</v>
      </c>
    </row>
    <row r="49" spans="1:156" s="550" customFormat="1" ht="12.75" customHeight="1">
      <c r="A49" s="546" t="s">
        <v>761</v>
      </c>
      <c r="B49" s="1080">
        <f t="shared" si="27"/>
        <v>38</v>
      </c>
      <c r="C49" s="1081" t="s">
        <v>764</v>
      </c>
      <c r="D49" s="1090">
        <v>70351677</v>
      </c>
      <c r="E49" s="1132">
        <v>35876</v>
      </c>
      <c r="F49" s="1134">
        <v>46188</v>
      </c>
      <c r="G49" s="1015"/>
      <c r="H49" s="1117" t="s">
        <v>766</v>
      </c>
      <c r="I49" s="549" t="s">
        <v>71</v>
      </c>
      <c r="J49" s="576">
        <v>2000</v>
      </c>
      <c r="K49" s="576"/>
      <c r="L49" s="1081">
        <v>30</v>
      </c>
      <c r="M49" s="1081"/>
      <c r="N49" s="1081"/>
      <c r="O49" s="1081"/>
      <c r="P49" s="1081">
        <f t="shared" si="0"/>
        <v>30</v>
      </c>
      <c r="Q49" s="549">
        <v>8</v>
      </c>
      <c r="R49" s="1081">
        <f t="shared" si="80"/>
        <v>240</v>
      </c>
      <c r="S49" s="1096">
        <f t="shared" si="5"/>
        <v>2000</v>
      </c>
      <c r="T49" s="919">
        <f t="shared" si="6"/>
        <v>0</v>
      </c>
      <c r="U49" s="827">
        <f t="shared" si="7"/>
        <v>0</v>
      </c>
      <c r="V49" s="576"/>
      <c r="W49" s="1096"/>
      <c r="X49" s="576">
        <f>H.E!L43</f>
        <v>0</v>
      </c>
      <c r="Y49" s="576">
        <f>H.E!M43</f>
        <v>0</v>
      </c>
      <c r="Z49" s="576">
        <f>H.E!N43</f>
        <v>0</v>
      </c>
      <c r="AA49" s="1096"/>
      <c r="AB49" s="576"/>
      <c r="AC49" s="1096"/>
      <c r="AD49" s="827">
        <f t="shared" si="8"/>
        <v>0</v>
      </c>
      <c r="AE49" s="1355"/>
      <c r="AF49" s="1096"/>
      <c r="AG49" s="1096"/>
      <c r="AH49" s="576"/>
      <c r="AI49" s="1096"/>
      <c r="AJ49" s="1096"/>
      <c r="AK49" s="554"/>
      <c r="AL49" s="576"/>
      <c r="AM49" s="1081"/>
      <c r="AN49" s="1093"/>
      <c r="AO49" s="576">
        <f t="shared" si="1"/>
        <v>2000</v>
      </c>
      <c r="AP49" s="1072">
        <f t="shared" si="9"/>
        <v>1925.5555555555554</v>
      </c>
      <c r="AQ49" s="1097"/>
      <c r="AR49" s="576"/>
      <c r="AS49" s="1089">
        <v>0.1</v>
      </c>
      <c r="AT49" s="1093">
        <f t="shared" ref="AT49:AT50" si="91">+AP49*AS49</f>
        <v>192.55555555555554</v>
      </c>
      <c r="AU49" s="1089">
        <v>0</v>
      </c>
      <c r="AV49" s="576">
        <f t="shared" si="81"/>
        <v>0</v>
      </c>
      <c r="AW49" s="1089">
        <v>1.37E-2</v>
      </c>
      <c r="AX49" s="576">
        <f t="shared" si="82"/>
        <v>26.380111111111109</v>
      </c>
      <c r="AY49" s="1089">
        <f t="shared" si="86"/>
        <v>0.11370000000000001</v>
      </c>
      <c r="AZ49" s="576">
        <f t="shared" si="87"/>
        <v>218.93566666666666</v>
      </c>
      <c r="BA49" s="576">
        <f>TARDANZA!K43</f>
        <v>66.666666666666671</v>
      </c>
      <c r="BB49" s="576">
        <f>TARDANZA!L43</f>
        <v>7.7777777777777786</v>
      </c>
      <c r="BC49" s="832">
        <v>880</v>
      </c>
      <c r="BD49" s="827"/>
      <c r="BE49" s="576"/>
      <c r="BF49" s="576"/>
      <c r="BG49" s="576"/>
      <c r="BH49" s="576"/>
      <c r="BI49" s="549"/>
      <c r="BJ49" s="842"/>
      <c r="BK49" s="827">
        <f>+AZ49+SUM(BA49:BJ49)+AR49</f>
        <v>1173.3801111111111</v>
      </c>
      <c r="BL49" s="595">
        <f>(+AO49-BK49)</f>
        <v>826.61988888888891</v>
      </c>
      <c r="BM49" s="1088">
        <v>0.09</v>
      </c>
      <c r="BN49" s="595">
        <f t="shared" si="88"/>
        <v>173.29999999999998</v>
      </c>
      <c r="BO49" s="919">
        <v>3</v>
      </c>
      <c r="BP49" s="1080"/>
      <c r="BQ49" s="1190" t="s">
        <v>210</v>
      </c>
      <c r="BR49" s="588"/>
      <c r="BS49" s="588"/>
      <c r="BU49" s="554">
        <f t="shared" si="17"/>
        <v>413.30994444444445</v>
      </c>
      <c r="BV49" s="832">
        <v>880</v>
      </c>
      <c r="BW49" s="546" t="s">
        <v>210</v>
      </c>
    </row>
    <row r="50" spans="1:156" s="550" customFormat="1" ht="13.5" customHeight="1">
      <c r="A50" s="546" t="s">
        <v>225</v>
      </c>
      <c r="B50" s="1080">
        <f t="shared" si="27"/>
        <v>39</v>
      </c>
      <c r="C50" s="1081" t="s">
        <v>765</v>
      </c>
      <c r="D50" s="1090">
        <v>71473884</v>
      </c>
      <c r="E50" s="1132">
        <v>35473</v>
      </c>
      <c r="F50" s="1134">
        <v>46195</v>
      </c>
      <c r="G50" s="1015"/>
      <c r="H50" s="1117" t="s">
        <v>249</v>
      </c>
      <c r="I50" s="549" t="s">
        <v>72</v>
      </c>
      <c r="J50" s="576">
        <v>1200</v>
      </c>
      <c r="K50" s="576">
        <v>113</v>
      </c>
      <c r="L50" s="1081">
        <v>30</v>
      </c>
      <c r="M50" s="1081"/>
      <c r="N50" s="1081"/>
      <c r="O50" s="1081"/>
      <c r="P50" s="1081">
        <f t="shared" si="0"/>
        <v>30</v>
      </c>
      <c r="Q50" s="549">
        <v>8</v>
      </c>
      <c r="R50" s="1081">
        <f t="shared" si="77"/>
        <v>240</v>
      </c>
      <c r="S50" s="1096">
        <f t="shared" si="5"/>
        <v>1200</v>
      </c>
      <c r="T50" s="919">
        <f t="shared" si="6"/>
        <v>113</v>
      </c>
      <c r="U50" s="827">
        <f t="shared" si="7"/>
        <v>0</v>
      </c>
      <c r="V50" s="576"/>
      <c r="W50" s="1096"/>
      <c r="X50" s="576">
        <f>H.E!L44</f>
        <v>0</v>
      </c>
      <c r="Y50" s="576">
        <f>H.E!M44</f>
        <v>0</v>
      </c>
      <c r="Z50" s="576">
        <f>H.E!N44</f>
        <v>0</v>
      </c>
      <c r="AA50" s="1096"/>
      <c r="AB50" s="576"/>
      <c r="AC50" s="1096"/>
      <c r="AD50" s="827">
        <f t="shared" si="8"/>
        <v>0</v>
      </c>
      <c r="AE50" s="1355"/>
      <c r="AF50" s="1096"/>
      <c r="AG50" s="1096"/>
      <c r="AH50" s="576"/>
      <c r="AI50" s="1096"/>
      <c r="AJ50" s="1096"/>
      <c r="AK50" s="554"/>
      <c r="AL50" s="576"/>
      <c r="AM50" s="1081"/>
      <c r="AN50" s="1093"/>
      <c r="AO50" s="576">
        <f t="shared" si="1"/>
        <v>1313</v>
      </c>
      <c r="AP50" s="1072">
        <f t="shared" si="9"/>
        <v>1310.538125</v>
      </c>
      <c r="AQ50" s="1097"/>
      <c r="AR50" s="576"/>
      <c r="AS50" s="1089">
        <v>0.1</v>
      </c>
      <c r="AT50" s="1093">
        <f t="shared" si="91"/>
        <v>131.05381250000002</v>
      </c>
      <c r="AU50" s="1089">
        <v>0</v>
      </c>
      <c r="AV50" s="576">
        <f t="shared" si="81"/>
        <v>0</v>
      </c>
      <c r="AW50" s="1089">
        <v>1.37E-2</v>
      </c>
      <c r="AX50" s="576">
        <f t="shared" si="82"/>
        <v>17.954372312500002</v>
      </c>
      <c r="AY50" s="1089">
        <f t="shared" si="86"/>
        <v>0.11370000000000001</v>
      </c>
      <c r="AZ50" s="576">
        <f t="shared" si="87"/>
        <v>149.00818481250002</v>
      </c>
      <c r="BA50" s="576">
        <f>TARDANZA!K44</f>
        <v>0</v>
      </c>
      <c r="BB50" s="576">
        <f>TARDANZA!L44</f>
        <v>2.461875</v>
      </c>
      <c r="BC50" s="832">
        <v>580</v>
      </c>
      <c r="BD50" s="827"/>
      <c r="BE50" s="576"/>
      <c r="BF50" s="576"/>
      <c r="BG50" s="576"/>
      <c r="BH50" s="576"/>
      <c r="BI50" s="549"/>
      <c r="BJ50" s="842"/>
      <c r="BK50" s="827">
        <f t="shared" si="89"/>
        <v>731.47005981250004</v>
      </c>
      <c r="BL50" s="595">
        <f t="shared" si="90"/>
        <v>581.52994018749996</v>
      </c>
      <c r="BM50" s="1088">
        <v>0.09</v>
      </c>
      <c r="BN50" s="595">
        <f t="shared" si="88"/>
        <v>117.94843125</v>
      </c>
      <c r="BO50" s="919">
        <v>1.8</v>
      </c>
      <c r="BP50" s="1080"/>
      <c r="BQ50" s="1190" t="s">
        <v>203</v>
      </c>
      <c r="BR50" s="588"/>
      <c r="BS50" s="588"/>
      <c r="BU50" s="554">
        <f t="shared" si="17"/>
        <v>290.76497009374998</v>
      </c>
      <c r="BV50" s="832">
        <v>580</v>
      </c>
      <c r="BW50" s="546" t="s">
        <v>203</v>
      </c>
    </row>
    <row r="51" spans="1:156" s="550" customFormat="1">
      <c r="A51" s="546" t="s">
        <v>200</v>
      </c>
      <c r="B51" s="1080">
        <f t="shared" si="27"/>
        <v>40</v>
      </c>
      <c r="C51" s="1081" t="s">
        <v>792</v>
      </c>
      <c r="D51" s="1090">
        <v>41782489</v>
      </c>
      <c r="E51" s="1132">
        <v>30375</v>
      </c>
      <c r="F51" s="1134">
        <v>46204</v>
      </c>
      <c r="G51" s="1015"/>
      <c r="H51" s="1117" t="s">
        <v>275</v>
      </c>
      <c r="I51" s="549" t="s">
        <v>71</v>
      </c>
      <c r="J51" s="576">
        <v>2000</v>
      </c>
      <c r="K51" s="576"/>
      <c r="L51" s="1081">
        <v>30</v>
      </c>
      <c r="M51" s="1081"/>
      <c r="N51" s="1081"/>
      <c r="O51" s="1081"/>
      <c r="P51" s="1081">
        <f t="shared" ref="P51" si="92">+L51-M51-O51</f>
        <v>30</v>
      </c>
      <c r="Q51" s="549">
        <v>8</v>
      </c>
      <c r="R51" s="1081">
        <f t="shared" ref="R51" si="93">+P51*Q51</f>
        <v>240</v>
      </c>
      <c r="S51" s="1096">
        <f>+J51-AD51-U51</f>
        <v>2000</v>
      </c>
      <c r="T51" s="919"/>
      <c r="U51" s="827">
        <f t="shared" si="7"/>
        <v>0</v>
      </c>
      <c r="V51" s="576">
        <f>COMISIONES!K11</f>
        <v>323.01</v>
      </c>
      <c r="W51" s="1096"/>
      <c r="X51" s="576">
        <f>H.E!L45</f>
        <v>0</v>
      </c>
      <c r="Y51" s="576">
        <f>H.E!M45</f>
        <v>0</v>
      </c>
      <c r="Z51" s="576">
        <f>H.E!N45</f>
        <v>0</v>
      </c>
      <c r="AA51" s="1096"/>
      <c r="AB51" s="576"/>
      <c r="AC51" s="1096"/>
      <c r="AD51" s="827">
        <f t="shared" si="8"/>
        <v>0</v>
      </c>
      <c r="AE51" s="1355"/>
      <c r="AF51" s="1096"/>
      <c r="AG51" s="1096"/>
      <c r="AH51" s="576"/>
      <c r="AI51" s="1096"/>
      <c r="AJ51" s="1096"/>
      <c r="AK51" s="554"/>
      <c r="AL51" s="576"/>
      <c r="AM51" s="1081"/>
      <c r="AN51" s="1093"/>
      <c r="AO51" s="576">
        <f t="shared" si="1"/>
        <v>2323.0100000000002</v>
      </c>
      <c r="AP51" s="1072">
        <f t="shared" si="9"/>
        <v>2321.3433333333337</v>
      </c>
      <c r="AQ51" s="1097"/>
      <c r="AR51" s="576"/>
      <c r="AS51" s="1089">
        <v>0.1</v>
      </c>
      <c r="AT51" s="1093">
        <f t="shared" ref="AT51" si="94">+AP51*AS51</f>
        <v>232.13433333333339</v>
      </c>
      <c r="AU51" s="1089">
        <v>1.55E-2</v>
      </c>
      <c r="AV51" s="576">
        <f>+AP51*AU51</f>
        <v>35.980821666666671</v>
      </c>
      <c r="AW51" s="1089">
        <v>1.37E-2</v>
      </c>
      <c r="AX51" s="576">
        <f t="shared" ref="AX51" si="95">+AP51*AW51</f>
        <v>31.802403666666674</v>
      </c>
      <c r="AY51" s="1089">
        <f t="shared" ref="AY51" si="96">+AS51+AU51+AW51</f>
        <v>0.12920000000000001</v>
      </c>
      <c r="AZ51" s="576">
        <f t="shared" ref="AZ51" si="97">+AT51+AV51+AX51</f>
        <v>299.91755866666676</v>
      </c>
      <c r="BA51" s="576">
        <f>TARDANZA!K45</f>
        <v>0</v>
      </c>
      <c r="BB51" s="576">
        <f>TARDANZA!L45</f>
        <v>1.6666666666666667</v>
      </c>
      <c r="BC51" s="832">
        <v>870</v>
      </c>
      <c r="BD51" s="827"/>
      <c r="BE51" s="576"/>
      <c r="BF51" s="576"/>
      <c r="BG51" s="576"/>
      <c r="BH51" s="576"/>
      <c r="BI51" s="1350"/>
      <c r="BJ51" s="842"/>
      <c r="BK51" s="827">
        <f>+AZ51+SUM(BA51:BJ51)+AR51</f>
        <v>1171.5842253333335</v>
      </c>
      <c r="BL51" s="595">
        <f>(+AO51-BK51)</f>
        <v>1151.4257746666667</v>
      </c>
      <c r="BM51" s="1088">
        <v>0.09</v>
      </c>
      <c r="BN51" s="595">
        <f t="shared" si="88"/>
        <v>208.92090000000002</v>
      </c>
      <c r="BO51" s="919">
        <v>7.8</v>
      </c>
      <c r="BP51" s="1080"/>
      <c r="BQ51" s="1190" t="s">
        <v>203</v>
      </c>
      <c r="BR51" s="588"/>
      <c r="BS51" s="1309"/>
      <c r="BU51" s="554">
        <f t="shared" si="17"/>
        <v>575.71288733333336</v>
      </c>
      <c r="BV51" s="832">
        <v>870</v>
      </c>
      <c r="BW51" s="546" t="s">
        <v>203</v>
      </c>
    </row>
    <row r="52" spans="1:156" s="550" customFormat="1" ht="13.5" customHeight="1">
      <c r="A52" s="546" t="s">
        <v>233</v>
      </c>
      <c r="B52" s="1080">
        <f t="shared" si="27"/>
        <v>41</v>
      </c>
      <c r="C52" s="1081" t="s">
        <v>919</v>
      </c>
      <c r="D52" s="1336">
        <v>71325082</v>
      </c>
      <c r="E52" s="1337">
        <v>34608</v>
      </c>
      <c r="F52" s="1134">
        <v>46245</v>
      </c>
      <c r="G52" s="1015"/>
      <c r="H52" s="1117" t="s">
        <v>236</v>
      </c>
      <c r="I52" s="549" t="s">
        <v>72</v>
      </c>
      <c r="J52" s="576">
        <v>2500</v>
      </c>
      <c r="K52" s="576">
        <v>113</v>
      </c>
      <c r="L52" s="1081">
        <f>31-11+1</f>
        <v>21</v>
      </c>
      <c r="M52" s="1081"/>
      <c r="N52" s="1081"/>
      <c r="O52" s="1081"/>
      <c r="P52" s="1081">
        <f>+L52-M52-O52</f>
        <v>21</v>
      </c>
      <c r="Q52" s="549">
        <v>8</v>
      </c>
      <c r="R52" s="1081">
        <f t="shared" ref="R52:R55" si="98">+P52*Q52</f>
        <v>168</v>
      </c>
      <c r="S52" s="1096">
        <f>+J52/30*L52</f>
        <v>1750</v>
      </c>
      <c r="T52" s="827">
        <v>113</v>
      </c>
      <c r="U52" s="827">
        <f t="shared" si="7"/>
        <v>0</v>
      </c>
      <c r="V52" s="576"/>
      <c r="W52" s="1096"/>
      <c r="X52" s="576">
        <f>H.E!L46</f>
        <v>0</v>
      </c>
      <c r="Y52" s="576">
        <f>H.E!M46</f>
        <v>0</v>
      </c>
      <c r="Z52" s="576">
        <f>H.E!N46</f>
        <v>0</v>
      </c>
      <c r="AA52" s="1096"/>
      <c r="AB52" s="1096"/>
      <c r="AC52" s="1096"/>
      <c r="AD52" s="827">
        <f t="shared" si="8"/>
        <v>0</v>
      </c>
      <c r="AE52" s="1096"/>
      <c r="AF52" s="1096"/>
      <c r="AG52" s="1096"/>
      <c r="AH52" s="576"/>
      <c r="AI52" s="1096"/>
      <c r="AJ52" s="1096"/>
      <c r="AK52" s="576"/>
      <c r="AL52" s="1081"/>
      <c r="AM52" s="1338"/>
      <c r="AN52" s="576"/>
      <c r="AO52" s="576">
        <f t="shared" si="1"/>
        <v>1863</v>
      </c>
      <c r="AP52" s="1072">
        <f t="shared" si="9"/>
        <v>1857.5562500000001</v>
      </c>
      <c r="AQ52" s="576"/>
      <c r="AR52" s="1089"/>
      <c r="AS52" s="1089">
        <v>0.1</v>
      </c>
      <c r="AT52" s="1338">
        <f t="shared" ref="AT52:AT53" si="99">+AP52*AS52</f>
        <v>185.75562500000001</v>
      </c>
      <c r="AU52" s="1089">
        <v>0</v>
      </c>
      <c r="AV52" s="576">
        <f t="shared" ref="AV52:AV53" si="100">+AP52*AU52</f>
        <v>0</v>
      </c>
      <c r="AW52" s="1089">
        <v>1.37E-2</v>
      </c>
      <c r="AX52" s="576">
        <f t="shared" ref="AX52:AX53" si="101">+AP52*AW52</f>
        <v>25.448520625</v>
      </c>
      <c r="AY52" s="1089">
        <f t="shared" ref="AY52:AY53" si="102">+AS52+AU52+AW52</f>
        <v>0.11370000000000001</v>
      </c>
      <c r="AZ52" s="576">
        <f t="shared" ref="AZ52:AZ53" si="103">+AT52+AV52+AX52</f>
        <v>211.20414562500002</v>
      </c>
      <c r="BA52" s="576">
        <f>TARDANZA!K46</f>
        <v>0</v>
      </c>
      <c r="BB52" s="576">
        <f>TARDANZA!L46</f>
        <v>5.4437499999999996</v>
      </c>
      <c r="BC52" s="827"/>
      <c r="BD52" s="576"/>
      <c r="BE52" s="576"/>
      <c r="BF52" s="576"/>
      <c r="BG52" s="576"/>
      <c r="BH52" s="549"/>
      <c r="BI52" s="1339"/>
      <c r="BJ52" s="827"/>
      <c r="BK52" s="827">
        <f t="shared" ref="BK52:BK55" si="104">+AZ52+SUM(BA52:BJ52)+AR52</f>
        <v>216.64789562500002</v>
      </c>
      <c r="BL52" s="595">
        <f t="shared" ref="BL52:BL55" si="105">(+AO52-BK52)</f>
        <v>1646.352104375</v>
      </c>
      <c r="BM52" s="1088">
        <v>0.09</v>
      </c>
      <c r="BN52" s="595">
        <f t="shared" si="88"/>
        <v>167.18006249999999</v>
      </c>
      <c r="BO52" s="1351">
        <v>3.75</v>
      </c>
      <c r="BP52" s="1190"/>
      <c r="BQ52" s="1190" t="s">
        <v>203</v>
      </c>
      <c r="BR52" s="1342"/>
      <c r="BS52" s="588"/>
      <c r="BT52" s="1309"/>
      <c r="BV52" s="554"/>
      <c r="BW52" s="1160"/>
      <c r="BX52" s="546"/>
    </row>
    <row r="53" spans="1:156" s="550" customFormat="1" ht="13.5" customHeight="1">
      <c r="A53" s="546" t="s">
        <v>225</v>
      </c>
      <c r="B53" s="1080">
        <f t="shared" si="27"/>
        <v>42</v>
      </c>
      <c r="C53" s="1081" t="s">
        <v>920</v>
      </c>
      <c r="D53" s="1336">
        <v>74862129</v>
      </c>
      <c r="E53" s="1337">
        <v>36264</v>
      </c>
      <c r="F53" s="1134">
        <v>46245</v>
      </c>
      <c r="G53" s="1015"/>
      <c r="H53" s="1117" t="s">
        <v>263</v>
      </c>
      <c r="I53" s="549" t="s">
        <v>71</v>
      </c>
      <c r="J53" s="576">
        <v>1600</v>
      </c>
      <c r="K53" s="576"/>
      <c r="L53" s="1081">
        <f>31-11+1</f>
        <v>21</v>
      </c>
      <c r="M53" s="1081"/>
      <c r="N53" s="1081"/>
      <c r="O53" s="1081"/>
      <c r="P53" s="1081">
        <f>+L53-M53-O53</f>
        <v>21</v>
      </c>
      <c r="Q53" s="549">
        <v>8</v>
      </c>
      <c r="R53" s="1081">
        <f t="shared" si="98"/>
        <v>168</v>
      </c>
      <c r="S53" s="1096">
        <f>+J53/30*L53</f>
        <v>1120</v>
      </c>
      <c r="T53" s="827"/>
      <c r="U53" s="827">
        <f t="shared" si="7"/>
        <v>0</v>
      </c>
      <c r="V53" s="576"/>
      <c r="W53" s="1096"/>
      <c r="X53" s="576">
        <f>H.E!L47</f>
        <v>0</v>
      </c>
      <c r="Y53" s="576">
        <f>H.E!M47</f>
        <v>0</v>
      </c>
      <c r="Z53" s="576">
        <f>H.E!N47</f>
        <v>0</v>
      </c>
      <c r="AA53" s="1096"/>
      <c r="AB53" s="1096"/>
      <c r="AC53" s="1096"/>
      <c r="AD53" s="827">
        <f t="shared" si="8"/>
        <v>0</v>
      </c>
      <c r="AE53" s="1096"/>
      <c r="AF53" s="1096"/>
      <c r="AG53" s="1096"/>
      <c r="AH53" s="576"/>
      <c r="AI53" s="1096"/>
      <c r="AJ53" s="1096"/>
      <c r="AK53" s="1096"/>
      <c r="AL53" s="1081"/>
      <c r="AM53" s="1338"/>
      <c r="AN53" s="576"/>
      <c r="AO53" s="576">
        <f t="shared" si="1"/>
        <v>1120</v>
      </c>
      <c r="AP53" s="1072">
        <f t="shared" si="9"/>
        <v>1065.8888888888889</v>
      </c>
      <c r="AQ53" s="576"/>
      <c r="AR53" s="1089"/>
      <c r="AS53" s="1089">
        <v>0.1</v>
      </c>
      <c r="AT53" s="1338">
        <f t="shared" si="99"/>
        <v>106.5888888888889</v>
      </c>
      <c r="AU53" s="1089">
        <v>0</v>
      </c>
      <c r="AV53" s="576">
        <f t="shared" si="100"/>
        <v>0</v>
      </c>
      <c r="AW53" s="1089">
        <v>1.37E-2</v>
      </c>
      <c r="AX53" s="576">
        <f t="shared" si="101"/>
        <v>14.602677777777778</v>
      </c>
      <c r="AY53" s="1089">
        <f t="shared" si="102"/>
        <v>0.11370000000000001</v>
      </c>
      <c r="AZ53" s="576">
        <f t="shared" si="103"/>
        <v>121.19156666666669</v>
      </c>
      <c r="BA53" s="576">
        <f>TARDANZA!K47</f>
        <v>53.333333333333336</v>
      </c>
      <c r="BB53" s="576">
        <f>TARDANZA!L47</f>
        <v>0.77777777777777779</v>
      </c>
      <c r="BC53" s="827"/>
      <c r="BD53" s="576"/>
      <c r="BE53" s="576"/>
      <c r="BF53" s="576"/>
      <c r="BG53" s="576"/>
      <c r="BH53" s="549"/>
      <c r="BI53" s="1339"/>
      <c r="BJ53" s="827"/>
      <c r="BK53" s="827">
        <f t="shared" si="104"/>
        <v>175.3026777777778</v>
      </c>
      <c r="BL53" s="595">
        <f t="shared" si="105"/>
        <v>944.69732222222217</v>
      </c>
      <c r="BM53" s="1088">
        <v>0.09</v>
      </c>
      <c r="BN53" s="595">
        <f>1130*9%</f>
        <v>101.7</v>
      </c>
      <c r="BO53" s="1352">
        <v>2.4</v>
      </c>
      <c r="BP53" s="1190"/>
      <c r="BQ53" s="1190" t="s">
        <v>203</v>
      </c>
      <c r="BR53" s="1342"/>
      <c r="BS53" s="588"/>
      <c r="BT53" s="1309"/>
      <c r="BV53" s="554"/>
      <c r="BW53" s="1160"/>
      <c r="BX53" s="546"/>
    </row>
    <row r="54" spans="1:156" s="550" customFormat="1" ht="13.5" customHeight="1">
      <c r="A54" s="546" t="s">
        <v>233</v>
      </c>
      <c r="B54" s="1080">
        <v>43</v>
      </c>
      <c r="C54" t="s">
        <v>928</v>
      </c>
      <c r="D54" s="1336">
        <v>72534235</v>
      </c>
      <c r="E54" s="1337">
        <v>34441</v>
      </c>
      <c r="F54" s="1134">
        <v>46251</v>
      </c>
      <c r="G54" s="1015"/>
      <c r="H54" s="1117" t="s">
        <v>236</v>
      </c>
      <c r="I54" s="549" t="s">
        <v>72</v>
      </c>
      <c r="J54" s="576">
        <v>1800</v>
      </c>
      <c r="K54" s="576"/>
      <c r="L54" s="1081">
        <f>31-17+1</f>
        <v>15</v>
      </c>
      <c r="M54" s="1081"/>
      <c r="N54" s="1081"/>
      <c r="O54" s="1081"/>
      <c r="P54" s="1081">
        <f>+L54-M54-O54</f>
        <v>15</v>
      </c>
      <c r="Q54" s="549">
        <v>8</v>
      </c>
      <c r="R54" s="1081">
        <f t="shared" si="98"/>
        <v>120</v>
      </c>
      <c r="S54" s="1096">
        <f>+J54/30*L54</f>
        <v>900</v>
      </c>
      <c r="T54" s="827"/>
      <c r="U54" s="827">
        <f t="shared" si="7"/>
        <v>0</v>
      </c>
      <c r="V54" s="576"/>
      <c r="W54" s="1096"/>
      <c r="X54" s="576">
        <f>H.E!L48</f>
        <v>0</v>
      </c>
      <c r="Y54" s="576">
        <f>H.E!M48</f>
        <v>0</v>
      </c>
      <c r="Z54" s="576">
        <f>H.E!N48</f>
        <v>0</v>
      </c>
      <c r="AA54" s="1096"/>
      <c r="AB54" s="1096"/>
      <c r="AC54" s="1096"/>
      <c r="AD54" s="827">
        <f t="shared" si="8"/>
        <v>0</v>
      </c>
      <c r="AE54" s="1096"/>
      <c r="AF54" s="1096"/>
      <c r="AG54" s="1096"/>
      <c r="AH54" s="576"/>
      <c r="AI54" s="1096"/>
      <c r="AJ54" s="1096"/>
      <c r="AK54" s="554"/>
      <c r="AL54" s="1081"/>
      <c r="AM54" s="1338"/>
      <c r="AN54" s="576"/>
      <c r="AO54" s="576">
        <f t="shared" si="1"/>
        <v>900</v>
      </c>
      <c r="AP54" s="1072">
        <f t="shared" si="9"/>
        <v>896.625</v>
      </c>
      <c r="AQ54" s="576"/>
      <c r="AR54" s="1089"/>
      <c r="AS54" s="1089">
        <v>0.1</v>
      </c>
      <c r="AT54" s="1338">
        <f>+AP54*AS54</f>
        <v>89.662500000000009</v>
      </c>
      <c r="AU54" s="1089">
        <v>0</v>
      </c>
      <c r="AV54" s="576">
        <f t="shared" ref="AV54:AV55" si="106">+AP54*AU54</f>
        <v>0</v>
      </c>
      <c r="AW54" s="1089">
        <v>1.37E-2</v>
      </c>
      <c r="AX54" s="576">
        <f t="shared" ref="AX54:AX55" si="107">+AP54*AW54</f>
        <v>12.2837625</v>
      </c>
      <c r="AY54" s="1089">
        <f t="shared" ref="AY54:AY55" si="108">+AS54+AU54+AW54</f>
        <v>0.11370000000000001</v>
      </c>
      <c r="AZ54" s="576">
        <f t="shared" ref="AZ54:AZ55" si="109">+AT54+AV54+AX54</f>
        <v>101.9462625</v>
      </c>
      <c r="BA54" s="576">
        <f>TARDANZA!K48</f>
        <v>0</v>
      </c>
      <c r="BB54" s="576">
        <f>TARDANZA!L48</f>
        <v>3.375</v>
      </c>
      <c r="BC54" s="1339"/>
      <c r="BD54" s="576"/>
      <c r="BE54" s="576"/>
      <c r="BF54" s="576"/>
      <c r="BG54" s="576"/>
      <c r="BH54" s="549"/>
      <c r="BI54" s="1339"/>
      <c r="BJ54" s="827"/>
      <c r="BK54" s="827">
        <f t="shared" si="104"/>
        <v>105.3212625</v>
      </c>
      <c r="BL54" s="595">
        <f t="shared" si="105"/>
        <v>794.67873750000001</v>
      </c>
      <c r="BM54" s="1088">
        <v>0.09</v>
      </c>
      <c r="BN54" s="595">
        <f>1130*9%</f>
        <v>101.7</v>
      </c>
      <c r="BO54" s="1352">
        <v>2.7</v>
      </c>
      <c r="BP54" s="1190"/>
      <c r="BQ54" s="1190" t="s">
        <v>210</v>
      </c>
      <c r="BR54" s="1413" t="s">
        <v>956</v>
      </c>
      <c r="BS54" s="588"/>
      <c r="BT54" s="1309"/>
      <c r="BV54" s="554"/>
      <c r="BW54" s="1160"/>
      <c r="BX54" s="546"/>
    </row>
    <row r="55" spans="1:156" s="550" customFormat="1" ht="13.5" customHeight="1">
      <c r="A55" s="546" t="s">
        <v>225</v>
      </c>
      <c r="B55" s="1080">
        <v>44</v>
      </c>
      <c r="C55" t="s">
        <v>929</v>
      </c>
      <c r="D55" s="1336">
        <v>10882203</v>
      </c>
      <c r="E55" s="1337">
        <v>28684</v>
      </c>
      <c r="F55" s="1134">
        <v>46252</v>
      </c>
      <c r="G55" s="1015"/>
      <c r="H55" s="1117" t="s">
        <v>930</v>
      </c>
      <c r="I55" s="549" t="s">
        <v>71</v>
      </c>
      <c r="J55" s="576">
        <v>3500</v>
      </c>
      <c r="K55" s="576">
        <v>113</v>
      </c>
      <c r="L55" s="1081">
        <f>31-18+1</f>
        <v>14</v>
      </c>
      <c r="M55" s="1081"/>
      <c r="N55" s="1081"/>
      <c r="O55" s="1081"/>
      <c r="P55" s="1081">
        <f>+L55-M55-O55</f>
        <v>14</v>
      </c>
      <c r="Q55" s="549">
        <v>8</v>
      </c>
      <c r="R55" s="1081">
        <f t="shared" si="98"/>
        <v>112</v>
      </c>
      <c r="S55" s="1096">
        <f>+J55/30*L55</f>
        <v>1633.3333333333335</v>
      </c>
      <c r="T55" s="827">
        <v>113</v>
      </c>
      <c r="U55" s="827">
        <f t="shared" si="7"/>
        <v>0</v>
      </c>
      <c r="V55" s="576"/>
      <c r="W55" s="1096"/>
      <c r="X55" s="576">
        <f>H.E!L49</f>
        <v>0</v>
      </c>
      <c r="Y55" s="576">
        <f>H.E!M49</f>
        <v>0</v>
      </c>
      <c r="Z55" s="576">
        <f>H.E!N49</f>
        <v>0</v>
      </c>
      <c r="AA55" s="1096"/>
      <c r="AB55" s="1096"/>
      <c r="AC55" s="1096"/>
      <c r="AD55" s="827">
        <f t="shared" si="8"/>
        <v>0</v>
      </c>
      <c r="AE55" s="1096"/>
      <c r="AF55" s="1096"/>
      <c r="AG55" s="1096"/>
      <c r="AH55" s="576"/>
      <c r="AI55" s="1096"/>
      <c r="AJ55" s="1096"/>
      <c r="AK55" s="554"/>
      <c r="AL55" s="1081"/>
      <c r="AM55" s="1338"/>
      <c r="AN55" s="576"/>
      <c r="AO55" s="576">
        <f t="shared" si="1"/>
        <v>1746.3333333333335</v>
      </c>
      <c r="AP55" s="1072">
        <f t="shared" si="9"/>
        <v>1746.3333333333335</v>
      </c>
      <c r="AQ55" s="576"/>
      <c r="AR55" s="1089"/>
      <c r="AS55" s="1089">
        <v>0.1</v>
      </c>
      <c r="AT55" s="1338">
        <f t="shared" ref="AT55" si="110">+AP55*AS55</f>
        <v>174.63333333333335</v>
      </c>
      <c r="AU55" s="1089">
        <v>0</v>
      </c>
      <c r="AV55" s="576">
        <f t="shared" si="106"/>
        <v>0</v>
      </c>
      <c r="AW55" s="1089">
        <v>1.37E-2</v>
      </c>
      <c r="AX55" s="576">
        <f t="shared" si="107"/>
        <v>23.92476666666667</v>
      </c>
      <c r="AY55" s="1089">
        <f t="shared" si="108"/>
        <v>0.11370000000000001</v>
      </c>
      <c r="AZ55" s="576">
        <f t="shared" si="109"/>
        <v>198.55810000000002</v>
      </c>
      <c r="BA55" s="576">
        <f>TARDANZA!K49</f>
        <v>0</v>
      </c>
      <c r="BB55" s="576">
        <f>TARDANZA!L49</f>
        <v>0</v>
      </c>
      <c r="BC55" s="1339"/>
      <c r="BD55" s="576"/>
      <c r="BE55" s="576"/>
      <c r="BF55" s="576"/>
      <c r="BG55" s="576"/>
      <c r="BH55" s="549"/>
      <c r="BI55" s="1339"/>
      <c r="BJ55" s="827"/>
      <c r="BK55" s="827">
        <f t="shared" si="104"/>
        <v>198.55810000000002</v>
      </c>
      <c r="BL55" s="595">
        <f t="shared" si="105"/>
        <v>1547.7752333333335</v>
      </c>
      <c r="BM55" s="1088">
        <v>0.09</v>
      </c>
      <c r="BN55" s="595">
        <f t="shared" si="88"/>
        <v>157.17000000000002</v>
      </c>
      <c r="BO55" s="1351">
        <v>13.65</v>
      </c>
      <c r="BP55" s="1190"/>
      <c r="BQ55" s="1190" t="s">
        <v>210</v>
      </c>
      <c r="BR55" s="1412" t="s">
        <v>957</v>
      </c>
      <c r="BS55" s="588"/>
      <c r="BT55" s="1309"/>
      <c r="BV55" s="554"/>
      <c r="BW55" s="1160"/>
      <c r="BX55" s="546"/>
    </row>
    <row r="56" spans="1:156" s="549" customFormat="1" ht="12.75" thickBot="1">
      <c r="A56" s="546"/>
      <c r="B56" s="1131"/>
      <c r="C56" s="582"/>
      <c r="D56" s="1119"/>
      <c r="E56" s="1120"/>
      <c r="F56" s="1121"/>
      <c r="G56" s="1122"/>
      <c r="H56" s="1123"/>
      <c r="I56" s="582"/>
      <c r="J56" s="1124"/>
      <c r="K56" s="1124"/>
      <c r="L56" s="1125"/>
      <c r="M56" s="1125"/>
      <c r="N56" s="1125"/>
      <c r="O56" s="1125"/>
      <c r="P56" s="1126"/>
      <c r="Q56" s="1127"/>
      <c r="R56" s="1125"/>
      <c r="S56" s="1096"/>
      <c r="T56" s="1118"/>
      <c r="U56" s="827">
        <f t="shared" si="7"/>
        <v>0</v>
      </c>
      <c r="V56" s="576"/>
      <c r="W56" s="576"/>
      <c r="X56" s="1096"/>
      <c r="Y56" s="576"/>
      <c r="Z56" s="576"/>
      <c r="AA56" s="576"/>
      <c r="AB56" s="576"/>
      <c r="AC56" s="576"/>
      <c r="AD56" s="827"/>
      <c r="AE56" s="827"/>
      <c r="AF56" s="576"/>
      <c r="AG56" s="576"/>
      <c r="AH56" s="576"/>
      <c r="AI56" s="576"/>
      <c r="AJ56" s="576"/>
      <c r="AK56" s="554"/>
      <c r="AL56" s="576"/>
      <c r="AM56" s="576"/>
      <c r="AN56" s="576"/>
      <c r="AO56" s="576"/>
      <c r="AP56" s="1072"/>
      <c r="AQ56" s="1088"/>
      <c r="AR56" s="576"/>
      <c r="AS56" s="1089"/>
      <c r="AT56" s="1093"/>
      <c r="AU56" s="1089"/>
      <c r="AV56" s="595"/>
      <c r="AW56" s="1089"/>
      <c r="AX56" s="576"/>
      <c r="AY56" s="1089"/>
      <c r="AZ56" s="576"/>
      <c r="BA56" s="576"/>
      <c r="BB56" s="576"/>
      <c r="BC56" s="1093"/>
      <c r="BD56" s="576"/>
      <c r="BE56" s="576"/>
      <c r="BF56" s="576"/>
      <c r="BG56" s="576"/>
      <c r="BH56" s="576"/>
      <c r="BI56" s="576"/>
      <c r="BJ56" s="827"/>
      <c r="BK56" s="827">
        <f t="shared" ref="BK56" si="111">+AZ56+SUM(BA56:BJ56)+AR56</f>
        <v>0</v>
      </c>
      <c r="BL56" s="595"/>
      <c r="BM56" s="1088"/>
      <c r="BN56" s="576"/>
      <c r="BO56" s="919"/>
      <c r="BP56" s="1118"/>
      <c r="BQ56" s="1190"/>
      <c r="BR56" s="1055"/>
      <c r="BS56" s="1055"/>
      <c r="BT56" s="543"/>
      <c r="BU56" s="554"/>
      <c r="BV56" s="832">
        <v>0</v>
      </c>
      <c r="BW56" s="546"/>
      <c r="BX56" s="543"/>
      <c r="BY56" s="543"/>
      <c r="BZ56" s="543"/>
      <c r="CA56" s="543"/>
      <c r="CB56" s="543"/>
      <c r="CC56" s="543"/>
      <c r="CD56" s="543"/>
      <c r="CE56" s="543"/>
      <c r="CF56" s="543"/>
      <c r="CG56" s="543"/>
      <c r="CH56" s="543"/>
      <c r="CI56" s="543"/>
      <c r="CJ56" s="543"/>
      <c r="CK56" s="543"/>
      <c r="CL56" s="543"/>
      <c r="CM56" s="543"/>
      <c r="CN56" s="543"/>
      <c r="CO56" s="543"/>
      <c r="CP56" s="543"/>
      <c r="CQ56" s="543"/>
      <c r="CR56" s="543"/>
      <c r="CS56" s="543"/>
      <c r="CT56" s="543"/>
      <c r="CU56" s="543"/>
      <c r="CV56" s="543"/>
      <c r="CW56" s="543"/>
      <c r="CX56" s="543"/>
      <c r="CY56" s="543"/>
      <c r="CZ56" s="543"/>
      <c r="DA56" s="543"/>
      <c r="DB56" s="543"/>
      <c r="DC56" s="543"/>
      <c r="DD56" s="543"/>
      <c r="DE56" s="543"/>
      <c r="DF56" s="543"/>
      <c r="DG56" s="543"/>
      <c r="DH56" s="543"/>
      <c r="DI56" s="543"/>
      <c r="DJ56" s="543"/>
      <c r="DK56" s="543"/>
      <c r="DL56" s="543"/>
      <c r="DM56" s="543"/>
      <c r="DN56" s="543"/>
      <c r="DO56" s="543"/>
      <c r="DP56" s="543"/>
      <c r="DQ56" s="543"/>
      <c r="DR56" s="543"/>
      <c r="DS56" s="543"/>
      <c r="DT56" s="543"/>
      <c r="DU56" s="543"/>
      <c r="DV56" s="543"/>
      <c r="DW56" s="543"/>
      <c r="DX56" s="543"/>
      <c r="DY56" s="543"/>
      <c r="DZ56" s="543"/>
      <c r="EA56" s="543"/>
      <c r="EB56" s="543"/>
      <c r="EC56" s="543"/>
      <c r="ED56" s="543"/>
      <c r="EE56" s="543"/>
      <c r="EF56" s="543"/>
      <c r="EG56" s="543"/>
      <c r="EH56" s="543"/>
      <c r="EI56" s="543"/>
      <c r="EJ56" s="543"/>
      <c r="EK56" s="543"/>
      <c r="EL56" s="543"/>
      <c r="EM56" s="543"/>
      <c r="EN56" s="543"/>
      <c r="EO56" s="543"/>
      <c r="EP56" s="543"/>
      <c r="EQ56" s="543"/>
      <c r="ER56" s="543"/>
      <c r="ES56" s="543"/>
      <c r="ET56" s="543"/>
      <c r="EU56" s="543"/>
      <c r="EV56" s="543"/>
      <c r="EW56" s="543"/>
      <c r="EX56" s="543"/>
      <c r="EY56" s="543"/>
      <c r="EZ56" s="543"/>
    </row>
    <row r="57" spans="1:156" s="549" customFormat="1" ht="12.75" thickBot="1">
      <c r="A57" s="546"/>
      <c r="B57" s="550"/>
      <c r="C57" s="550"/>
      <c r="D57" s="550"/>
      <c r="E57" s="550"/>
      <c r="F57" s="550"/>
      <c r="G57" s="550"/>
      <c r="H57" s="550"/>
      <c r="I57" s="550"/>
      <c r="J57" s="1070">
        <f>SUM(J12:J56)</f>
        <v>128250</v>
      </c>
      <c r="K57" s="1070">
        <f>SUM(K12:K56)</f>
        <v>1808</v>
      </c>
      <c r="L57" s="550"/>
      <c r="M57" s="550"/>
      <c r="N57" s="550"/>
      <c r="O57" s="550"/>
      <c r="P57" s="550"/>
      <c r="Q57" s="550"/>
      <c r="R57" s="550"/>
      <c r="S57" s="1310">
        <f t="shared" ref="S57:AB57" si="112">SUM(S12:S56)</f>
        <v>116957</v>
      </c>
      <c r="T57" s="742">
        <f t="shared" si="112"/>
        <v>1808</v>
      </c>
      <c r="U57" s="585">
        <f t="shared" si="112"/>
        <v>0</v>
      </c>
      <c r="V57" s="585">
        <f t="shared" si="112"/>
        <v>29598.975177118642</v>
      </c>
      <c r="W57" s="585">
        <f t="shared" si="112"/>
        <v>3821.1264769397358</v>
      </c>
      <c r="X57" s="585">
        <f t="shared" si="112"/>
        <v>4444.5589930555561</v>
      </c>
      <c r="Y57" s="585">
        <f t="shared" si="112"/>
        <v>1513.2650625000001</v>
      </c>
      <c r="Z57" s="585">
        <f t="shared" si="112"/>
        <v>166.66666666666666</v>
      </c>
      <c r="AA57" s="585">
        <f t="shared" si="112"/>
        <v>526.31578947368428</v>
      </c>
      <c r="AB57" s="585">
        <f t="shared" si="112"/>
        <v>0</v>
      </c>
      <c r="AC57" s="585"/>
      <c r="AD57" s="585">
        <f t="shared" ref="AD57:AJ57" si="113">SUM(AD12:AD56)</f>
        <v>7296.333333333333</v>
      </c>
      <c r="AE57" s="585">
        <f t="shared" si="113"/>
        <v>2370.28485</v>
      </c>
      <c r="AF57" s="585">
        <f t="shared" si="113"/>
        <v>0</v>
      </c>
      <c r="AG57" s="585">
        <f t="shared" si="113"/>
        <v>0</v>
      </c>
      <c r="AH57" s="585">
        <f t="shared" si="113"/>
        <v>0</v>
      </c>
      <c r="AI57" s="585">
        <f t="shared" si="113"/>
        <v>0</v>
      </c>
      <c r="AJ57" s="585">
        <f t="shared" si="113"/>
        <v>1440</v>
      </c>
      <c r="AK57" s="1299">
        <f t="shared" ref="AK57:AO57" si="114">SUM(AK12:AK56)</f>
        <v>0</v>
      </c>
      <c r="AL57" s="585">
        <f t="shared" si="114"/>
        <v>0</v>
      </c>
      <c r="AM57" s="585">
        <f t="shared" si="114"/>
        <v>0</v>
      </c>
      <c r="AN57" s="585">
        <f t="shared" si="114"/>
        <v>0</v>
      </c>
      <c r="AO57" s="585">
        <f t="shared" si="114"/>
        <v>169942.52634908768</v>
      </c>
      <c r="AP57" s="585">
        <f>SUM(AP12:AP56)</f>
        <v>168631.71576794729</v>
      </c>
      <c r="AQ57" s="585"/>
      <c r="AR57" s="585">
        <f>SUM(AR12:AR56)</f>
        <v>3465.8986471557446</v>
      </c>
      <c r="AS57" s="585"/>
      <c r="AT57" s="585">
        <f>SUM(AT12:AT56)</f>
        <v>14197.09569436723</v>
      </c>
      <c r="AU57" s="585"/>
      <c r="AV57" s="585">
        <f>SUM(AV12:AV56)</f>
        <v>517.00809024444447</v>
      </c>
      <c r="AW57" s="585"/>
      <c r="AX57" s="585">
        <f>SUM(AX12:AX56)</f>
        <v>1839.7782315253446</v>
      </c>
      <c r="AY57" s="585"/>
      <c r="AZ57" s="585">
        <f t="shared" ref="AZ57:BL57" si="115">SUM(AZ12:AZ56)</f>
        <v>16553.88201613702</v>
      </c>
      <c r="BA57" s="1135">
        <f t="shared" si="115"/>
        <v>176.66666666666669</v>
      </c>
      <c r="BB57" s="1135">
        <f t="shared" si="115"/>
        <v>607.828125</v>
      </c>
      <c r="BC57" s="585">
        <f t="shared" si="115"/>
        <v>51344.04</v>
      </c>
      <c r="BD57" s="585">
        <f t="shared" si="115"/>
        <v>0</v>
      </c>
      <c r="BE57" s="585">
        <f t="shared" si="115"/>
        <v>1200</v>
      </c>
      <c r="BF57" s="585">
        <f t="shared" si="115"/>
        <v>1331.4959322033897</v>
      </c>
      <c r="BG57" s="1135">
        <f t="shared" si="115"/>
        <v>1441.9647520560166</v>
      </c>
      <c r="BH57" s="585">
        <f t="shared" si="115"/>
        <v>0</v>
      </c>
      <c r="BI57" s="585">
        <f t="shared" si="115"/>
        <v>22.36</v>
      </c>
      <c r="BJ57" s="1135">
        <f t="shared" si="115"/>
        <v>15483.10307615423</v>
      </c>
      <c r="BK57" s="585">
        <f t="shared" si="115"/>
        <v>91627.239215373062</v>
      </c>
      <c r="BL57" s="585">
        <f t="shared" si="115"/>
        <v>78315.287133714548</v>
      </c>
      <c r="BM57" s="585"/>
      <c r="BN57" s="585">
        <f>SUM(BN12:BN56)</f>
        <v>15203.628169115253</v>
      </c>
      <c r="BO57" s="742">
        <f>SUM(BO12:BO56)</f>
        <v>344.15750000000003</v>
      </c>
      <c r="BP57" s="830"/>
      <c r="BQ57" s="586"/>
      <c r="BR57" s="1055"/>
      <c r="BS57" s="1055"/>
      <c r="BT57" s="543"/>
      <c r="BU57" s="550"/>
      <c r="BV57" s="585">
        <f>SUM(BV12:BV56)</f>
        <v>49280</v>
      </c>
      <c r="BW57" s="546"/>
      <c r="BX57" s="1116"/>
      <c r="BY57" s="1116"/>
      <c r="BZ57" s="1073"/>
      <c r="CA57" s="1116"/>
      <c r="CB57" s="1116"/>
      <c r="CC57" s="1116"/>
      <c r="CD57" s="543"/>
      <c r="CE57" s="543"/>
      <c r="CF57" s="543"/>
      <c r="CG57" s="543"/>
      <c r="CH57" s="543"/>
      <c r="CI57" s="543"/>
      <c r="CJ57" s="543"/>
      <c r="CK57" s="543"/>
      <c r="CL57" s="543"/>
      <c r="CM57" s="543"/>
      <c r="CN57" s="543"/>
      <c r="CO57" s="543"/>
      <c r="CP57" s="543"/>
      <c r="CQ57" s="543"/>
      <c r="CR57" s="543"/>
      <c r="CS57" s="543"/>
      <c r="CT57" s="543"/>
      <c r="CU57" s="543"/>
      <c r="CV57" s="543"/>
      <c r="CW57" s="543"/>
      <c r="CX57" s="543"/>
      <c r="CY57" s="543"/>
      <c r="CZ57" s="543"/>
      <c r="DA57" s="543"/>
      <c r="DB57" s="543"/>
      <c r="DC57" s="543"/>
      <c r="DD57" s="543"/>
      <c r="DE57" s="543"/>
      <c r="DF57" s="543"/>
      <c r="DG57" s="543"/>
      <c r="DH57" s="543"/>
      <c r="DI57" s="543"/>
      <c r="DJ57" s="543"/>
      <c r="DK57" s="543"/>
      <c r="DL57" s="543"/>
      <c r="DM57" s="543"/>
      <c r="DN57" s="543"/>
      <c r="DO57" s="543"/>
      <c r="DP57" s="543"/>
      <c r="DQ57" s="543"/>
      <c r="DR57" s="543"/>
      <c r="DS57" s="543"/>
      <c r="DT57" s="543"/>
      <c r="DU57" s="543"/>
      <c r="DV57" s="543"/>
      <c r="DW57" s="543"/>
      <c r="DX57" s="543"/>
      <c r="DY57" s="543"/>
      <c r="DZ57" s="543"/>
      <c r="EA57" s="543"/>
      <c r="EB57" s="543"/>
      <c r="EC57" s="543"/>
      <c r="ED57" s="543"/>
      <c r="EE57" s="543"/>
      <c r="EF57" s="543"/>
      <c r="EG57" s="543"/>
      <c r="EH57" s="543"/>
      <c r="EI57" s="543"/>
      <c r="EJ57" s="543"/>
      <c r="EK57" s="543"/>
      <c r="EL57" s="543"/>
      <c r="EM57" s="543"/>
      <c r="EN57" s="543"/>
      <c r="EO57" s="543"/>
      <c r="EP57" s="543"/>
      <c r="EQ57" s="543"/>
      <c r="ER57" s="543"/>
      <c r="ES57" s="543"/>
      <c r="ET57" s="543"/>
      <c r="EU57" s="543"/>
      <c r="EV57" s="543"/>
      <c r="EW57" s="543"/>
      <c r="EX57" s="543"/>
      <c r="EY57" s="543"/>
      <c r="EZ57" s="543"/>
    </row>
    <row r="58" spans="1:156" s="549" customFormat="1">
      <c r="A58" s="546"/>
      <c r="B58" s="550"/>
      <c r="C58" s="550"/>
      <c r="D58" s="550"/>
      <c r="E58" s="550"/>
      <c r="F58" s="550"/>
      <c r="G58" s="550"/>
      <c r="H58" s="550"/>
      <c r="I58" s="550"/>
      <c r="J58" s="550"/>
      <c r="K58" s="550"/>
      <c r="L58" s="550"/>
      <c r="M58" s="550"/>
      <c r="N58" s="550"/>
      <c r="O58" s="550"/>
      <c r="P58" s="550"/>
      <c r="Q58" s="550"/>
      <c r="R58" s="550"/>
      <c r="S58" s="551"/>
      <c r="T58" s="741"/>
      <c r="U58" s="551"/>
      <c r="V58" s="1075">
        <f>+COMISIONES!J12</f>
        <v>31418.043700000002</v>
      </c>
      <c r="W58" s="551">
        <f>VACACIONES!T13</f>
        <v>3298.1340556148775</v>
      </c>
      <c r="X58" s="551"/>
      <c r="Y58" s="551"/>
      <c r="Z58" s="551"/>
      <c r="AA58" s="551"/>
      <c r="AB58" s="551"/>
      <c r="AC58" s="551"/>
      <c r="AD58" s="551"/>
      <c r="AE58" s="551"/>
      <c r="AF58" s="551"/>
      <c r="AG58" s="551"/>
      <c r="AH58" s="551"/>
      <c r="AI58" s="551"/>
      <c r="AJ58" s="551"/>
      <c r="AK58" s="551"/>
      <c r="AL58" s="551"/>
      <c r="AM58" s="551"/>
      <c r="AN58" s="551"/>
      <c r="AO58" s="551"/>
      <c r="AP58" s="551">
        <f>+AO57-AP57</f>
        <v>1310.8105811403948</v>
      </c>
      <c r="AQ58" s="551"/>
      <c r="AR58" s="551"/>
      <c r="AS58" s="551"/>
      <c r="AT58" s="551"/>
      <c r="AU58" s="551"/>
      <c r="AV58" s="551"/>
      <c r="AW58" s="551"/>
      <c r="AX58" s="551"/>
      <c r="AY58" s="551"/>
      <c r="AZ58" s="551"/>
      <c r="BA58" s="1075">
        <v>0</v>
      </c>
      <c r="BB58" s="1075">
        <v>0</v>
      </c>
      <c r="BC58" s="551"/>
      <c r="BD58" s="553"/>
      <c r="BE58" s="553"/>
      <c r="BF58" s="553"/>
      <c r="BG58" s="1075">
        <f>'HT. EPS'!E51</f>
        <v>1441.9647520560166</v>
      </c>
      <c r="BH58" s="553"/>
      <c r="BI58" s="551"/>
      <c r="BJ58" s="1075">
        <f>-'RTA 5TA'!X118</f>
        <v>-15483.103076154228</v>
      </c>
      <c r="BK58" s="551"/>
      <c r="BL58" s="551"/>
      <c r="BM58" s="587"/>
      <c r="BN58" s="551"/>
      <c r="BO58" s="741"/>
      <c r="BP58" s="741"/>
      <c r="BQ58" s="588"/>
      <c r="BR58" s="1055"/>
      <c r="BS58" s="1345" t="s">
        <v>793</v>
      </c>
      <c r="BT58" s="543"/>
      <c r="BU58" s="550"/>
      <c r="BV58" s="550"/>
      <c r="BW58" s="546"/>
      <c r="BX58" s="543"/>
      <c r="BY58" s="543"/>
      <c r="BZ58" s="543"/>
      <c r="CA58" s="543"/>
      <c r="CB58" s="543"/>
      <c r="CC58" s="543"/>
      <c r="CD58" s="543"/>
      <c r="CE58" s="543"/>
      <c r="CF58" s="543"/>
      <c r="CG58" s="543"/>
      <c r="CH58" s="543"/>
      <c r="CI58" s="543"/>
      <c r="CJ58" s="543"/>
      <c r="CK58" s="543"/>
      <c r="CL58" s="543"/>
      <c r="CM58" s="543"/>
      <c r="CN58" s="543"/>
      <c r="CO58" s="543"/>
      <c r="CP58" s="543"/>
      <c r="CQ58" s="543"/>
      <c r="CR58" s="543"/>
      <c r="CS58" s="543"/>
      <c r="CT58" s="543"/>
      <c r="CU58" s="543"/>
      <c r="CV58" s="543"/>
      <c r="CW58" s="543"/>
      <c r="CX58" s="543"/>
      <c r="CY58" s="543"/>
      <c r="CZ58" s="543"/>
      <c r="DA58" s="543"/>
      <c r="DB58" s="543"/>
      <c r="DC58" s="543"/>
      <c r="DD58" s="543"/>
      <c r="DE58" s="543"/>
      <c r="DF58" s="543"/>
      <c r="DG58" s="543"/>
      <c r="DH58" s="543"/>
      <c r="DI58" s="543"/>
      <c r="DJ58" s="543"/>
      <c r="DK58" s="543"/>
      <c r="DL58" s="543"/>
      <c r="DM58" s="543"/>
      <c r="DN58" s="543"/>
      <c r="DO58" s="543"/>
      <c r="DP58" s="543"/>
      <c r="DQ58" s="543"/>
      <c r="DR58" s="543"/>
      <c r="DS58" s="543"/>
      <c r="DT58" s="543"/>
      <c r="DU58" s="543"/>
      <c r="DV58" s="543"/>
      <c r="DW58" s="543"/>
      <c r="DX58" s="543"/>
      <c r="DY58" s="543"/>
      <c r="DZ58" s="543"/>
      <c r="EA58" s="543"/>
      <c r="EB58" s="543"/>
      <c r="EC58" s="543"/>
      <c r="ED58" s="543"/>
      <c r="EE58" s="543"/>
      <c r="EF58" s="543"/>
      <c r="EG58" s="543"/>
      <c r="EH58" s="543"/>
      <c r="EI58" s="543"/>
      <c r="EJ58" s="543"/>
      <c r="EK58" s="543"/>
      <c r="EL58" s="543"/>
      <c r="EM58" s="543"/>
      <c r="EN58" s="543"/>
      <c r="EO58" s="543"/>
      <c r="EP58" s="543"/>
      <c r="EQ58" s="543"/>
      <c r="ER58" s="543"/>
      <c r="ES58" s="543"/>
      <c r="ET58" s="543"/>
      <c r="EU58" s="543"/>
      <c r="EV58" s="543"/>
      <c r="EW58" s="543"/>
      <c r="EX58" s="543"/>
      <c r="EY58" s="543"/>
      <c r="EZ58" s="543"/>
    </row>
    <row r="59" spans="1:156" s="549" customFormat="1" ht="12.75" thickBot="1">
      <c r="A59" s="546"/>
      <c r="B59" s="550"/>
      <c r="C59" s="550" t="s">
        <v>285</v>
      </c>
      <c r="D59" s="550"/>
      <c r="E59" s="550"/>
      <c r="F59" s="550"/>
      <c r="G59" s="550"/>
      <c r="H59" s="550"/>
      <c r="I59" s="550"/>
      <c r="J59" s="550"/>
      <c r="K59" s="550"/>
      <c r="L59" s="550"/>
      <c r="M59" s="550"/>
      <c r="N59" s="550"/>
      <c r="O59" s="550"/>
      <c r="P59" s="550"/>
      <c r="Q59" s="550"/>
      <c r="R59" s="550"/>
      <c r="S59" s="551"/>
      <c r="T59" s="741"/>
      <c r="U59" s="551"/>
      <c r="V59" s="551"/>
      <c r="W59" s="551"/>
      <c r="X59" s="551"/>
      <c r="Y59" s="551"/>
      <c r="Z59" s="551"/>
      <c r="AA59" s="551"/>
      <c r="AB59" s="551"/>
      <c r="AC59" s="551"/>
      <c r="AD59" s="551"/>
      <c r="AE59" s="551"/>
      <c r="AF59" s="551"/>
      <c r="AG59" s="551"/>
      <c r="AH59" s="551"/>
      <c r="AI59" s="551"/>
      <c r="AJ59" s="551"/>
      <c r="AK59" s="551"/>
      <c r="AL59" s="551"/>
      <c r="AM59" s="551"/>
      <c r="AN59" s="551"/>
      <c r="AO59" s="551"/>
      <c r="AP59" s="551"/>
      <c r="AQ59" s="551"/>
      <c r="AR59" s="551"/>
      <c r="AS59" s="551"/>
      <c r="AT59" s="551"/>
      <c r="AU59" s="551"/>
      <c r="AV59" s="551"/>
      <c r="AW59" s="551"/>
      <c r="AX59" s="551"/>
      <c r="AY59" s="551"/>
      <c r="AZ59" s="551"/>
      <c r="BA59" s="551"/>
      <c r="BB59" s="551"/>
      <c r="BC59" s="551"/>
      <c r="BD59" s="553"/>
      <c r="BE59" s="553"/>
      <c r="BF59" s="553"/>
      <c r="BG59" s="553"/>
      <c r="BH59" s="553"/>
      <c r="BI59" s="551"/>
      <c r="BJ59" s="551">
        <f>+BJ58+BJ57</f>
        <v>0</v>
      </c>
      <c r="BK59" s="587"/>
      <c r="BL59" s="551"/>
      <c r="BM59" s="587"/>
      <c r="BN59" s="551"/>
      <c r="BO59" s="741"/>
      <c r="BP59" s="741"/>
      <c r="BQ59" s="588"/>
      <c r="BR59" s="1346"/>
      <c r="BS59" s="546"/>
      <c r="BT59" s="1309"/>
      <c r="BU59" s="1309"/>
      <c r="BV59" s="1344"/>
      <c r="BW59" s="546"/>
      <c r="BX59" s="1353"/>
      <c r="BY59" s="543"/>
      <c r="BZ59" s="543"/>
      <c r="CA59" s="543"/>
      <c r="CB59" s="543"/>
      <c r="CC59" s="543"/>
      <c r="CD59" s="543"/>
      <c r="CE59" s="543"/>
      <c r="CF59" s="543"/>
      <c r="CG59" s="543"/>
      <c r="CH59" s="543"/>
      <c r="CI59" s="543"/>
      <c r="CJ59" s="543"/>
      <c r="CK59" s="543"/>
      <c r="CL59" s="543"/>
      <c r="CM59" s="543"/>
      <c r="CN59" s="543"/>
      <c r="CO59" s="543"/>
      <c r="CP59" s="543"/>
      <c r="CQ59" s="543"/>
      <c r="CR59" s="543"/>
      <c r="CS59" s="543"/>
      <c r="CT59" s="543"/>
      <c r="CU59" s="543"/>
      <c r="CV59" s="543"/>
      <c r="CW59" s="543"/>
      <c r="CX59" s="543"/>
      <c r="CY59" s="543"/>
      <c r="CZ59" s="543"/>
      <c r="DA59" s="543"/>
      <c r="DB59" s="543"/>
      <c r="DC59" s="543"/>
      <c r="DD59" s="543"/>
      <c r="DE59" s="543"/>
      <c r="DF59" s="543"/>
      <c r="DG59" s="543"/>
      <c r="DH59" s="543"/>
      <c r="DI59" s="543"/>
      <c r="DJ59" s="543"/>
      <c r="DK59" s="543"/>
      <c r="DL59" s="543"/>
      <c r="DM59" s="543"/>
      <c r="DN59" s="543"/>
      <c r="DO59" s="543"/>
      <c r="DP59" s="543"/>
      <c r="DQ59" s="543"/>
      <c r="DR59" s="543"/>
      <c r="DS59" s="543"/>
      <c r="DT59" s="543"/>
      <c r="DU59" s="543"/>
      <c r="DV59" s="543"/>
      <c r="DW59" s="543"/>
      <c r="DX59" s="543"/>
      <c r="DY59" s="543"/>
      <c r="DZ59" s="543"/>
      <c r="EA59" s="543"/>
      <c r="EB59" s="543"/>
      <c r="EC59" s="543"/>
      <c r="ED59" s="543"/>
      <c r="EE59" s="543"/>
      <c r="EF59" s="543"/>
      <c r="EG59" s="543"/>
      <c r="EH59" s="543"/>
      <c r="EI59" s="543"/>
      <c r="EJ59" s="543"/>
      <c r="EK59" s="543"/>
      <c r="EL59" s="543"/>
      <c r="EM59" s="543"/>
      <c r="EN59" s="543"/>
      <c r="EO59" s="543"/>
      <c r="EP59" s="543"/>
      <c r="EQ59" s="543"/>
      <c r="ER59" s="543"/>
      <c r="ES59" s="543"/>
      <c r="ET59" s="543"/>
      <c r="EU59" s="543"/>
      <c r="EV59" s="543"/>
      <c r="EW59" s="543"/>
      <c r="EX59" s="543"/>
      <c r="EY59" s="543"/>
      <c r="EZ59" s="543"/>
    </row>
    <row r="60" spans="1:156" s="549" customFormat="1">
      <c r="A60" s="546"/>
      <c r="B60" s="1238"/>
      <c r="C60" s="1239"/>
      <c r="D60" s="1240"/>
      <c r="E60" s="1241"/>
      <c r="F60" s="1241"/>
      <c r="G60" s="1241"/>
      <c r="H60" s="1242"/>
      <c r="I60" s="1243"/>
      <c r="J60" s="1244"/>
      <c r="K60" s="1244"/>
      <c r="L60" s="1243"/>
      <c r="M60" s="1243"/>
      <c r="N60" s="1243"/>
      <c r="O60" s="1243"/>
      <c r="P60" s="1243"/>
      <c r="Q60" s="1243"/>
      <c r="R60" s="1243"/>
      <c r="S60" s="1244"/>
      <c r="T60" s="1248"/>
      <c r="U60" s="1245"/>
      <c r="V60" s="1244"/>
      <c r="W60" s="1244"/>
      <c r="X60" s="1244"/>
      <c r="Y60" s="1244"/>
      <c r="Z60" s="1244"/>
      <c r="AA60" s="1244"/>
      <c r="AB60" s="1244"/>
      <c r="AC60" s="1244"/>
      <c r="AD60" s="1244"/>
      <c r="AE60" s="1244"/>
      <c r="AF60" s="1244"/>
      <c r="AG60" s="1244"/>
      <c r="AH60" s="1244"/>
      <c r="AI60" s="1244"/>
      <c r="AJ60" s="1244"/>
      <c r="AK60" s="1244"/>
      <c r="AL60" s="1243"/>
      <c r="AM60" s="1245"/>
      <c r="AN60" s="1244"/>
      <c r="AO60" s="1244"/>
      <c r="AP60" s="1245"/>
      <c r="AQ60" s="1246"/>
      <c r="AR60" s="1244"/>
      <c r="AS60" s="1247"/>
      <c r="AT60" s="1244"/>
      <c r="AU60" s="1247"/>
      <c r="AV60" s="1244"/>
      <c r="AW60" s="1247"/>
      <c r="AX60" s="1244"/>
      <c r="AY60" s="1247"/>
      <c r="AZ60" s="1244"/>
      <c r="BA60" s="1244"/>
      <c r="BB60" s="1244"/>
      <c r="BC60" s="1244"/>
      <c r="BD60" s="1245"/>
      <c r="BE60" s="1244"/>
      <c r="BF60" s="1244"/>
      <c r="BG60" s="1244"/>
      <c r="BH60" s="1244"/>
      <c r="BI60" s="1244"/>
      <c r="BJ60" s="1245"/>
      <c r="BK60" s="1245"/>
      <c r="BL60" s="1244"/>
      <c r="BM60" s="1246"/>
      <c r="BN60" s="1244"/>
      <c r="BO60" s="1248"/>
      <c r="BP60" s="1249"/>
      <c r="BQ60" s="1250"/>
      <c r="BR60" s="1347" t="s">
        <v>925</v>
      </c>
      <c r="BS60" s="546" t="s">
        <v>921</v>
      </c>
      <c r="BT60" s="554">
        <v>930</v>
      </c>
      <c r="BU60" s="554">
        <f>(2000/30*29)-BT60</f>
        <v>1003.3333333333335</v>
      </c>
      <c r="BV60" s="832"/>
      <c r="BW60" s="550" t="s">
        <v>203</v>
      </c>
      <c r="BX60" s="1353" t="s">
        <v>922</v>
      </c>
      <c r="BY60" s="543"/>
      <c r="BZ60" s="543"/>
      <c r="CA60" s="543"/>
      <c r="CB60" s="543"/>
      <c r="CC60" s="543"/>
      <c r="CD60" s="543"/>
      <c r="CE60" s="543"/>
      <c r="CF60" s="543"/>
      <c r="CG60" s="543"/>
      <c r="CH60" s="543"/>
      <c r="CI60" s="543"/>
      <c r="CJ60" s="543"/>
      <c r="CK60" s="543"/>
      <c r="CL60" s="543"/>
      <c r="CM60" s="543"/>
      <c r="CN60" s="543"/>
      <c r="CO60" s="543"/>
      <c r="CP60" s="543"/>
      <c r="CQ60" s="543"/>
      <c r="CR60" s="543"/>
      <c r="CS60" s="543"/>
      <c r="CT60" s="543"/>
      <c r="CU60" s="543"/>
      <c r="CV60" s="543"/>
      <c r="CW60" s="543"/>
      <c r="CX60" s="543"/>
      <c r="CY60" s="543"/>
      <c r="CZ60" s="543"/>
      <c r="DA60" s="543"/>
      <c r="DB60" s="543"/>
      <c r="DC60" s="543"/>
      <c r="DD60" s="543"/>
      <c r="DE60" s="543"/>
      <c r="DF60" s="543"/>
      <c r="DG60" s="543"/>
      <c r="DH60" s="543"/>
      <c r="DI60" s="543"/>
      <c r="DJ60" s="543"/>
      <c r="DK60" s="543"/>
      <c r="DL60" s="543"/>
      <c r="DM60" s="543"/>
      <c r="DN60" s="543"/>
      <c r="DO60" s="543"/>
      <c r="DP60" s="543"/>
      <c r="DQ60" s="543"/>
      <c r="DR60" s="543"/>
      <c r="DS60" s="543"/>
      <c r="DT60" s="543"/>
      <c r="DU60" s="543"/>
      <c r="DV60" s="543"/>
      <c r="DW60" s="543"/>
      <c r="DX60" s="543"/>
      <c r="DY60" s="543"/>
      <c r="DZ60" s="543"/>
      <c r="EA60" s="543"/>
      <c r="EB60" s="543"/>
      <c r="EC60" s="543"/>
      <c r="ED60" s="543"/>
      <c r="EE60" s="543"/>
      <c r="EF60" s="543"/>
      <c r="EG60" s="543"/>
      <c r="EH60" s="543"/>
      <c r="EI60" s="543"/>
      <c r="EJ60" s="543"/>
      <c r="EK60" s="543"/>
      <c r="EL60" s="543"/>
      <c r="EM60" s="543"/>
      <c r="EN60" s="543"/>
      <c r="EO60" s="543"/>
      <c r="EP60" s="543"/>
      <c r="EQ60" s="543"/>
      <c r="ER60" s="543"/>
      <c r="ES60" s="543"/>
      <c r="ET60" s="543"/>
      <c r="EU60" s="543"/>
      <c r="EV60" s="543"/>
      <c r="EW60" s="543"/>
      <c r="EX60" s="543"/>
      <c r="EY60" s="543"/>
      <c r="EZ60" s="543"/>
    </row>
    <row r="61" spans="1:156" s="550" customFormat="1" ht="14.25" customHeight="1">
      <c r="A61" s="546" t="s">
        <v>233</v>
      </c>
      <c r="B61" s="1204">
        <f t="shared" ref="B61" si="116">+B60+1</f>
        <v>1</v>
      </c>
      <c r="C61" s="1204" t="s">
        <v>241</v>
      </c>
      <c r="D61" s="1204" t="s">
        <v>242</v>
      </c>
      <c r="E61" s="1204">
        <v>31370</v>
      </c>
      <c r="F61" s="1386">
        <v>45005</v>
      </c>
      <c r="G61" s="1204"/>
      <c r="H61" s="1204" t="s">
        <v>952</v>
      </c>
      <c r="I61" s="1204" t="s">
        <v>71</v>
      </c>
      <c r="J61" s="1186">
        <v>3000</v>
      </c>
      <c r="K61" s="1187"/>
      <c r="L61" s="1204"/>
      <c r="M61" s="1204"/>
      <c r="N61" s="1204"/>
      <c r="O61" s="1204"/>
      <c r="P61" s="1204"/>
      <c r="Q61" s="1204"/>
      <c r="R61" s="1204"/>
      <c r="S61" s="1187"/>
      <c r="T61" s="1206"/>
      <c r="U61" s="1186"/>
      <c r="V61" s="1187"/>
      <c r="W61" s="1187"/>
      <c r="X61" s="1187"/>
      <c r="Y61" s="1187"/>
      <c r="Z61" s="1187"/>
      <c r="AA61" s="1187"/>
      <c r="AB61" s="1186">
        <f>[4]FIORELLA!$L$46</f>
        <v>1250</v>
      </c>
      <c r="AC61" s="1186">
        <f>[4]FIORELLA!$L$52+[4]FIORELLA!$L$55</f>
        <v>2700</v>
      </c>
      <c r="AD61" s="1186">
        <f>[4]FIORELLA!$L$48+[4]FIORELLA!$L$51</f>
        <v>3400</v>
      </c>
      <c r="AE61" s="1186"/>
      <c r="AF61" s="1187">
        <v>1166.6666666666667</v>
      </c>
      <c r="AG61" s="1187"/>
      <c r="AH61" s="1187">
        <v>1000</v>
      </c>
      <c r="AI61" s="1187">
        <v>90</v>
      </c>
      <c r="AJ61" s="1187"/>
      <c r="AK61" s="1187">
        <f>[4]FIORELLA!$L$66</f>
        <v>270.40550971770932</v>
      </c>
      <c r="AL61" s="1187"/>
      <c r="AM61" s="1207"/>
      <c r="AN61" s="1187"/>
      <c r="AO61" s="1186">
        <f>SUM(K61:AN61)</f>
        <v>9877.0721763843758</v>
      </c>
      <c r="AP61" s="1186">
        <f>AB61+AD61</f>
        <v>4650</v>
      </c>
      <c r="AQ61" s="1205"/>
      <c r="AR61" s="1187"/>
      <c r="AS61" s="1378">
        <v>0.1</v>
      </c>
      <c r="AT61" s="1379">
        <f t="shared" ref="AT61" si="117">+AP61*AS61</f>
        <v>465</v>
      </c>
      <c r="AU61" s="1378">
        <v>0</v>
      </c>
      <c r="AV61" s="1356">
        <f t="shared" ref="AV61" si="118">+AP61*AU61</f>
        <v>0</v>
      </c>
      <c r="AW61" s="1378">
        <v>1.37E-2</v>
      </c>
      <c r="AX61" s="1356">
        <f t="shared" ref="AX61" si="119">+AP61*AW61</f>
        <v>63.704999999999998</v>
      </c>
      <c r="AY61" s="1378">
        <f t="shared" ref="AY61" si="120">+AS61+AU61+AW61</f>
        <v>0.11370000000000001</v>
      </c>
      <c r="AZ61" s="1356">
        <f t="shared" ref="AZ61" si="121">+AT61+AV61+AX61</f>
        <v>528.70500000000004</v>
      </c>
      <c r="BA61" s="1187"/>
      <c r="BB61" s="1187"/>
      <c r="BC61" s="1187"/>
      <c r="BD61" s="1186"/>
      <c r="BE61" s="1187"/>
      <c r="BF61" s="1187"/>
      <c r="BG61" s="1187"/>
      <c r="BH61" s="1187"/>
      <c r="BI61" s="1204"/>
      <c r="BJ61" s="1186"/>
      <c r="BK61" s="1380">
        <f t="shared" ref="BK61" si="122">+AZ61+SUM(BA61:BJ61)+AR61</f>
        <v>528.70500000000004</v>
      </c>
      <c r="BL61" s="1356">
        <f t="shared" ref="BL61" si="123">(+AO61-BK61)</f>
        <v>9348.3671763843759</v>
      </c>
      <c r="BM61" s="1381">
        <v>0.09</v>
      </c>
      <c r="BN61" s="1356">
        <f>AP61*BM61</f>
        <v>418.5</v>
      </c>
      <c r="BO61" s="1382"/>
      <c r="BP61" s="1383" t="s">
        <v>182</v>
      </c>
      <c r="BQ61" s="1384" t="s">
        <v>203</v>
      </c>
      <c r="BR61" s="1346" t="s">
        <v>925</v>
      </c>
      <c r="BS61" s="1341" t="s">
        <v>923</v>
      </c>
      <c r="BT61" s="554">
        <f>1800/30*14</f>
        <v>840</v>
      </c>
      <c r="BU61" s="554">
        <f>(1800/30*29)-BT61</f>
        <v>900</v>
      </c>
      <c r="BV61" s="832"/>
      <c r="BW61" s="550" t="s">
        <v>203</v>
      </c>
      <c r="BX61" s="1340" t="s">
        <v>924</v>
      </c>
    </row>
    <row r="62" spans="1:156" s="550" customFormat="1" ht="18" customHeight="1" thickBot="1">
      <c r="A62" s="780"/>
      <c r="B62" s="1433"/>
      <c r="C62" s="1434"/>
      <c r="D62" s="1435"/>
      <c r="E62" s="1436"/>
      <c r="F62" s="1436"/>
      <c r="G62" s="1436"/>
      <c r="H62" s="1437"/>
      <c r="I62" s="1434"/>
      <c r="J62" s="1438"/>
      <c r="K62" s="1438"/>
      <c r="L62" s="1434"/>
      <c r="M62" s="1434"/>
      <c r="N62" s="1434"/>
      <c r="O62" s="1434"/>
      <c r="P62" s="1434"/>
      <c r="Q62" s="1434"/>
      <c r="R62" s="1434"/>
      <c r="S62" s="1438"/>
      <c r="T62" s="1439"/>
      <c r="U62" s="1429"/>
      <c r="V62" s="1438"/>
      <c r="W62" s="1438"/>
      <c r="X62" s="1438"/>
      <c r="Y62" s="1438"/>
      <c r="Z62" s="1438"/>
      <c r="AA62" s="1438"/>
      <c r="AB62" s="1429"/>
      <c r="AC62" s="1429"/>
      <c r="AD62" s="1429"/>
      <c r="AE62" s="1429"/>
      <c r="AF62" s="1438"/>
      <c r="AG62" s="1438"/>
      <c r="AH62" s="1438"/>
      <c r="AI62" s="1438"/>
      <c r="AJ62" s="1438"/>
      <c r="AK62" s="1438"/>
      <c r="AL62" s="1438"/>
      <c r="AM62" s="1434"/>
      <c r="AN62" s="1438"/>
      <c r="AO62" s="1429"/>
      <c r="AP62" s="1429"/>
      <c r="AQ62" s="1440"/>
      <c r="AR62" s="1441"/>
      <c r="AS62" s="1442"/>
      <c r="AT62" s="1189"/>
      <c r="AU62" s="1442"/>
      <c r="AV62" s="1189"/>
      <c r="AW62" s="1442"/>
      <c r="AX62" s="1189"/>
      <c r="AY62" s="1442"/>
      <c r="AZ62" s="1189"/>
      <c r="BA62" s="1441"/>
      <c r="BB62" s="1441"/>
      <c r="BC62" s="1441"/>
      <c r="BD62" s="1438"/>
      <c r="BE62" s="1441"/>
      <c r="BF62" s="1441"/>
      <c r="BG62" s="1441"/>
      <c r="BH62" s="1441"/>
      <c r="BI62" s="1429"/>
      <c r="BJ62" s="1429"/>
      <c r="BK62" s="1443"/>
      <c r="BL62" s="1438"/>
      <c r="BM62" s="1444"/>
      <c r="BN62" s="1438"/>
      <c r="BO62" s="1445"/>
      <c r="BP62" s="1431"/>
      <c r="BQ62" s="1432"/>
      <c r="BR62" s="588"/>
      <c r="BS62" s="588"/>
      <c r="BU62" s="554"/>
      <c r="BV62" s="832"/>
    </row>
    <row r="63" spans="1:156" s="550" customFormat="1" ht="18" customHeight="1" thickBot="1">
      <c r="A63" s="780"/>
      <c r="B63" s="1419"/>
      <c r="C63" s="1420"/>
      <c r="D63" s="1421"/>
      <c r="E63" s="1422"/>
      <c r="F63" s="1423"/>
      <c r="G63" s="1424"/>
      <c r="H63" s="1425"/>
      <c r="I63" s="1420"/>
      <c r="J63" s="1426"/>
      <c r="K63" s="1426"/>
      <c r="L63" s="1420"/>
      <c r="M63" s="1420"/>
      <c r="N63" s="1420"/>
      <c r="O63" s="1420"/>
      <c r="P63" s="1420"/>
      <c r="Q63" s="1420"/>
      <c r="R63" s="1420"/>
      <c r="S63" s="1426"/>
      <c r="T63" s="1427"/>
      <c r="U63" s="1428"/>
      <c r="V63" s="1426"/>
      <c r="W63" s="1426"/>
      <c r="X63" s="1426"/>
      <c r="Y63" s="1426"/>
      <c r="Z63" s="1426"/>
      <c r="AA63" s="1426"/>
      <c r="AB63" s="1429"/>
      <c r="AC63" s="1430"/>
      <c r="AD63" s="1430"/>
      <c r="AE63" s="1430"/>
      <c r="AF63" s="1430"/>
      <c r="AG63" s="1430"/>
      <c r="AH63" s="1430"/>
      <c r="AI63" s="1430"/>
      <c r="AJ63" s="1430"/>
      <c r="AK63" s="1430"/>
      <c r="AL63" s="1430"/>
      <c r="AM63" s="1430"/>
      <c r="AN63" s="1430"/>
      <c r="AO63" s="1430"/>
      <c r="AP63" s="1430"/>
      <c r="AQ63" s="1430"/>
      <c r="AR63" s="1430"/>
      <c r="AS63" s="1430"/>
      <c r="AT63" s="1430"/>
      <c r="AU63" s="1430"/>
      <c r="AV63" s="1430"/>
      <c r="AW63" s="1430"/>
      <c r="AX63" s="1430"/>
      <c r="AY63" s="1430"/>
      <c r="AZ63" s="1430"/>
      <c r="BA63" s="1430"/>
      <c r="BB63" s="1430"/>
      <c r="BC63" s="1430"/>
      <c r="BD63" s="1430"/>
      <c r="BE63" s="1430"/>
      <c r="BF63" s="1430"/>
      <c r="BG63" s="1430"/>
      <c r="BH63" s="1430"/>
      <c r="BI63" s="1430"/>
      <c r="BJ63" s="1430"/>
      <c r="BK63" s="1430"/>
      <c r="BL63" s="1430"/>
      <c r="BM63" s="1430"/>
      <c r="BN63" s="1430"/>
      <c r="BO63" s="1430"/>
      <c r="BP63" s="1431"/>
      <c r="BQ63" s="1432"/>
      <c r="BR63" s="588"/>
      <c r="BS63" s="588"/>
      <c r="BU63" s="554"/>
      <c r="BV63" s="1348">
        <f>SUM(BU59:BU61)</f>
        <v>1903.3333333333335</v>
      </c>
    </row>
    <row r="64" spans="1:156" s="550" customFormat="1" ht="18" customHeight="1" thickBot="1">
      <c r="A64" s="780"/>
      <c r="B64" s="543"/>
      <c r="C64" s="549"/>
      <c r="D64" s="1013"/>
      <c r="E64" s="1014"/>
      <c r="F64" s="1015"/>
      <c r="G64" s="1015"/>
      <c r="H64" s="1007"/>
      <c r="I64" s="549"/>
      <c r="J64" s="554"/>
      <c r="K64" s="554"/>
      <c r="L64" s="549"/>
      <c r="M64" s="549"/>
      <c r="N64" s="549"/>
      <c r="O64" s="549"/>
      <c r="P64" s="549"/>
      <c r="Q64" s="549"/>
      <c r="R64" s="549"/>
      <c r="S64" s="1252">
        <f>SUBTOTAL(9,S60:S61)</f>
        <v>0</v>
      </c>
      <c r="T64" s="1256">
        <f t="shared" ref="T64:Z64" si="124">SUBTOTAL(9,T60:T61)</f>
        <v>0</v>
      </c>
      <c r="U64" s="1252">
        <f t="shared" si="124"/>
        <v>0</v>
      </c>
      <c r="V64" s="1252">
        <f t="shared" si="124"/>
        <v>0</v>
      </c>
      <c r="W64" s="1252">
        <f t="shared" si="124"/>
        <v>0</v>
      </c>
      <c r="X64" s="1252">
        <f t="shared" si="124"/>
        <v>0</v>
      </c>
      <c r="Y64" s="1252">
        <f t="shared" si="124"/>
        <v>0</v>
      </c>
      <c r="Z64" s="1252">
        <f t="shared" si="124"/>
        <v>0</v>
      </c>
      <c r="AA64" s="1252">
        <f>SUBTOTAL(9,AA61:AA63)</f>
        <v>0</v>
      </c>
      <c r="AB64" s="1252">
        <f>SUBTOTAL(9,AB61:AB63)</f>
        <v>1250</v>
      </c>
      <c r="AC64" s="1252">
        <f>SUM(AC60:AC63)</f>
        <v>2700</v>
      </c>
      <c r="AD64" s="1252">
        <f t="shared" ref="AD64:BQ64" si="125">SUM(AD60:AD63)</f>
        <v>3400</v>
      </c>
      <c r="AE64" s="1252">
        <f t="shared" si="125"/>
        <v>0</v>
      </c>
      <c r="AF64" s="1252">
        <f t="shared" si="125"/>
        <v>1166.6666666666667</v>
      </c>
      <c r="AG64" s="1252">
        <f t="shared" si="125"/>
        <v>0</v>
      </c>
      <c r="AH64" s="1252">
        <f t="shared" si="125"/>
        <v>1000</v>
      </c>
      <c r="AI64" s="1252">
        <f t="shared" si="125"/>
        <v>90</v>
      </c>
      <c r="AJ64" s="1252">
        <f t="shared" si="125"/>
        <v>0</v>
      </c>
      <c r="AK64" s="1252">
        <f t="shared" si="125"/>
        <v>270.40550971770932</v>
      </c>
      <c r="AL64" s="1252">
        <f t="shared" si="125"/>
        <v>0</v>
      </c>
      <c r="AM64" s="1252">
        <f t="shared" si="125"/>
        <v>0</v>
      </c>
      <c r="AN64" s="1252">
        <f t="shared" si="125"/>
        <v>0</v>
      </c>
      <c r="AO64" s="1252">
        <f t="shared" si="125"/>
        <v>9877.0721763843758</v>
      </c>
      <c r="AP64" s="1252">
        <f t="shared" si="125"/>
        <v>4650</v>
      </c>
      <c r="AQ64" s="1252">
        <f t="shared" si="125"/>
        <v>0</v>
      </c>
      <c r="AR64" s="1252">
        <f t="shared" si="125"/>
        <v>0</v>
      </c>
      <c r="AS64" s="1252">
        <f t="shared" si="125"/>
        <v>0.1</v>
      </c>
      <c r="AT64" s="1252">
        <f t="shared" si="125"/>
        <v>465</v>
      </c>
      <c r="AU64" s="1252">
        <f t="shared" si="125"/>
        <v>0</v>
      </c>
      <c r="AV64" s="1252">
        <f t="shared" si="125"/>
        <v>0</v>
      </c>
      <c r="AW64" s="1252">
        <f t="shared" si="125"/>
        <v>1.37E-2</v>
      </c>
      <c r="AX64" s="1252">
        <f t="shared" si="125"/>
        <v>63.704999999999998</v>
      </c>
      <c r="AY64" s="1252">
        <f t="shared" si="125"/>
        <v>0.11370000000000001</v>
      </c>
      <c r="AZ64" s="1252">
        <f t="shared" si="125"/>
        <v>528.70500000000004</v>
      </c>
      <c r="BA64" s="1252">
        <f t="shared" si="125"/>
        <v>0</v>
      </c>
      <c r="BB64" s="1252">
        <f t="shared" si="125"/>
        <v>0</v>
      </c>
      <c r="BC64" s="1252">
        <f t="shared" si="125"/>
        <v>0</v>
      </c>
      <c r="BD64" s="1252">
        <f t="shared" si="125"/>
        <v>0</v>
      </c>
      <c r="BE64" s="1252">
        <f t="shared" si="125"/>
        <v>0</v>
      </c>
      <c r="BF64" s="1252">
        <f t="shared" si="125"/>
        <v>0</v>
      </c>
      <c r="BG64" s="1252">
        <f t="shared" si="125"/>
        <v>0</v>
      </c>
      <c r="BH64" s="1252">
        <f t="shared" si="125"/>
        <v>0</v>
      </c>
      <c r="BI64" s="1252">
        <f t="shared" si="125"/>
        <v>0</v>
      </c>
      <c r="BJ64" s="1252">
        <f t="shared" si="125"/>
        <v>0</v>
      </c>
      <c r="BK64" s="1252">
        <f t="shared" si="125"/>
        <v>528.70500000000004</v>
      </c>
      <c r="BL64" s="1252">
        <f t="shared" si="125"/>
        <v>9348.3671763843759</v>
      </c>
      <c r="BM64" s="1252">
        <f t="shared" si="125"/>
        <v>0.09</v>
      </c>
      <c r="BN64" s="1252">
        <f t="shared" si="125"/>
        <v>418.5</v>
      </c>
      <c r="BO64" s="1252">
        <f t="shared" si="125"/>
        <v>0</v>
      </c>
      <c r="BP64" s="1252">
        <f t="shared" si="125"/>
        <v>0</v>
      </c>
      <c r="BQ64" s="1252">
        <f t="shared" si="125"/>
        <v>0</v>
      </c>
      <c r="BR64" s="588"/>
      <c r="BS64" s="588"/>
      <c r="BU64" s="554"/>
      <c r="BV64" s="832"/>
      <c r="BW64" s="1343"/>
    </row>
    <row r="65" spans="1:78" s="549" customFormat="1" ht="18" customHeight="1" thickTop="1">
      <c r="A65" s="546"/>
      <c r="B65" s="543"/>
      <c r="D65" s="1013"/>
      <c r="E65" s="1014"/>
      <c r="F65" s="1015"/>
      <c r="G65" s="1015"/>
      <c r="H65" s="1007"/>
      <c r="J65" s="554"/>
      <c r="K65" s="554"/>
      <c r="S65" s="554"/>
      <c r="T65" s="1011"/>
      <c r="U65" s="1008"/>
      <c r="V65" s="554"/>
      <c r="W65" s="554"/>
      <c r="X65" s="554"/>
      <c r="Y65" s="554"/>
      <c r="Z65" s="554"/>
      <c r="AA65" s="554"/>
      <c r="AB65" s="554"/>
      <c r="AC65" s="554"/>
      <c r="AD65" s="554"/>
      <c r="AE65" s="554"/>
      <c r="AF65" s="554"/>
      <c r="AG65" s="554"/>
      <c r="AH65" s="554"/>
      <c r="AI65" s="554"/>
      <c r="AJ65" s="554"/>
      <c r="AK65" s="554"/>
      <c r="AN65" s="554"/>
      <c r="AO65" s="554"/>
      <c r="AP65" s="1009"/>
      <c r="AQ65" s="1010"/>
      <c r="AR65" s="554"/>
      <c r="AS65" s="555"/>
      <c r="AT65" s="554"/>
      <c r="AU65" s="555"/>
      <c r="AV65" s="554"/>
      <c r="AW65" s="555"/>
      <c r="AX65" s="554"/>
      <c r="AY65" s="555"/>
      <c r="AZ65" s="554"/>
      <c r="BA65" s="554"/>
      <c r="BB65" s="554"/>
      <c r="BC65" s="554"/>
      <c r="BD65" s="1008"/>
      <c r="BE65" s="554"/>
      <c r="BF65" s="554"/>
      <c r="BG65" s="554"/>
      <c r="BH65" s="554"/>
      <c r="BI65" s="554"/>
      <c r="BJ65" s="1008"/>
      <c r="BK65" s="1008"/>
      <c r="BL65" s="551"/>
      <c r="BM65" s="1010"/>
      <c r="BN65" s="554"/>
      <c r="BO65" s="1011"/>
      <c r="BP65" s="543"/>
      <c r="BR65" s="548"/>
      <c r="BS65" s="548"/>
      <c r="BT65" s="554"/>
      <c r="BU65" s="554"/>
      <c r="BV65" s="832"/>
      <c r="BX65" s="1343"/>
    </row>
    <row r="66" spans="1:78" s="549" customFormat="1" ht="14.25" customHeight="1" thickBot="1">
      <c r="A66" s="546"/>
      <c r="B66" s="550"/>
      <c r="C66" s="550"/>
      <c r="D66" s="550"/>
      <c r="E66" s="550"/>
      <c r="F66" s="550"/>
      <c r="G66" s="550"/>
      <c r="H66" s="550"/>
      <c r="I66" s="550"/>
      <c r="J66" s="550"/>
      <c r="K66" s="550"/>
      <c r="L66" s="550"/>
      <c r="M66" s="550"/>
      <c r="N66" s="550"/>
      <c r="O66" s="550"/>
      <c r="P66" s="550"/>
      <c r="Q66" s="550"/>
      <c r="R66" s="550"/>
      <c r="S66" s="1012">
        <f>+S64+S57</f>
        <v>116957</v>
      </c>
      <c r="T66" s="1257">
        <f t="shared" ref="T66:W66" si="126">+T64+T57</f>
        <v>1808</v>
      </c>
      <c r="U66" s="1012">
        <f t="shared" si="126"/>
        <v>0</v>
      </c>
      <c r="V66" s="1012">
        <f t="shared" si="126"/>
        <v>29598.975177118642</v>
      </c>
      <c r="W66" s="1012">
        <f t="shared" si="126"/>
        <v>3821.1264769397358</v>
      </c>
      <c r="X66" s="1012">
        <f t="shared" ref="X66:Z66" si="127">+X57+X60</f>
        <v>4444.5589930555561</v>
      </c>
      <c r="Y66" s="1012">
        <f t="shared" si="127"/>
        <v>1513.2650625000001</v>
      </c>
      <c r="Z66" s="1012">
        <f t="shared" si="127"/>
        <v>166.66666666666666</v>
      </c>
      <c r="AA66" s="1012">
        <f t="shared" ref="AA66:BQ66" si="128">+AA64+AA57</f>
        <v>526.31578947368428</v>
      </c>
      <c r="AB66" s="1012">
        <f t="shared" si="128"/>
        <v>1250</v>
      </c>
      <c r="AC66" s="1012">
        <f t="shared" si="128"/>
        <v>2700</v>
      </c>
      <c r="AD66" s="1012">
        <f t="shared" si="128"/>
        <v>10696.333333333332</v>
      </c>
      <c r="AE66" s="1012">
        <f t="shared" si="128"/>
        <v>2370.28485</v>
      </c>
      <c r="AF66" s="1012">
        <f t="shared" si="128"/>
        <v>1166.6666666666667</v>
      </c>
      <c r="AG66" s="1012">
        <f t="shared" si="128"/>
        <v>0</v>
      </c>
      <c r="AH66" s="1012">
        <f t="shared" si="128"/>
        <v>1000</v>
      </c>
      <c r="AI66" s="1012">
        <f t="shared" si="128"/>
        <v>90</v>
      </c>
      <c r="AJ66" s="1012">
        <f t="shared" si="128"/>
        <v>1440</v>
      </c>
      <c r="AK66" s="1012">
        <f t="shared" si="128"/>
        <v>270.40550971770932</v>
      </c>
      <c r="AL66" s="1012">
        <f t="shared" si="128"/>
        <v>0</v>
      </c>
      <c r="AM66" s="1012">
        <f t="shared" si="128"/>
        <v>0</v>
      </c>
      <c r="AN66" s="1012">
        <f t="shared" si="128"/>
        <v>0</v>
      </c>
      <c r="AO66" s="1012">
        <f t="shared" si="128"/>
        <v>179819.59852547204</v>
      </c>
      <c r="AP66" s="1012">
        <f t="shared" si="128"/>
        <v>173281.71576794729</v>
      </c>
      <c r="AQ66" s="1012">
        <f t="shared" si="128"/>
        <v>0</v>
      </c>
      <c r="AR66" s="1012">
        <f t="shared" si="128"/>
        <v>3465.8986471557446</v>
      </c>
      <c r="AS66" s="1012">
        <f t="shared" si="128"/>
        <v>0.1</v>
      </c>
      <c r="AT66" s="1012">
        <f t="shared" si="128"/>
        <v>14662.09569436723</v>
      </c>
      <c r="AU66" s="1012">
        <f t="shared" si="128"/>
        <v>0</v>
      </c>
      <c r="AV66" s="1012">
        <f t="shared" si="128"/>
        <v>517.00809024444447</v>
      </c>
      <c r="AW66" s="1012">
        <f t="shared" si="128"/>
        <v>1.37E-2</v>
      </c>
      <c r="AX66" s="1012">
        <f t="shared" si="128"/>
        <v>1903.4832315253445</v>
      </c>
      <c r="AY66" s="1012">
        <f t="shared" si="128"/>
        <v>0.11370000000000001</v>
      </c>
      <c r="AZ66" s="1012">
        <f t="shared" si="128"/>
        <v>17082.587016137022</v>
      </c>
      <c r="BA66" s="1012">
        <f t="shared" si="128"/>
        <v>176.66666666666669</v>
      </c>
      <c r="BB66" s="1012">
        <f t="shared" si="128"/>
        <v>607.828125</v>
      </c>
      <c r="BC66" s="1012">
        <f t="shared" si="128"/>
        <v>51344.04</v>
      </c>
      <c r="BD66" s="1012">
        <f t="shared" si="128"/>
        <v>0</v>
      </c>
      <c r="BE66" s="1012">
        <f t="shared" si="128"/>
        <v>1200</v>
      </c>
      <c r="BF66" s="1012">
        <f t="shared" si="128"/>
        <v>1331.4959322033897</v>
      </c>
      <c r="BG66" s="1012">
        <f t="shared" si="128"/>
        <v>1441.9647520560166</v>
      </c>
      <c r="BH66" s="1012">
        <f t="shared" si="128"/>
        <v>0</v>
      </c>
      <c r="BI66" s="1012">
        <f t="shared" si="128"/>
        <v>22.36</v>
      </c>
      <c r="BJ66" s="1012">
        <f t="shared" si="128"/>
        <v>15483.10307615423</v>
      </c>
      <c r="BK66" s="1012">
        <f t="shared" si="128"/>
        <v>92155.944215373063</v>
      </c>
      <c r="BL66" s="1012">
        <f>+BL64+BL57</f>
        <v>87663.654310098922</v>
      </c>
      <c r="BM66" s="1012">
        <f t="shared" si="128"/>
        <v>0.09</v>
      </c>
      <c r="BN66" s="1012">
        <f>+BN64+BN57</f>
        <v>15622.128169115253</v>
      </c>
      <c r="BO66" s="1012">
        <f>+BO64+BO57</f>
        <v>344.15750000000003</v>
      </c>
      <c r="BP66" s="1012">
        <f t="shared" si="128"/>
        <v>0</v>
      </c>
      <c r="BQ66" s="1012">
        <f t="shared" si="128"/>
        <v>0</v>
      </c>
      <c r="BR66" s="548"/>
      <c r="BS66" s="548"/>
      <c r="BU66" s="550"/>
      <c r="BV66" s="550"/>
      <c r="BW66" s="554"/>
      <c r="BZ66" s="554"/>
    </row>
    <row r="67" spans="1:78" s="549" customFormat="1" ht="14.25" customHeight="1" thickTop="1">
      <c r="A67" s="546"/>
      <c r="B67" s="550"/>
      <c r="C67" s="550" t="s">
        <v>286</v>
      </c>
      <c r="D67" s="550"/>
      <c r="E67" s="550"/>
      <c r="F67" s="550"/>
      <c r="G67" s="550"/>
      <c r="H67" s="550"/>
      <c r="I67" s="550"/>
      <c r="J67" s="551"/>
      <c r="K67" s="550"/>
      <c r="L67" s="550"/>
      <c r="M67" s="550"/>
      <c r="N67" s="550"/>
      <c r="O67" s="550"/>
      <c r="P67" s="550"/>
      <c r="Q67" s="550"/>
      <c r="R67" s="550"/>
      <c r="S67" s="551"/>
      <c r="T67" s="741"/>
      <c r="U67" s="551"/>
      <c r="V67" s="551"/>
      <c r="W67" s="551"/>
      <c r="X67" s="551"/>
      <c r="Y67" s="551"/>
      <c r="Z67" s="551"/>
      <c r="AA67" s="551"/>
      <c r="AB67" s="551"/>
      <c r="AC67" s="551"/>
      <c r="AD67" s="551"/>
      <c r="AE67" s="551"/>
      <c r="AF67" s="551"/>
      <c r="AG67" s="551"/>
      <c r="AH67" s="551"/>
      <c r="AI67" s="551"/>
      <c r="AJ67" s="551"/>
      <c r="AK67" s="551"/>
      <c r="AL67" s="551"/>
      <c r="AM67" s="551"/>
      <c r="AN67" s="551"/>
      <c r="AO67" s="551"/>
      <c r="AP67" s="551"/>
      <c r="AQ67" s="551"/>
      <c r="AR67" s="551"/>
      <c r="AS67" s="551"/>
      <c r="AT67" s="551"/>
      <c r="AU67" s="551"/>
      <c r="AV67" s="551"/>
      <c r="AW67" s="551"/>
      <c r="AX67" s="551"/>
      <c r="AY67" s="551"/>
      <c r="AZ67" s="551"/>
      <c r="BA67" s="551"/>
      <c r="BB67" s="551"/>
      <c r="BC67" s="551"/>
      <c r="BD67" s="553"/>
      <c r="BE67" s="553"/>
      <c r="BF67" s="553"/>
      <c r="BG67" s="553">
        <f>+'HT. EPS'!E51</f>
        <v>1441.9647520560166</v>
      </c>
      <c r="BH67" s="553"/>
      <c r="BI67" s="551"/>
      <c r="BJ67" s="551">
        <f>+'RTA 5TA'!X118</f>
        <v>15483.103076154228</v>
      </c>
      <c r="BK67" s="587"/>
      <c r="BL67" s="551"/>
      <c r="BM67" s="587"/>
      <c r="BN67" s="551"/>
      <c r="BO67" s="741"/>
      <c r="BP67" s="741"/>
      <c r="BQ67" s="588"/>
      <c r="BR67" s="548"/>
      <c r="BS67" s="548"/>
      <c r="BU67" s="550"/>
      <c r="BV67" s="550"/>
      <c r="BW67" s="554"/>
      <c r="BX67" s="554"/>
    </row>
    <row r="68" spans="1:78" s="549" customFormat="1" ht="14.25" customHeight="1">
      <c r="A68" s="546"/>
      <c r="B68" s="550"/>
      <c r="C68" s="549" t="s">
        <v>960</v>
      </c>
      <c r="D68" s="550"/>
      <c r="E68" s="550"/>
      <c r="F68" s="550"/>
      <c r="G68" s="550"/>
      <c r="H68" s="550"/>
      <c r="I68" s="550"/>
      <c r="J68" s="550"/>
      <c r="K68" s="550"/>
      <c r="L68" s="550"/>
      <c r="M68" s="550"/>
      <c r="N68" s="550"/>
      <c r="O68" s="550"/>
      <c r="P68" s="550"/>
      <c r="Q68" s="550"/>
      <c r="R68" s="550"/>
      <c r="S68" s="551"/>
      <c r="T68" s="741"/>
      <c r="U68" s="551"/>
      <c r="V68" s="551"/>
      <c r="W68" s="551"/>
      <c r="X68" s="551"/>
      <c r="Y68" s="551"/>
      <c r="Z68" s="551"/>
      <c r="AA68" s="551"/>
      <c r="AB68" s="551"/>
      <c r="AC68" s="551"/>
      <c r="AD68" s="551"/>
      <c r="AE68" s="551"/>
      <c r="AF68" s="551"/>
      <c r="AG68" s="551"/>
      <c r="AH68" s="551"/>
      <c r="AI68" s="551"/>
      <c r="AJ68" s="551"/>
      <c r="AK68" s="551"/>
      <c r="AL68" s="551"/>
      <c r="AM68" s="551"/>
      <c r="AN68" s="551"/>
      <c r="AO68" s="551"/>
      <c r="AP68" s="551"/>
      <c r="AQ68" s="551"/>
      <c r="AR68" s="551"/>
      <c r="AS68" s="551"/>
      <c r="AT68" s="551"/>
      <c r="AU68" s="551"/>
      <c r="AV68" s="551"/>
      <c r="AW68" s="551"/>
      <c r="AX68" s="551"/>
      <c r="AY68" s="551"/>
      <c r="AZ68" s="551"/>
      <c r="BA68" s="551"/>
      <c r="BB68" s="551"/>
      <c r="BC68" s="551"/>
      <c r="BD68" s="553"/>
      <c r="BE68" s="553"/>
      <c r="BF68" s="553"/>
      <c r="BG68" s="553"/>
      <c r="BH68" s="553"/>
      <c r="BI68" s="551"/>
      <c r="BJ68" s="551"/>
      <c r="BK68" s="587"/>
      <c r="BL68" s="551"/>
      <c r="BM68" s="587"/>
      <c r="BN68" s="551"/>
      <c r="BO68" s="741"/>
      <c r="BP68" s="741"/>
      <c r="BQ68" s="588"/>
      <c r="BR68" s="548"/>
      <c r="BS68" s="548"/>
      <c r="BU68" s="550"/>
      <c r="BV68" s="550"/>
      <c r="BW68" s="833"/>
      <c r="BX68" s="554"/>
    </row>
    <row r="69" spans="1:78" ht="14.25" customHeight="1">
      <c r="B69" s="550"/>
      <c r="C69" s="549" t="s">
        <v>961</v>
      </c>
      <c r="D69" s="547"/>
      <c r="E69" s="547"/>
      <c r="F69" s="549"/>
      <c r="G69" s="547"/>
      <c r="H69" s="547"/>
      <c r="I69" s="549"/>
      <c r="J69" s="549"/>
      <c r="K69" s="549"/>
      <c r="O69" s="549"/>
      <c r="P69" s="547" t="s">
        <v>287</v>
      </c>
      <c r="Q69" s="823" t="s">
        <v>204</v>
      </c>
      <c r="S69" s="739">
        <f t="shared" ref="S69:AB69" si="129">+SUMIF($A$12:$A$47,"ADM",S$12:S$56)</f>
        <v>8393.5</v>
      </c>
      <c r="T69" s="1258">
        <f t="shared" si="129"/>
        <v>226</v>
      </c>
      <c r="U69" s="739">
        <f t="shared" si="129"/>
        <v>0</v>
      </c>
      <c r="V69" s="739">
        <f t="shared" si="129"/>
        <v>0</v>
      </c>
      <c r="W69" s="739">
        <f t="shared" si="129"/>
        <v>0</v>
      </c>
      <c r="X69" s="739">
        <f t="shared" si="129"/>
        <v>0</v>
      </c>
      <c r="Y69" s="739">
        <f t="shared" si="129"/>
        <v>0</v>
      </c>
      <c r="Z69" s="739">
        <f t="shared" si="129"/>
        <v>0</v>
      </c>
      <c r="AA69" s="739">
        <f t="shared" si="129"/>
        <v>89.473684210526329</v>
      </c>
      <c r="AB69" s="739">
        <f t="shared" si="129"/>
        <v>0</v>
      </c>
      <c r="AC69" s="739"/>
      <c r="AD69" s="739">
        <f t="shared" ref="AD69:AJ69" si="130">+SUMIF($A$12:$A$47,"ADM",AD$12:AD$56)</f>
        <v>806.5</v>
      </c>
      <c r="AE69" s="739"/>
      <c r="AF69" s="739">
        <f t="shared" si="130"/>
        <v>0</v>
      </c>
      <c r="AG69" s="739">
        <f t="shared" si="130"/>
        <v>0</v>
      </c>
      <c r="AH69" s="739">
        <f t="shared" si="130"/>
        <v>0</v>
      </c>
      <c r="AI69" s="739">
        <f t="shared" si="130"/>
        <v>0</v>
      </c>
      <c r="AJ69" s="739">
        <f t="shared" si="130"/>
        <v>0</v>
      </c>
      <c r="AK69" s="739">
        <f t="shared" ref="AK69:AP69" si="131">+SUMIF($A$12:$A$47,"ADM",AK$12:AK$56)</f>
        <v>0</v>
      </c>
      <c r="AL69" s="739">
        <f t="shared" si="131"/>
        <v>0</v>
      </c>
      <c r="AM69" s="739">
        <f t="shared" si="131"/>
        <v>0</v>
      </c>
      <c r="AN69" s="739">
        <f t="shared" si="131"/>
        <v>0</v>
      </c>
      <c r="AO69" s="739">
        <f t="shared" si="131"/>
        <v>9515.4736842105267</v>
      </c>
      <c r="AP69" s="739">
        <f t="shared" si="131"/>
        <v>9426</v>
      </c>
      <c r="AQ69" s="554"/>
      <c r="AR69" s="574" t="s">
        <v>288</v>
      </c>
      <c r="AS69" s="574" t="s">
        <v>289</v>
      </c>
      <c r="AT69" s="574" t="s">
        <v>11</v>
      </c>
      <c r="AU69" s="574" t="s">
        <v>177</v>
      </c>
      <c r="AV69" s="574" t="s">
        <v>132</v>
      </c>
      <c r="AW69" s="574" t="s">
        <v>72</v>
      </c>
      <c r="AX69" s="574" t="s">
        <v>290</v>
      </c>
      <c r="AY69" s="574" t="s">
        <v>291</v>
      </c>
      <c r="AZ69" s="554"/>
      <c r="BA69" s="554"/>
      <c r="BB69" s="554"/>
      <c r="BC69" s="554"/>
      <c r="BD69" s="554"/>
      <c r="BE69" s="554"/>
      <c r="BF69" s="554"/>
      <c r="BG69" s="554"/>
      <c r="BH69" s="554"/>
      <c r="BI69" s="1446" t="s">
        <v>292</v>
      </c>
      <c r="BJ69" s="1447"/>
      <c r="BK69" s="1447"/>
      <c r="BL69" s="1448"/>
      <c r="BM69" s="545"/>
      <c r="BN69" s="739">
        <f>+SUMIF($A$12:$A$47,"ADM",BN$12:BN$56)</f>
        <v>848.33999999999992</v>
      </c>
      <c r="BO69" s="739">
        <f>+SUMIF($A$12:$A$47,"ADM",BO$12:BO$56)</f>
        <v>33.361399999999996</v>
      </c>
      <c r="BP69" s="739"/>
      <c r="BQ69" s="548"/>
      <c r="BU69" s="1184" t="s">
        <v>293</v>
      </c>
      <c r="BV69" s="1185"/>
      <c r="BX69" s="739"/>
    </row>
    <row r="70" spans="1:78" ht="14.25" customHeight="1">
      <c r="B70" s="599"/>
      <c r="C70" s="549" t="s">
        <v>962</v>
      </c>
      <c r="F70" s="549"/>
      <c r="I70" s="549"/>
      <c r="J70" s="549"/>
      <c r="K70" s="549"/>
      <c r="O70" s="549"/>
      <c r="P70" s="828" t="s">
        <v>294</v>
      </c>
      <c r="Q70" s="823" t="s">
        <v>233</v>
      </c>
      <c r="S70" s="739">
        <f t="shared" ref="S70:AB70" si="132">+SUMIF($A$12:$A$47,"CONTA",S$12:S$56)</f>
        <v>5800</v>
      </c>
      <c r="T70" s="1258">
        <f t="shared" si="132"/>
        <v>0</v>
      </c>
      <c r="U70" s="739">
        <f t="shared" si="132"/>
        <v>0</v>
      </c>
      <c r="V70" s="739">
        <f t="shared" si="132"/>
        <v>0</v>
      </c>
      <c r="W70" s="739">
        <f t="shared" si="132"/>
        <v>0</v>
      </c>
      <c r="X70" s="739">
        <f t="shared" si="132"/>
        <v>3109.38</v>
      </c>
      <c r="Y70" s="739">
        <f t="shared" si="132"/>
        <v>715.5</v>
      </c>
      <c r="Z70" s="739">
        <f t="shared" si="132"/>
        <v>0</v>
      </c>
      <c r="AA70" s="739">
        <f t="shared" si="132"/>
        <v>84.21052631578948</v>
      </c>
      <c r="AB70" s="739">
        <f t="shared" si="132"/>
        <v>0</v>
      </c>
      <c r="AC70" s="739"/>
      <c r="AD70" s="739">
        <f t="shared" ref="AD70:AJ70" si="133">+SUMIF($A$12:$A$47,"CONTA",AD$12:AD$56)</f>
        <v>0</v>
      </c>
      <c r="AE70" s="739"/>
      <c r="AF70" s="739">
        <f t="shared" si="133"/>
        <v>0</v>
      </c>
      <c r="AG70" s="739">
        <f t="shared" si="133"/>
        <v>0</v>
      </c>
      <c r="AH70" s="739">
        <f t="shared" si="133"/>
        <v>0</v>
      </c>
      <c r="AI70" s="739">
        <f t="shared" si="133"/>
        <v>0</v>
      </c>
      <c r="AJ70" s="739">
        <f t="shared" si="133"/>
        <v>0</v>
      </c>
      <c r="AK70" s="739">
        <f t="shared" ref="AK70:AP70" si="134">+SUMIF($A$12:$A$47,"CONTA",AK$12:AK$56)</f>
        <v>0</v>
      </c>
      <c r="AL70" s="739">
        <f t="shared" si="134"/>
        <v>0</v>
      </c>
      <c r="AM70" s="739">
        <f t="shared" si="134"/>
        <v>0</v>
      </c>
      <c r="AN70" s="739">
        <f t="shared" si="134"/>
        <v>0</v>
      </c>
      <c r="AO70" s="739">
        <f t="shared" si="134"/>
        <v>9709.0905263157892</v>
      </c>
      <c r="AP70" s="739">
        <f t="shared" si="134"/>
        <v>9552.7966666666671</v>
      </c>
      <c r="AQ70" s="549"/>
      <c r="AR70" s="591" t="s">
        <v>289</v>
      </c>
      <c r="AS70" s="577">
        <f>+AR66</f>
        <v>3465.8986471557446</v>
      </c>
      <c r="AT70" s="577"/>
      <c r="AU70" s="577"/>
      <c r="AV70" s="577"/>
      <c r="AW70" s="577"/>
      <c r="AX70" s="577"/>
      <c r="AY70" s="592">
        <f>SUM(AS70:AX70)</f>
        <v>3465.8986471557446</v>
      </c>
      <c r="AZ70" s="549"/>
      <c r="BA70" s="549"/>
      <c r="BB70" s="549"/>
      <c r="BC70" s="549"/>
      <c r="BD70" s="549"/>
      <c r="BE70" s="549"/>
      <c r="BF70" s="549"/>
      <c r="BG70" s="549"/>
      <c r="BH70" s="549"/>
      <c r="BI70" s="593" t="s">
        <v>203</v>
      </c>
      <c r="BJ70" s="551">
        <f>+SUMIF($BQ$12:$BQ$56,"BBVA",$BL$12:$BL$56)</f>
        <v>44134.719542612453</v>
      </c>
      <c r="BK70" s="593"/>
      <c r="BL70" s="549"/>
      <c r="BM70" s="545"/>
      <c r="BN70" s="739">
        <f>+SUMIF($A$12:$A$47,"CONTA",BN$12:BN$56)</f>
        <v>859.75170000000003</v>
      </c>
      <c r="BO70" s="739">
        <f>+SUMIF($A$12:$A$47,"CONTA",BO$12:BO$56)</f>
        <v>21.450000000000003</v>
      </c>
      <c r="BP70" s="739"/>
      <c r="BQ70" s="548"/>
      <c r="BU70" s="549" t="s">
        <v>203</v>
      </c>
      <c r="BV70" s="551">
        <f>+SUMIF($BQ$12:$BQ$56,"BBVA",$BV$12:$BV$56)</f>
        <v>26270</v>
      </c>
    </row>
    <row r="71" spans="1:78" ht="14.25" customHeight="1">
      <c r="B71" s="599"/>
      <c r="C71" s="546"/>
      <c r="F71" s="549"/>
      <c r="I71" s="549"/>
      <c r="J71" s="549"/>
      <c r="K71" s="549"/>
      <c r="O71" s="549"/>
      <c r="P71" s="828" t="s">
        <v>295</v>
      </c>
      <c r="Q71" s="823" t="s">
        <v>213</v>
      </c>
      <c r="S71" s="739">
        <f t="shared" ref="S71:AB71" si="135">+SUMIF($A$12:$A$47,"LOGISTICA",S$12:S$56)</f>
        <v>5800</v>
      </c>
      <c r="T71" s="1258">
        <f t="shared" si="135"/>
        <v>0</v>
      </c>
      <c r="U71" s="739">
        <f t="shared" si="135"/>
        <v>0</v>
      </c>
      <c r="V71" s="739">
        <f t="shared" si="135"/>
        <v>0</v>
      </c>
      <c r="W71" s="739">
        <f t="shared" si="135"/>
        <v>0</v>
      </c>
      <c r="X71" s="739">
        <f t="shared" si="135"/>
        <v>0</v>
      </c>
      <c r="Y71" s="739">
        <f t="shared" si="135"/>
        <v>0</v>
      </c>
      <c r="Z71" s="739">
        <f t="shared" si="135"/>
        <v>0</v>
      </c>
      <c r="AA71" s="739">
        <f t="shared" si="135"/>
        <v>89.473684210526329</v>
      </c>
      <c r="AB71" s="739">
        <f t="shared" si="135"/>
        <v>0</v>
      </c>
      <c r="AC71" s="739"/>
      <c r="AD71" s="739">
        <f t="shared" ref="AD71:AJ71" si="136">+SUMIF($A$12:$A$47,"LOGISTICA",AD$12:AD$56)</f>
        <v>0</v>
      </c>
      <c r="AE71" s="739"/>
      <c r="AF71" s="739">
        <f t="shared" si="136"/>
        <v>0</v>
      </c>
      <c r="AG71" s="739">
        <f t="shared" si="136"/>
        <v>0</v>
      </c>
      <c r="AH71" s="739">
        <f t="shared" si="136"/>
        <v>0</v>
      </c>
      <c r="AI71" s="739">
        <f t="shared" si="136"/>
        <v>0</v>
      </c>
      <c r="AJ71" s="739">
        <f t="shared" si="136"/>
        <v>640</v>
      </c>
      <c r="AK71" s="739">
        <f t="shared" ref="AK71:AP71" si="137">+SUMIF($A$12:$A$47,"LOGISTICA",AK$12:AK$56)</f>
        <v>0</v>
      </c>
      <c r="AL71" s="739">
        <f t="shared" si="137"/>
        <v>0</v>
      </c>
      <c r="AM71" s="739">
        <f t="shared" si="137"/>
        <v>0</v>
      </c>
      <c r="AN71" s="739">
        <f t="shared" si="137"/>
        <v>0</v>
      </c>
      <c r="AO71" s="739">
        <f t="shared" si="137"/>
        <v>6529.4736842105267</v>
      </c>
      <c r="AP71" s="739">
        <f t="shared" si="137"/>
        <v>6353.9583333333339</v>
      </c>
      <c r="AQ71" s="549"/>
      <c r="AR71" s="594" t="s">
        <v>11</v>
      </c>
      <c r="AS71" s="576"/>
      <c r="AT71" s="576">
        <f>+BN66</f>
        <v>15622.128169115253</v>
      </c>
      <c r="AU71" s="576"/>
      <c r="AV71" s="576"/>
      <c r="AW71" s="576"/>
      <c r="AX71" s="576"/>
      <c r="AY71" s="595">
        <f>SUM(AS71:AX71)</f>
        <v>15622.128169115253</v>
      </c>
      <c r="AZ71" s="554"/>
      <c r="BA71" s="549"/>
      <c r="BB71" s="549"/>
      <c r="BC71" s="549"/>
      <c r="BD71" s="549"/>
      <c r="BE71" s="549"/>
      <c r="BF71" s="549"/>
      <c r="BG71" s="549"/>
      <c r="BH71" s="549"/>
      <c r="BI71" s="593" t="s">
        <v>210</v>
      </c>
      <c r="BJ71" s="551">
        <f>+SUMIF($BQ$12:$BQ$56,"BCP",$BL$12:$BL$56)+BR26</f>
        <v>30558.651740919988</v>
      </c>
      <c r="BK71" s="593"/>
      <c r="BL71" s="549"/>
      <c r="BM71" s="545"/>
      <c r="BN71" s="739">
        <f>+SUMIF($A$12:$A$47,"LOGISTICA",BN$12:BN$56)</f>
        <v>571.85625000000005</v>
      </c>
      <c r="BO71" s="739">
        <f>+SUMIF($A$12:$A$47,"LOGISTICA",BO$12:BO$56)</f>
        <v>15.963999999999999</v>
      </c>
      <c r="BP71" s="739"/>
      <c r="BQ71" s="548"/>
      <c r="BU71" s="549" t="s">
        <v>210</v>
      </c>
      <c r="BV71" s="551">
        <f>+SUMIF($BQ$12:$BQ$56,"BCP",$BV$12:$BV$56)</f>
        <v>21550</v>
      </c>
      <c r="BW71" s="833" t="s">
        <v>210</v>
      </c>
    </row>
    <row r="72" spans="1:78">
      <c r="B72" s="599"/>
      <c r="C72" s="546"/>
      <c r="F72" s="549"/>
      <c r="I72" s="549"/>
      <c r="J72" s="549"/>
      <c r="K72" s="549"/>
      <c r="O72" s="549"/>
      <c r="P72" s="828"/>
      <c r="Q72" s="823"/>
      <c r="S72" s="739"/>
      <c r="T72" s="1258"/>
      <c r="U72" s="739"/>
      <c r="V72" s="739"/>
      <c r="W72" s="739"/>
      <c r="X72" s="739"/>
      <c r="Y72" s="739"/>
      <c r="Z72" s="739"/>
      <c r="AA72" s="739"/>
      <c r="AB72" s="739"/>
      <c r="AC72" s="739"/>
      <c r="AD72" s="739"/>
      <c r="AE72" s="739"/>
      <c r="AF72" s="739"/>
      <c r="AG72" s="739"/>
      <c r="AH72" s="739"/>
      <c r="AI72" s="739"/>
      <c r="AJ72" s="739"/>
      <c r="AK72" s="739"/>
      <c r="AL72" s="739"/>
      <c r="AM72" s="739"/>
      <c r="AN72" s="739"/>
      <c r="AO72" s="739"/>
      <c r="AP72" s="739"/>
      <c r="AQ72" s="549"/>
      <c r="AR72" s="594"/>
      <c r="AS72" s="576"/>
      <c r="AT72" s="576"/>
      <c r="AU72" s="576"/>
      <c r="AV72" s="576"/>
      <c r="AW72" s="576"/>
      <c r="AX72" s="576"/>
      <c r="AY72" s="595"/>
      <c r="AZ72" s="554"/>
      <c r="BA72" s="549"/>
      <c r="BB72" s="549"/>
      <c r="BC72" s="549"/>
      <c r="BD72" s="549"/>
      <c r="BE72" s="549"/>
      <c r="BF72" s="549"/>
      <c r="BG72" s="549"/>
      <c r="BH72" s="549"/>
      <c r="BI72" s="593" t="s">
        <v>747</v>
      </c>
      <c r="BJ72" s="551">
        <f>+SUMIF($BQ$12:$BQ$56,"INTERB",$BL$12:$BL$56)</f>
        <v>4913.600268647092</v>
      </c>
      <c r="BK72" s="593"/>
      <c r="BL72" s="549"/>
      <c r="BM72" s="545"/>
      <c r="BN72" s="739"/>
      <c r="BO72" s="739"/>
      <c r="BP72" s="739"/>
      <c r="BQ72" s="548"/>
      <c r="BU72" s="549" t="s">
        <v>753</v>
      </c>
      <c r="BV72" s="1075">
        <f>+BV22</f>
        <v>1460</v>
      </c>
      <c r="BW72" s="833" t="s">
        <v>210</v>
      </c>
    </row>
    <row r="73" spans="1:78" ht="12.75" thickBot="1">
      <c r="P73" s="828" t="s">
        <v>296</v>
      </c>
      <c r="Q73" s="823" t="s">
        <v>200</v>
      </c>
      <c r="S73" s="739">
        <f t="shared" ref="S73:AB73" si="138">+SUMIF($A$12:$A$47,"VTAS",S$12:S$56)</f>
        <v>36695.666666666672</v>
      </c>
      <c r="T73" s="1258">
        <f t="shared" si="138"/>
        <v>452</v>
      </c>
      <c r="U73" s="739">
        <f t="shared" si="138"/>
        <v>0</v>
      </c>
      <c r="V73" s="739">
        <f t="shared" si="138"/>
        <v>29275.965177118644</v>
      </c>
      <c r="W73" s="739">
        <f t="shared" si="138"/>
        <v>3821.1264769397358</v>
      </c>
      <c r="X73" s="739">
        <f t="shared" si="138"/>
        <v>0</v>
      </c>
      <c r="Y73" s="739">
        <f t="shared" si="138"/>
        <v>0</v>
      </c>
      <c r="Z73" s="739">
        <f t="shared" si="138"/>
        <v>0</v>
      </c>
      <c r="AA73" s="739">
        <f t="shared" si="138"/>
        <v>0</v>
      </c>
      <c r="AB73" s="739">
        <f t="shared" si="138"/>
        <v>0</v>
      </c>
      <c r="AC73" s="739"/>
      <c r="AD73" s="739">
        <f t="shared" ref="AD73:AJ73" si="139">+SUMIF($A$12:$A$47,"VTAS",AD$12:AD$56)</f>
        <v>4104.333333333333</v>
      </c>
      <c r="AE73" s="739"/>
      <c r="AF73" s="739">
        <f t="shared" si="139"/>
        <v>0</v>
      </c>
      <c r="AG73" s="739">
        <f t="shared" si="139"/>
        <v>0</v>
      </c>
      <c r="AH73" s="739">
        <f t="shared" si="139"/>
        <v>0</v>
      </c>
      <c r="AI73" s="739">
        <f t="shared" si="139"/>
        <v>0</v>
      </c>
      <c r="AJ73" s="739">
        <f t="shared" si="139"/>
        <v>800</v>
      </c>
      <c r="AK73" s="739">
        <f t="shared" ref="AK73:AP73" si="140">+SUMIF($A$12:$A$47,"VTAS",AK$12:AK$56)</f>
        <v>0</v>
      </c>
      <c r="AL73" s="739">
        <f t="shared" si="140"/>
        <v>0</v>
      </c>
      <c r="AM73" s="739">
        <f t="shared" si="140"/>
        <v>0</v>
      </c>
      <c r="AN73" s="739">
        <f t="shared" si="140"/>
        <v>0</v>
      </c>
      <c r="AO73" s="739">
        <f t="shared" si="140"/>
        <v>77519.376504058397</v>
      </c>
      <c r="AP73" s="739">
        <f t="shared" si="140"/>
        <v>77428.644420725075</v>
      </c>
      <c r="AR73" s="596" t="s">
        <v>72</v>
      </c>
      <c r="AS73" s="576"/>
      <c r="AT73" s="576"/>
      <c r="AU73" s="576">
        <f>+SUMIF($I$12:$I$56,"PRIMA",AT$12:AT$56)</f>
        <v>3749.2836697330499</v>
      </c>
      <c r="AV73" s="576">
        <f>+SUMIF($I$12:$I$56,"PRIMA",AV$12:AV$56)</f>
        <v>147.17328111111112</v>
      </c>
      <c r="AW73" s="576">
        <f>+SUMIF($I$12:$I$56,"PRIMA",AX$12:AX$56)</f>
        <v>513.65186275342808</v>
      </c>
      <c r="AX73" s="576"/>
      <c r="AY73" s="595">
        <f>SUM(AS73:AX73)</f>
        <v>4410.1088135975888</v>
      </c>
      <c r="AZ73" s="739"/>
      <c r="BI73" s="597"/>
      <c r="BJ73" s="822">
        <f>SUM(BJ70:BJ72)</f>
        <v>79606.97155217953</v>
      </c>
      <c r="BK73" s="597"/>
      <c r="BL73" s="739"/>
      <c r="BM73" s="743"/>
      <c r="BN73" s="739">
        <f>+SUMIF($A$12:$A$47,"VTAS",BN$12:BN$56)</f>
        <v>6968.5779978652536</v>
      </c>
      <c r="BO73" s="739">
        <f>+SUMIF($A$12:$A$47,"VTAS",BO$12:BO$56)</f>
        <v>118.28000000000002</v>
      </c>
      <c r="BP73" s="739"/>
      <c r="BV73" s="822">
        <f>SUM(BV70:BV72)</f>
        <v>49280</v>
      </c>
    </row>
    <row r="74" spans="1:78" ht="12.75" thickTop="1">
      <c r="P74" s="828" t="s">
        <v>297</v>
      </c>
      <c r="Q74" s="823" t="s">
        <v>207</v>
      </c>
      <c r="S74" s="739">
        <f t="shared" ref="S74:AB74" si="141">+SUMIF($A$12:$A$47,"SOPORTE",S$12:S$56)</f>
        <v>19396.233333333334</v>
      </c>
      <c r="T74" s="1258">
        <f t="shared" si="141"/>
        <v>339</v>
      </c>
      <c r="U74" s="739">
        <f t="shared" si="141"/>
        <v>0</v>
      </c>
      <c r="V74" s="739">
        <f t="shared" si="141"/>
        <v>0</v>
      </c>
      <c r="W74" s="739">
        <f t="shared" si="141"/>
        <v>0</v>
      </c>
      <c r="X74" s="739">
        <f t="shared" si="141"/>
        <v>1335.1789930555556</v>
      </c>
      <c r="Y74" s="739">
        <f t="shared" si="141"/>
        <v>797.7650625</v>
      </c>
      <c r="Z74" s="739">
        <f t="shared" si="141"/>
        <v>166.66666666666666</v>
      </c>
      <c r="AA74" s="739">
        <f t="shared" si="141"/>
        <v>178.94736842105266</v>
      </c>
      <c r="AB74" s="739">
        <f t="shared" si="141"/>
        <v>0</v>
      </c>
      <c r="AC74" s="739"/>
      <c r="AD74" s="739">
        <f t="shared" ref="AD74:AJ74" si="142">+SUMIF($A$12:$A$47,"SOPORTE",AD$12:AD$56)</f>
        <v>1603.7666666666667</v>
      </c>
      <c r="AE74" s="739"/>
      <c r="AF74" s="739">
        <f t="shared" si="142"/>
        <v>0</v>
      </c>
      <c r="AG74" s="739">
        <f t="shared" si="142"/>
        <v>0</v>
      </c>
      <c r="AH74" s="739">
        <f t="shared" si="142"/>
        <v>0</v>
      </c>
      <c r="AI74" s="739">
        <f t="shared" si="142"/>
        <v>0</v>
      </c>
      <c r="AJ74" s="739">
        <f t="shared" si="142"/>
        <v>0</v>
      </c>
      <c r="AK74" s="739">
        <f t="shared" ref="AK74:AP74" si="143">+SUMIF($A$12:$A$47,"SOPORTE",AK$12:AK$56)</f>
        <v>0</v>
      </c>
      <c r="AL74" s="739">
        <f t="shared" si="143"/>
        <v>0</v>
      </c>
      <c r="AM74" s="739">
        <f t="shared" si="143"/>
        <v>0</v>
      </c>
      <c r="AN74" s="739">
        <f t="shared" si="143"/>
        <v>0</v>
      </c>
      <c r="AO74" s="739">
        <f t="shared" si="143"/>
        <v>23817.558090643273</v>
      </c>
      <c r="AP74" s="739">
        <f t="shared" si="143"/>
        <v>23508.313013888888</v>
      </c>
      <c r="AR74" s="596" t="s">
        <v>71</v>
      </c>
      <c r="AS74" s="576"/>
      <c r="AT74" s="576"/>
      <c r="AU74" s="576">
        <f>+SUMIF($I$12:$I$56,"INTEGRA",AT$12:AT$56)+AT61</f>
        <v>9144.3211468564041</v>
      </c>
      <c r="AV74" s="576">
        <f>+SUMIF($I$12:$I$56,"INTEGRA",AV$12:AV$56)</f>
        <v>369.83480913333329</v>
      </c>
      <c r="AW74" s="576">
        <f>+SUMIF($I$12:$I$56,"INTEGRA",AX$12:AX$56)+AX61</f>
        <v>1147.548118516361</v>
      </c>
      <c r="AX74" s="576"/>
      <c r="AY74" s="595">
        <f>SUM(AS74:AX74)</f>
        <v>10661.704074506099</v>
      </c>
      <c r="AZ74" s="829"/>
      <c r="BA74" s="599"/>
      <c r="BI74" s="597"/>
      <c r="BJ74" s="823"/>
      <c r="BK74" s="597"/>
      <c r="BL74" s="589"/>
      <c r="BM74" s="743"/>
      <c r="BN74" s="739">
        <f>+SUMIF($A$12:$A$47,"SOPORTE",BN$12:BN$56)</f>
        <v>2115.7481712500003</v>
      </c>
      <c r="BO74" s="739">
        <f>+SUMIF($A$12:$A$47,"SOPORTE",BO$12:BO$56)</f>
        <v>39.780700000000003</v>
      </c>
      <c r="BP74" s="739"/>
      <c r="BV74" s="823"/>
    </row>
    <row r="75" spans="1:78">
      <c r="G75" s="599"/>
      <c r="H75" s="599"/>
      <c r="P75" s="828" t="s">
        <v>298</v>
      </c>
      <c r="Q75" s="823" t="s">
        <v>299</v>
      </c>
      <c r="S75" s="739">
        <f t="shared" ref="S75:AB75" si="144">+SUMIF($A$12:$A$47,"PROYECTO",S$12:S$56)</f>
        <v>8530</v>
      </c>
      <c r="T75" s="1258">
        <f t="shared" si="144"/>
        <v>0</v>
      </c>
      <c r="U75" s="739">
        <f t="shared" si="144"/>
        <v>0</v>
      </c>
      <c r="V75" s="739">
        <f t="shared" si="144"/>
        <v>0</v>
      </c>
      <c r="W75" s="739">
        <f t="shared" si="144"/>
        <v>0</v>
      </c>
      <c r="X75" s="739">
        <f t="shared" si="144"/>
        <v>0</v>
      </c>
      <c r="Y75" s="739">
        <f t="shared" si="144"/>
        <v>0</v>
      </c>
      <c r="Z75" s="739">
        <f t="shared" si="144"/>
        <v>0</v>
      </c>
      <c r="AA75" s="739">
        <f t="shared" si="144"/>
        <v>0</v>
      </c>
      <c r="AB75" s="739">
        <f t="shared" si="144"/>
        <v>0</v>
      </c>
      <c r="AC75" s="739"/>
      <c r="AD75" s="739">
        <f t="shared" ref="AD75:AJ75" si="145">+SUMIF($A$12:$A$47,"PROYECTO",AD$12:AD$56)</f>
        <v>320</v>
      </c>
      <c r="AE75" s="739"/>
      <c r="AF75" s="739">
        <f t="shared" si="145"/>
        <v>0</v>
      </c>
      <c r="AG75" s="739">
        <f t="shared" si="145"/>
        <v>0</v>
      </c>
      <c r="AH75" s="739">
        <f t="shared" si="145"/>
        <v>0</v>
      </c>
      <c r="AI75" s="739">
        <f t="shared" si="145"/>
        <v>0</v>
      </c>
      <c r="AJ75" s="739">
        <f t="shared" si="145"/>
        <v>0</v>
      </c>
      <c r="AK75" s="739">
        <f t="shared" ref="AK75:AP75" si="146">+SUMIF($A$12:$A$47,"PROYECTO",AK$12:AK$56)</f>
        <v>0</v>
      </c>
      <c r="AL75" s="739">
        <f t="shared" si="146"/>
        <v>0</v>
      </c>
      <c r="AM75" s="739">
        <f t="shared" si="146"/>
        <v>0</v>
      </c>
      <c r="AN75" s="739">
        <f t="shared" si="146"/>
        <v>0</v>
      </c>
      <c r="AO75" s="739">
        <f t="shared" si="146"/>
        <v>8850</v>
      </c>
      <c r="AP75" s="739">
        <f t="shared" si="146"/>
        <v>8737.4027777777774</v>
      </c>
      <c r="AR75" s="596" t="s">
        <v>73</v>
      </c>
      <c r="AS75" s="576"/>
      <c r="AT75" s="576"/>
      <c r="AU75" s="576">
        <f>+SUMIF($I$12:$I$56,"PROFUTURO",AT$12:AT$56)</f>
        <v>1240.5986111111113</v>
      </c>
      <c r="AV75" s="576">
        <f>+SUMIF($I$12:$I$56,"PROFUTURO",AV$12:AV$56)</f>
        <v>0</v>
      </c>
      <c r="AW75" s="576">
        <f>+SUMIF($I$12:$I$56,"PROFUTURO",AX$12:AX$56)</f>
        <v>169.96200972222223</v>
      </c>
      <c r="AX75" s="576"/>
      <c r="AY75" s="595">
        <f>SUM(AS75:AX75)</f>
        <v>1410.5606208333336</v>
      </c>
      <c r="BI75" s="597"/>
      <c r="BJ75" s="825"/>
      <c r="BK75" s="597"/>
      <c r="BL75" s="589"/>
      <c r="BM75" s="743"/>
      <c r="BN75" s="739">
        <f>+SUMIF($A$12:$A$47,"PROYECTO",BN$12:BN$56)</f>
        <v>786.36625000000004</v>
      </c>
      <c r="BO75" s="739">
        <f>+SUMIF($A$12:$A$47,"PROYECTO",BO$12:BO$56)</f>
        <v>12.76</v>
      </c>
      <c r="BP75" s="739"/>
      <c r="BV75" s="824"/>
    </row>
    <row r="76" spans="1:78">
      <c r="C76" s="599"/>
      <c r="D76" s="599"/>
      <c r="E76" s="599"/>
      <c r="G76" s="599"/>
      <c r="H76" s="599"/>
      <c r="P76" s="828" t="s">
        <v>300</v>
      </c>
      <c r="Q76" s="823" t="s">
        <v>301</v>
      </c>
      <c r="S76" s="739">
        <f t="shared" ref="S76:AB76" si="147">+SUMIF($A$12:$A$47,"MARKET",S$12:S$56)</f>
        <v>11713.333333333334</v>
      </c>
      <c r="T76" s="1258">
        <f t="shared" si="147"/>
        <v>113</v>
      </c>
      <c r="U76" s="739">
        <f t="shared" si="147"/>
        <v>0</v>
      </c>
      <c r="V76" s="739">
        <f t="shared" si="147"/>
        <v>0</v>
      </c>
      <c r="W76" s="739">
        <f t="shared" si="147"/>
        <v>0</v>
      </c>
      <c r="X76" s="739">
        <f t="shared" si="147"/>
        <v>0</v>
      </c>
      <c r="Y76" s="739">
        <f t="shared" si="147"/>
        <v>0</v>
      </c>
      <c r="Z76" s="739">
        <f t="shared" si="147"/>
        <v>0</v>
      </c>
      <c r="AA76" s="739">
        <f t="shared" si="147"/>
        <v>0</v>
      </c>
      <c r="AB76" s="739">
        <f t="shared" si="147"/>
        <v>0</v>
      </c>
      <c r="AC76" s="739"/>
      <c r="AD76" s="739">
        <f t="shared" ref="AD76:AJ76" si="148">+SUMIF($A$12:$A$47,"MARKET",AD$12:AD$56)</f>
        <v>186.66666666666666</v>
      </c>
      <c r="AE76" s="739"/>
      <c r="AF76" s="739">
        <f t="shared" si="148"/>
        <v>0</v>
      </c>
      <c r="AG76" s="739">
        <f t="shared" si="148"/>
        <v>0</v>
      </c>
      <c r="AH76" s="739">
        <f t="shared" si="148"/>
        <v>0</v>
      </c>
      <c r="AI76" s="739">
        <f t="shared" si="148"/>
        <v>0</v>
      </c>
      <c r="AJ76" s="739">
        <f t="shared" si="148"/>
        <v>0</v>
      </c>
      <c r="AK76" s="739">
        <f t="shared" ref="AK76:AP76" si="149">+SUMIF($A$12:$A$47,"MARKET",AK$12:AK$56)</f>
        <v>0</v>
      </c>
      <c r="AL76" s="739">
        <f t="shared" si="149"/>
        <v>0</v>
      </c>
      <c r="AM76" s="739">
        <f t="shared" si="149"/>
        <v>0</v>
      </c>
      <c r="AN76" s="739">
        <f t="shared" si="149"/>
        <v>0</v>
      </c>
      <c r="AO76" s="739">
        <f t="shared" si="149"/>
        <v>12013</v>
      </c>
      <c r="AP76" s="739">
        <f t="shared" si="149"/>
        <v>11989.361111111111</v>
      </c>
      <c r="AR76" s="596" t="s">
        <v>70</v>
      </c>
      <c r="AS76" s="576"/>
      <c r="AT76" s="576"/>
      <c r="AU76" s="576">
        <f>+SUMIF($I$12:$I$56,"HABITAT",AT$12:AT$56)</f>
        <v>527.89226666666673</v>
      </c>
      <c r="AV76" s="576">
        <f>+SUMIF($I$12:$I$56,"HABITAT",AV$12:AV$56)</f>
        <v>0</v>
      </c>
      <c r="AW76" s="576">
        <f>+SUMIF($I$12:$I$56,"HABITAT",AX$12:AX$56)</f>
        <v>72.321240533333338</v>
      </c>
      <c r="AX76" s="576"/>
      <c r="AY76" s="595">
        <f>SUM(AS76:AX76)</f>
        <v>600.21350720000009</v>
      </c>
      <c r="BI76" s="597" t="s">
        <v>900</v>
      </c>
      <c r="BJ76" s="753">
        <v>700</v>
      </c>
      <c r="BK76" s="597" t="s">
        <v>759</v>
      </c>
      <c r="BL76" s="589"/>
      <c r="BM76" s="743"/>
      <c r="BN76" s="739">
        <f>+SUMIF($A$12:$A$47,"MARKET",BN$12:BN$56)</f>
        <v>1079.0425</v>
      </c>
      <c r="BO76" s="739">
        <f>+SUMIF($A$12:$A$47,"MARKET",BO$12:BO$56)</f>
        <v>38.5107</v>
      </c>
      <c r="BP76" s="739"/>
      <c r="BU76" s="833" t="s">
        <v>745</v>
      </c>
      <c r="BV76" s="1182">
        <v>2300</v>
      </c>
      <c r="BW76" s="833" t="s">
        <v>210</v>
      </c>
    </row>
    <row r="77" spans="1:78">
      <c r="C77" s="599"/>
      <c r="D77" s="599"/>
      <c r="E77" s="599"/>
      <c r="P77" s="828" t="s">
        <v>302</v>
      </c>
      <c r="Q77" s="823" t="s">
        <v>225</v>
      </c>
      <c r="S77" s="739">
        <f t="shared" ref="S77:AB77" si="150">+SUMIF($A$12:$A$47,"ALMACEN",S$12:S$56)</f>
        <v>8624.9333333333343</v>
      </c>
      <c r="T77" s="1258">
        <f t="shared" si="150"/>
        <v>339</v>
      </c>
      <c r="U77" s="739">
        <f t="shared" si="150"/>
        <v>0</v>
      </c>
      <c r="V77" s="739">
        <f t="shared" si="150"/>
        <v>0</v>
      </c>
      <c r="W77" s="739">
        <f t="shared" si="150"/>
        <v>0</v>
      </c>
      <c r="X77" s="739">
        <f t="shared" si="150"/>
        <v>0</v>
      </c>
      <c r="Y77" s="739">
        <f t="shared" si="150"/>
        <v>0</v>
      </c>
      <c r="Z77" s="739">
        <f t="shared" si="150"/>
        <v>0</v>
      </c>
      <c r="AA77" s="739">
        <f t="shared" si="150"/>
        <v>84.21052631578948</v>
      </c>
      <c r="AB77" s="739">
        <f t="shared" si="150"/>
        <v>0</v>
      </c>
      <c r="AC77" s="739"/>
      <c r="AD77" s="739">
        <f t="shared" ref="AD77:AJ77" si="151">+SUMIF($A$12:$A$47,"ALMACEN",AD$12:AD$56)</f>
        <v>275.06666666666666</v>
      </c>
      <c r="AE77" s="739"/>
      <c r="AF77" s="739">
        <f t="shared" si="151"/>
        <v>0</v>
      </c>
      <c r="AG77" s="739">
        <f t="shared" si="151"/>
        <v>0</v>
      </c>
      <c r="AH77" s="739">
        <f t="shared" si="151"/>
        <v>0</v>
      </c>
      <c r="AI77" s="739">
        <f t="shared" si="151"/>
        <v>0</v>
      </c>
      <c r="AJ77" s="739">
        <f t="shared" si="151"/>
        <v>0</v>
      </c>
      <c r="AK77" s="739">
        <f t="shared" ref="AK77:AP77" si="152">+SUMIF($A$12:$A$47,"ALMACEN",AK$12:AK$56)</f>
        <v>0</v>
      </c>
      <c r="AL77" s="739">
        <f t="shared" si="152"/>
        <v>0</v>
      </c>
      <c r="AM77" s="739">
        <f t="shared" si="152"/>
        <v>0</v>
      </c>
      <c r="AN77" s="739">
        <f t="shared" si="152"/>
        <v>0</v>
      </c>
      <c r="AO77" s="739">
        <f t="shared" si="152"/>
        <v>9323.21052631579</v>
      </c>
      <c r="AP77" s="739">
        <f t="shared" si="152"/>
        <v>9114.121180555554</v>
      </c>
      <c r="AR77" s="596" t="s">
        <v>290</v>
      </c>
      <c r="AS77" s="576"/>
      <c r="AT77" s="576"/>
      <c r="AU77" s="576"/>
      <c r="AV77" s="576"/>
      <c r="AW77" s="576"/>
      <c r="AX77" s="576">
        <f>+BJ66</f>
        <v>15483.10307615423</v>
      </c>
      <c r="AY77" s="595">
        <f>SUM(AS77:AX77)</f>
        <v>15483.10307615423</v>
      </c>
      <c r="BI77" s="597" t="s">
        <v>746</v>
      </c>
      <c r="BJ77" s="825">
        <v>1000</v>
      </c>
      <c r="BK77" s="597" t="s">
        <v>210</v>
      </c>
      <c r="BL77" s="589"/>
      <c r="BM77" s="743"/>
      <c r="BN77" s="739">
        <f>+SUMIF($A$12:$A$47,"ALMACEN",BN$12:BN$56)</f>
        <v>820.27090624999994</v>
      </c>
      <c r="BO77" s="739">
        <f>+SUMIF($A$12:$A$47,"ALMACEN",BO$12:BO$56)</f>
        <v>26.850700000000003</v>
      </c>
      <c r="BP77" s="739"/>
      <c r="BU77" s="833" t="s">
        <v>746</v>
      </c>
      <c r="BV77" s="1182">
        <v>1000</v>
      </c>
      <c r="BW77" s="833" t="s">
        <v>210</v>
      </c>
    </row>
    <row r="78" spans="1:78">
      <c r="AR78" s="600" t="s">
        <v>744</v>
      </c>
      <c r="AS78" s="601"/>
      <c r="AT78" s="601">
        <f>+BN63</f>
        <v>0</v>
      </c>
      <c r="AU78" s="601"/>
      <c r="AV78" s="601"/>
      <c r="AW78" s="601"/>
      <c r="AX78" s="601"/>
      <c r="AY78" s="602">
        <v>0</v>
      </c>
      <c r="BI78" s="589" t="s">
        <v>958</v>
      </c>
      <c r="BJ78" s="739">
        <f>+BL61</f>
        <v>9348.3671763843759</v>
      </c>
      <c r="BK78" s="597" t="s">
        <v>759</v>
      </c>
      <c r="BL78" s="589"/>
      <c r="BM78" s="743"/>
      <c r="BU78" s="833" t="s">
        <v>927</v>
      </c>
      <c r="BV78" s="1183">
        <v>1000</v>
      </c>
      <c r="BW78" s="833" t="s">
        <v>759</v>
      </c>
    </row>
    <row r="79" spans="1:78" ht="12.75" thickBot="1">
      <c r="S79" s="840">
        <f t="shared" ref="S79:AJ79" si="153">SUM(S69:S77)</f>
        <v>104953.66666666667</v>
      </c>
      <c r="T79" s="1259">
        <f t="shared" si="153"/>
        <v>1469</v>
      </c>
      <c r="U79" s="840"/>
      <c r="V79" s="840">
        <f t="shared" si="153"/>
        <v>29275.965177118644</v>
      </c>
      <c r="W79" s="840">
        <f t="shared" si="153"/>
        <v>3821.1264769397358</v>
      </c>
      <c r="X79" s="840">
        <f t="shared" si="153"/>
        <v>4444.5589930555561</v>
      </c>
      <c r="Y79" s="840">
        <f t="shared" si="153"/>
        <v>1513.2650625000001</v>
      </c>
      <c r="Z79" s="840">
        <f t="shared" si="153"/>
        <v>166.66666666666666</v>
      </c>
      <c r="AA79" s="840">
        <f t="shared" si="153"/>
        <v>526.31578947368428</v>
      </c>
      <c r="AB79" s="840">
        <f t="shared" si="153"/>
        <v>0</v>
      </c>
      <c r="AC79" s="840"/>
      <c r="AD79" s="840">
        <f t="shared" si="153"/>
        <v>7296.333333333333</v>
      </c>
      <c r="AE79" s="840"/>
      <c r="AF79" s="840">
        <f t="shared" si="153"/>
        <v>0</v>
      </c>
      <c r="AG79" s="840">
        <f t="shared" si="153"/>
        <v>0</v>
      </c>
      <c r="AH79" s="840">
        <f t="shared" si="153"/>
        <v>0</v>
      </c>
      <c r="AI79" s="840">
        <f t="shared" si="153"/>
        <v>0</v>
      </c>
      <c r="AJ79" s="840">
        <f t="shared" si="153"/>
        <v>1440</v>
      </c>
      <c r="AK79" s="840"/>
      <c r="AL79" s="840">
        <f>SUM(AL69:AL77)</f>
        <v>0</v>
      </c>
      <c r="AM79" s="840">
        <f>SUM(AM69:AM77)</f>
        <v>0</v>
      </c>
      <c r="AN79" s="840">
        <f>SUM(AN69:AN77)</f>
        <v>0</v>
      </c>
      <c r="AO79" s="840">
        <f>SUM(AO69:AO77)</f>
        <v>157277.1830157543</v>
      </c>
      <c r="AP79" s="840">
        <f>SUM(AP69:AP77)</f>
        <v>156110.59750405842</v>
      </c>
      <c r="AR79" s="554"/>
      <c r="AS79" s="603">
        <f>SUM(AS70:AS78)</f>
        <v>3465.8986471557446</v>
      </c>
      <c r="AT79" s="603">
        <f>SUM(AT70:AT78)</f>
        <v>15622.128169115253</v>
      </c>
      <c r="AU79" s="603">
        <f>SUM(AU70:AU78)</f>
        <v>14662.095694367232</v>
      </c>
      <c r="AV79" s="603">
        <f>SUM(AV70:AV78)</f>
        <v>517.00809024444447</v>
      </c>
      <c r="AW79" s="603">
        <f>SUM(AW70:AW78)</f>
        <v>1903.4832315253448</v>
      </c>
      <c r="AX79" s="603">
        <f t="shared" ref="AX79:AY79" si="154">SUM(AX70:AX78)</f>
        <v>15483.10307615423</v>
      </c>
      <c r="AY79" s="603">
        <f t="shared" si="154"/>
        <v>51653.716908562244</v>
      </c>
      <c r="BL79" s="589"/>
      <c r="BM79" s="743"/>
      <c r="BN79" s="840">
        <f>SUM(BN69:BN77)</f>
        <v>14049.953775365251</v>
      </c>
      <c r="BO79" s="840">
        <f t="shared" ref="BO79" si="155">SUM(BO69:BO77)</f>
        <v>306.95750000000004</v>
      </c>
      <c r="BV79" s="1183"/>
      <c r="BW79" s="832"/>
    </row>
    <row r="80" spans="1:78" ht="12.75" thickTop="1">
      <c r="BI80" s="1294"/>
      <c r="BJ80" s="825"/>
      <c r="BK80" s="1295"/>
      <c r="BL80" s="589"/>
      <c r="BM80" s="743"/>
      <c r="BV80" s="1183"/>
      <c r="BW80" s="832"/>
      <c r="BX80" s="753"/>
    </row>
    <row r="81" spans="42:81">
      <c r="AP81" s="1003">
        <f>+AP57-AP18-AP19-AP27-AP36-AP40+AP63</f>
        <v>141970.95694367235</v>
      </c>
      <c r="AQ81" s="739"/>
      <c r="AR81" s="739" t="s">
        <v>304</v>
      </c>
      <c r="AS81" s="739"/>
      <c r="AT81" s="921">
        <f>+SUMIF($BP$12:$BP$56,"EPS",BN$12:BN$56)</f>
        <v>5218.4956056847459</v>
      </c>
      <c r="AU81" s="739">
        <f>+AT82*AW81</f>
        <v>1047.9941792486238</v>
      </c>
      <c r="AV81" s="753">
        <v>3904</v>
      </c>
      <c r="AW81" s="1128">
        <f>+AV81/AV83</f>
        <v>0.80329218106995881</v>
      </c>
      <c r="AX81" s="739"/>
      <c r="AY81" s="829"/>
      <c r="BI81" s="597"/>
      <c r="BJ81" s="825"/>
      <c r="BK81" s="597"/>
      <c r="BL81" s="589"/>
      <c r="BM81" s="743"/>
      <c r="BV81" s="1183"/>
      <c r="BZ81" s="868"/>
      <c r="CC81" s="753"/>
    </row>
    <row r="82" spans="42:81" ht="12.75" thickBot="1">
      <c r="AQ82" s="739"/>
      <c r="AR82" s="589" t="s">
        <v>305</v>
      </c>
      <c r="AT82" s="1002">
        <f>+AT81*25/100</f>
        <v>1304.6239014211865</v>
      </c>
      <c r="AU82" s="1129">
        <f>+AT82*AW82</f>
        <v>256.62972217256259</v>
      </c>
      <c r="AV82" s="1129">
        <v>956</v>
      </c>
      <c r="AW82" s="1128">
        <f>+AV82/AV83</f>
        <v>0.19670781893004116</v>
      </c>
      <c r="AX82" s="739">
        <f>-AK60</f>
        <v>0</v>
      </c>
      <c r="BI82" s="597"/>
      <c r="BJ82" s="825">
        <f>SUM(BJ73:BJ81)</f>
        <v>90655.338728563904</v>
      </c>
      <c r="BK82" s="1001"/>
      <c r="BL82" s="753"/>
      <c r="BM82" s="743"/>
      <c r="BV82" s="1161"/>
      <c r="BZ82" s="753"/>
      <c r="CA82" s="999"/>
      <c r="CC82" s="753"/>
    </row>
    <row r="83" spans="42:81" ht="12.75" thickTop="1">
      <c r="AQ83" s="739"/>
      <c r="AU83" s="1130">
        <f>SUBTOTAL(9,AU81:AU82)</f>
        <v>1304.6239014211865</v>
      </c>
      <c r="AV83" s="1130">
        <f>SUBTOTAL(9,AV81:AV82)</f>
        <v>4860</v>
      </c>
      <c r="BI83" s="597"/>
      <c r="BJ83" s="823"/>
      <c r="BK83" s="597"/>
      <c r="BL83" s="589"/>
      <c r="BM83" s="743"/>
      <c r="BV83" s="1162"/>
      <c r="CA83" s="1000"/>
    </row>
    <row r="84" spans="42:81">
      <c r="AQ84" s="739"/>
      <c r="AR84" s="589" t="s">
        <v>306</v>
      </c>
      <c r="AT84" s="1003">
        <f>+AZ71-AT82</f>
        <v>-1304.6239014211865</v>
      </c>
      <c r="AX84" s="829">
        <f>+AX79+AX82</f>
        <v>15483.10307615423</v>
      </c>
      <c r="BI84" s="597"/>
      <c r="BJ84" s="825"/>
      <c r="BK84" s="778"/>
      <c r="BL84" s="753"/>
      <c r="BM84" s="743"/>
      <c r="BV84" s="825"/>
      <c r="BW84" s="918"/>
      <c r="BX84" s="743"/>
      <c r="CA84" s="1000"/>
      <c r="CC84" s="868"/>
    </row>
    <row r="85" spans="42:81">
      <c r="AQ85" s="739"/>
      <c r="BI85" s="597" t="s">
        <v>210</v>
      </c>
      <c r="BJ85" s="825">
        <f>+BJ71+BJ72+BJ77</f>
        <v>36472.252009567077</v>
      </c>
      <c r="BK85" s="778">
        <v>18000</v>
      </c>
      <c r="BL85" s="753">
        <f>+BJ85-BK85</f>
        <v>18472.252009567077</v>
      </c>
      <c r="BM85" s="1178">
        <f>+BM87-BM86</f>
        <v>22325</v>
      </c>
      <c r="BU85" s="833" t="s">
        <v>210</v>
      </c>
      <c r="BV85" s="825">
        <f>+BV77+BV76+BV71+BV72+BU59</f>
        <v>26310</v>
      </c>
      <c r="BW85" s="832"/>
      <c r="BX85" s="753">
        <f>+BX87-BX86</f>
        <v>30552</v>
      </c>
    </row>
    <row r="86" spans="42:81" ht="12.75" thickBot="1">
      <c r="AQ86" s="739"/>
      <c r="BI86" s="597" t="s">
        <v>203</v>
      </c>
      <c r="BJ86" s="825">
        <f>+BJ70+BJ76+BJ78</f>
        <v>54183.086718996827</v>
      </c>
      <c r="BK86" s="778">
        <v>32000</v>
      </c>
      <c r="BL86" s="753">
        <f>+BJ86-BK86</f>
        <v>22183.086718996827</v>
      </c>
      <c r="BM86" s="1178">
        <v>28000</v>
      </c>
      <c r="BU86" s="833" t="s">
        <v>203</v>
      </c>
      <c r="BV86" s="825">
        <f>+BV80+BV79+BV78+BV70+BV81+BU60+BU61</f>
        <v>29173.333333333332</v>
      </c>
      <c r="BW86" s="835"/>
      <c r="BX86" s="753">
        <v>30000</v>
      </c>
    </row>
    <row r="87" spans="42:81" ht="13.5" thickTop="1" thickBot="1">
      <c r="AQ87" s="739"/>
      <c r="BI87" s="740"/>
      <c r="BJ87" s="826">
        <f>SUM(BJ85:BJ86)</f>
        <v>90655.338728563904</v>
      </c>
      <c r="BK87" s="779"/>
      <c r="BL87" s="826">
        <f>+BL86+BL85</f>
        <v>40655.338728563904</v>
      </c>
      <c r="BM87" s="1418">
        <f>15000*3.355</f>
        <v>50325</v>
      </c>
      <c r="BU87" s="834"/>
      <c r="BV87" s="826">
        <f>SUM(BV85:BV86)</f>
        <v>55483.333333333328</v>
      </c>
      <c r="BX87" s="826">
        <f>18000*3.364</f>
        <v>60552</v>
      </c>
    </row>
    <row r="88" spans="42:81" ht="12.75" thickTop="1">
      <c r="AQ88" s="739"/>
      <c r="BI88" s="597"/>
      <c r="BJ88" s="823"/>
      <c r="BK88" s="597"/>
      <c r="BL88" s="589">
        <f>+BL87/3.355</f>
        <v>12117.835686606231</v>
      </c>
      <c r="BM88" s="743"/>
      <c r="BU88" s="823"/>
      <c r="BV88" s="920"/>
    </row>
    <row r="89" spans="42:81">
      <c r="BI89" s="597"/>
      <c r="BJ89" s="825"/>
      <c r="BK89" s="597"/>
      <c r="BL89" s="589"/>
      <c r="BM89" s="743"/>
      <c r="BU89" s="832"/>
      <c r="BV89" s="832">
        <f>+BV87/3.364</f>
        <v>16493.261989694805</v>
      </c>
    </row>
    <row r="90" spans="42:81">
      <c r="BM90" s="597"/>
      <c r="BU90" s="832"/>
      <c r="BV90" s="920"/>
    </row>
    <row r="91" spans="42:81">
      <c r="BP91" s="545"/>
      <c r="BU91" s="832"/>
      <c r="BV91" s="920"/>
    </row>
    <row r="92" spans="42:81">
      <c r="BP92" s="545"/>
      <c r="BU92" s="832"/>
      <c r="BV92" s="921"/>
    </row>
    <row r="93" spans="42:81">
      <c r="BP93" s="545"/>
      <c r="BV93" s="921"/>
    </row>
    <row r="94" spans="42:81">
      <c r="BJ94" s="918"/>
      <c r="BV94" s="921"/>
    </row>
    <row r="95" spans="42:81">
      <c r="BJ95" s="918"/>
    </row>
    <row r="96" spans="42:81">
      <c r="BJ96" s="918"/>
    </row>
    <row r="97" spans="62:65">
      <c r="BJ97" s="867"/>
    </row>
    <row r="98" spans="62:65">
      <c r="BJ98" s="753"/>
    </row>
    <row r="99" spans="62:65">
      <c r="BJ99" s="868"/>
    </row>
    <row r="100" spans="62:65">
      <c r="BJ100" s="868"/>
    </row>
    <row r="103" spans="62:65">
      <c r="BJ103" s="868"/>
      <c r="BL103" s="917"/>
    </row>
    <row r="104" spans="62:65">
      <c r="BJ104" s="739"/>
      <c r="BL104" s="917"/>
    </row>
    <row r="105" spans="62:65">
      <c r="BJ105" s="868"/>
      <c r="BL105" s="917"/>
    </row>
    <row r="111" spans="62:65">
      <c r="BK111" s="597"/>
      <c r="BM111" s="597"/>
    </row>
    <row r="112" spans="62:65">
      <c r="BK112" s="597"/>
      <c r="BM112" s="597"/>
    </row>
    <row r="113" spans="63:65">
      <c r="BK113" s="597"/>
      <c r="BM113" s="597"/>
    </row>
    <row r="114" spans="63:65">
      <c r="BK114" s="597"/>
      <c r="BM114" s="597"/>
    </row>
    <row r="115" spans="63:65">
      <c r="BK115" s="597"/>
      <c r="BM115" s="597"/>
    </row>
    <row r="1048575" spans="75:75">
      <c r="BW1048575" s="833" t="s">
        <v>203</v>
      </c>
    </row>
  </sheetData>
  <autoFilter ref="A11:EZ61" xr:uid="{00000000-0001-0000-0300-000000000000}"/>
  <mergeCells count="13">
    <mergeCell ref="BI69:BL69"/>
    <mergeCell ref="BU10:BW10"/>
    <mergeCell ref="S8:AN8"/>
    <mergeCell ref="BM8:BN8"/>
    <mergeCell ref="AQ8:BJ8"/>
    <mergeCell ref="Z9:Z11"/>
    <mergeCell ref="AQ9:AR9"/>
    <mergeCell ref="BM9:BN9"/>
    <mergeCell ref="AS10:AT10"/>
    <mergeCell ref="AU10:AV10"/>
    <mergeCell ref="AW10:AX10"/>
    <mergeCell ref="AY10:AZ10"/>
    <mergeCell ref="AS9:AZ9"/>
  </mergeCells>
  <phoneticPr fontId="40" type="noConversion"/>
  <conditionalFormatting sqref="C15:C25 C27:C48">
    <cfRule type="duplicateValues" dxfId="15" priority="14"/>
  </conditionalFormatting>
  <conditionalFormatting sqref="C26">
    <cfRule type="duplicateValues" dxfId="14" priority="2"/>
  </conditionalFormatting>
  <conditionalFormatting sqref="C63">
    <cfRule type="duplicateValues" dxfId="13" priority="4"/>
  </conditionalFormatting>
  <pageMargins left="0.23622047244094491" right="0.23622047244094491" top="0.31496062992125984" bottom="0.23622047244094491" header="0.31496062992125984" footer="0.31496062992125984"/>
  <pageSetup paperSize="9" scale="73" fitToHeight="0" orientation="landscape" r:id="rId1"/>
  <ignoredErrors>
    <ignoredError sqref="S26 P26" formula="1"/>
    <ignoredError sqref="W34:W35 W18" formulaRange="1"/>
    <ignoredError sqref="D33 D14:D21 D23:D3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51EB-1AAB-4C8C-AD2C-2467876CF7D4}">
  <dimension ref="A2:J4"/>
  <sheetViews>
    <sheetView workbookViewId="0">
      <selection activeCell="E3" sqref="E3"/>
    </sheetView>
  </sheetViews>
  <sheetFormatPr baseColWidth="10" defaultColWidth="9.140625" defaultRowHeight="15"/>
  <cols>
    <col min="1" max="1" width="32.140625" bestFit="1" customWidth="1"/>
    <col min="2" max="2" width="9" bestFit="1" customWidth="1"/>
    <col min="3" max="3" width="19.85546875" customWidth="1"/>
    <col min="4" max="4" width="21.7109375" customWidth="1"/>
    <col min="5" max="5" width="10.140625" customWidth="1"/>
    <col min="6" max="6" width="18.42578125" customWidth="1"/>
    <col min="7" max="7" width="15.5703125" customWidth="1"/>
    <col min="8" max="8" width="19.140625" customWidth="1"/>
    <col min="9" max="9" width="16.42578125" customWidth="1"/>
    <col min="10" max="10" width="42.85546875" bestFit="1" customWidth="1"/>
  </cols>
  <sheetData>
    <row r="2" spans="1:10">
      <c r="A2" s="1372" t="s">
        <v>317</v>
      </c>
      <c r="B2" s="158" t="s">
        <v>949</v>
      </c>
      <c r="C2" s="158" t="s">
        <v>429</v>
      </c>
      <c r="D2" s="158" t="s">
        <v>948</v>
      </c>
      <c r="E2" s="158" t="s">
        <v>947</v>
      </c>
      <c r="F2" s="158" t="s">
        <v>946</v>
      </c>
      <c r="G2" s="158" t="s">
        <v>945</v>
      </c>
      <c r="H2" s="158" t="s">
        <v>944</v>
      </c>
      <c r="I2" s="158" t="s">
        <v>943</v>
      </c>
      <c r="J2" s="1371" t="s">
        <v>942</v>
      </c>
    </row>
    <row r="3" spans="1:10">
      <c r="A3" s="1370" t="s">
        <v>245</v>
      </c>
      <c r="B3" s="1369">
        <v>25849757</v>
      </c>
      <c r="C3" s="1368">
        <v>45341</v>
      </c>
      <c r="D3" s="1367">
        <v>46241</v>
      </c>
      <c r="E3" s="158">
        <v>1400</v>
      </c>
      <c r="F3" s="158">
        <v>350</v>
      </c>
      <c r="G3" s="158">
        <v>4</v>
      </c>
      <c r="H3" s="1367">
        <v>46265</v>
      </c>
      <c r="I3" s="1367">
        <v>46325</v>
      </c>
    </row>
    <row r="4" spans="1:10">
      <c r="A4" s="1366" t="s">
        <v>250</v>
      </c>
      <c r="B4" s="1085">
        <v>45418</v>
      </c>
      <c r="C4" s="1085">
        <v>45418</v>
      </c>
      <c r="D4" s="1365">
        <v>46254</v>
      </c>
      <c r="E4" s="171">
        <v>2500</v>
      </c>
      <c r="F4" s="171">
        <v>500</v>
      </c>
      <c r="G4" s="171">
        <v>5</v>
      </c>
      <c r="H4" s="1365">
        <v>46295</v>
      </c>
      <c r="I4" s="1365">
        <v>46387</v>
      </c>
      <c r="J4" t="s">
        <v>941</v>
      </c>
    </row>
  </sheetData>
  <conditionalFormatting sqref="A3:A4">
    <cfRule type="duplicateValues" dxfId="12" priority="2"/>
  </conditionalFormatting>
  <conditionalFormatting sqref="A4">
    <cfRule type="duplicateValues" dxfId="11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673A-3AD3-4F7A-95A6-4D40523FE7FF}">
  <dimension ref="A1:S49"/>
  <sheetViews>
    <sheetView topLeftCell="A3" workbookViewId="0">
      <pane ySplit="1" topLeftCell="A5" activePane="bottomLeft" state="frozen"/>
      <selection activeCell="A3" sqref="A3"/>
      <selection pane="bottomLeft" activeCell="A31" sqref="A31:XFD31"/>
    </sheetView>
  </sheetViews>
  <sheetFormatPr baseColWidth="10" defaultColWidth="11.42578125" defaultRowHeight="12"/>
  <cols>
    <col min="1" max="1" width="11.42578125" style="589"/>
    <col min="2" max="2" width="3.7109375" style="589" customWidth="1"/>
    <col min="3" max="3" width="37" style="589" customWidth="1"/>
    <col min="4" max="4" width="11.42578125" style="589"/>
    <col min="5" max="6" width="9.7109375" style="589" customWidth="1"/>
    <col min="7" max="7" width="10.42578125" style="589" customWidth="1"/>
    <col min="8" max="10" width="12.140625" style="992" customWidth="1"/>
    <col min="11" max="16384" width="11.42578125" style="589"/>
  </cols>
  <sheetData>
    <row r="1" spans="1:15">
      <c r="A1" s="845"/>
      <c r="B1" s="845"/>
      <c r="C1" s="845"/>
      <c r="D1" s="845"/>
      <c r="E1" s="845"/>
      <c r="F1" s="845"/>
      <c r="G1" s="845"/>
      <c r="H1" s="990"/>
      <c r="I1" s="990"/>
      <c r="J1" s="990"/>
      <c r="K1" s="845"/>
      <c r="L1" s="845"/>
      <c r="M1" s="845"/>
      <c r="N1" s="845"/>
      <c r="O1" s="845"/>
    </row>
    <row r="2" spans="1:15" ht="12.75" thickBot="1">
      <c r="A2" s="845"/>
      <c r="B2" s="845"/>
      <c r="C2" s="845"/>
      <c r="D2" s="845"/>
      <c r="E2" s="845"/>
      <c r="F2" s="845"/>
      <c r="G2" s="845"/>
      <c r="H2" s="990"/>
      <c r="I2" s="990"/>
      <c r="J2" s="990"/>
      <c r="K2" s="845"/>
      <c r="L2" s="845"/>
      <c r="M2" s="845"/>
      <c r="N2" s="845"/>
      <c r="O2" s="845"/>
    </row>
    <row r="3" spans="1:15">
      <c r="A3" s="845"/>
      <c r="B3" s="845"/>
      <c r="C3" s="845"/>
      <c r="D3" s="854" t="s">
        <v>125</v>
      </c>
      <c r="E3" s="854"/>
      <c r="F3" s="854"/>
      <c r="G3" s="854" t="s">
        <v>125</v>
      </c>
      <c r="H3" s="987"/>
      <c r="I3" s="987"/>
      <c r="J3" s="987"/>
      <c r="K3" s="856"/>
      <c r="L3" s="857"/>
      <c r="M3" s="857"/>
      <c r="N3" s="857"/>
      <c r="O3" s="845"/>
    </row>
    <row r="4" spans="1:15" ht="36">
      <c r="A4" s="845"/>
      <c r="B4" s="845"/>
      <c r="C4" s="845"/>
      <c r="D4" s="859" t="s">
        <v>492</v>
      </c>
      <c r="E4" s="1191" t="s">
        <v>767</v>
      </c>
      <c r="F4" s="859"/>
      <c r="G4" s="859" t="s">
        <v>492</v>
      </c>
      <c r="H4" s="1223">
        <v>0.25</v>
      </c>
      <c r="I4" s="1223">
        <v>0.35</v>
      </c>
      <c r="J4" s="988" t="s">
        <v>787</v>
      </c>
      <c r="K4" s="859" t="s">
        <v>495</v>
      </c>
      <c r="L4" s="860" t="s">
        <v>780</v>
      </c>
      <c r="M4" s="860" t="s">
        <v>781</v>
      </c>
      <c r="N4" s="860" t="s">
        <v>782</v>
      </c>
      <c r="O4" s="845"/>
    </row>
    <row r="5" spans="1:15">
      <c r="A5" s="845"/>
      <c r="B5" s="851" t="s">
        <v>425</v>
      </c>
      <c r="C5" s="851" t="s">
        <v>317</v>
      </c>
      <c r="D5" s="1192"/>
      <c r="E5" s="1192"/>
      <c r="F5" s="1192"/>
      <c r="G5" s="1192"/>
      <c r="H5" s="1193" t="s">
        <v>133</v>
      </c>
      <c r="I5" s="1193" t="s">
        <v>133</v>
      </c>
      <c r="J5" s="1193" t="s">
        <v>442</v>
      </c>
      <c r="K5" s="1194" t="s">
        <v>133</v>
      </c>
      <c r="L5" s="1195"/>
      <c r="M5" s="1195"/>
      <c r="N5" s="1195"/>
      <c r="O5" s="845"/>
    </row>
    <row r="6" spans="1:15">
      <c r="A6" s="845"/>
      <c r="B6" s="1188">
        <v>1</v>
      </c>
      <c r="C6" s="1201" t="s">
        <v>201</v>
      </c>
      <c r="D6" s="1189">
        <v>13000</v>
      </c>
      <c r="E6" s="1189">
        <v>113</v>
      </c>
      <c r="F6" s="986"/>
      <c r="G6" s="986">
        <f>+D6+E6</f>
        <v>13113</v>
      </c>
      <c r="H6" s="989"/>
      <c r="I6" s="989"/>
      <c r="J6" s="989"/>
      <c r="K6" s="852">
        <f t="shared" ref="K6:K49" si="0">SUM(H6:I6)</f>
        <v>0</v>
      </c>
      <c r="L6" s="1224">
        <f>((G6/30)/8)*H6*1.25</f>
        <v>0</v>
      </c>
      <c r="M6" s="1224">
        <f>((G6/30)/8)*I6*1.35</f>
        <v>0</v>
      </c>
      <c r="N6" s="1224">
        <f t="shared" ref="N6:N7" si="1">((G6/30))*J6*2</f>
        <v>0</v>
      </c>
      <c r="O6" s="844"/>
    </row>
    <row r="7" spans="1:15">
      <c r="A7" s="845"/>
      <c r="B7" s="1188">
        <f>+B6+1</f>
        <v>2</v>
      </c>
      <c r="C7" s="1201" t="s">
        <v>205</v>
      </c>
      <c r="D7" s="1189">
        <v>6500</v>
      </c>
      <c r="E7" s="1189">
        <v>113</v>
      </c>
      <c r="F7" s="986"/>
      <c r="G7" s="986">
        <f t="shared" ref="G7:G49" si="2">+D7+E7</f>
        <v>6613</v>
      </c>
      <c r="H7" s="1061"/>
      <c r="I7" s="1061"/>
      <c r="J7" s="1061"/>
      <c r="K7" s="852">
        <f t="shared" si="0"/>
        <v>0</v>
      </c>
      <c r="L7" s="1224">
        <f t="shared" ref="L7:L47" si="3">((G7/30)/8)*H7*1.25</f>
        <v>0</v>
      </c>
      <c r="M7" s="1224">
        <f t="shared" ref="M7:M47" si="4">((G7/30)/8)*I7*1.35</f>
        <v>0</v>
      </c>
      <c r="N7" s="1224">
        <f t="shared" si="1"/>
        <v>0</v>
      </c>
      <c r="O7" s="844"/>
    </row>
    <row r="8" spans="1:15">
      <c r="A8" s="845"/>
      <c r="B8" s="1188">
        <f t="shared" ref="B8:B49" si="5">+B7+1</f>
        <v>3</v>
      </c>
      <c r="C8" s="1201" t="s">
        <v>208</v>
      </c>
      <c r="D8" s="1189">
        <v>4000</v>
      </c>
      <c r="E8" s="1189">
        <v>113</v>
      </c>
      <c r="F8" s="998"/>
      <c r="G8" s="986">
        <f t="shared" si="2"/>
        <v>4113</v>
      </c>
      <c r="H8" s="1061"/>
      <c r="I8" s="1061"/>
      <c r="J8" s="1061"/>
      <c r="K8" s="852">
        <f t="shared" si="0"/>
        <v>0</v>
      </c>
      <c r="L8" s="1224">
        <f t="shared" si="3"/>
        <v>0</v>
      </c>
      <c r="M8" s="1224">
        <f t="shared" si="4"/>
        <v>0</v>
      </c>
      <c r="N8" s="1224">
        <f>((G8/30))*J8*2</f>
        <v>0</v>
      </c>
      <c r="O8" s="844"/>
    </row>
    <row r="9" spans="1:15">
      <c r="A9" s="845"/>
      <c r="B9" s="1188">
        <f t="shared" si="5"/>
        <v>4</v>
      </c>
      <c r="C9" s="1201" t="s">
        <v>211</v>
      </c>
      <c r="D9" s="1189">
        <v>4000</v>
      </c>
      <c r="E9" s="1189">
        <v>113</v>
      </c>
      <c r="F9" s="998"/>
      <c r="G9" s="986">
        <f t="shared" si="2"/>
        <v>4113</v>
      </c>
      <c r="H9" s="1061"/>
      <c r="I9" s="1061"/>
      <c r="J9" s="1061"/>
      <c r="K9" s="852">
        <f t="shared" si="0"/>
        <v>0</v>
      </c>
      <c r="L9" s="1224">
        <f t="shared" si="3"/>
        <v>0</v>
      </c>
      <c r="M9" s="1224">
        <f t="shared" si="4"/>
        <v>0</v>
      </c>
      <c r="N9" s="1224">
        <f t="shared" ref="N9:N47" si="6">((G9/30))*J9*2</f>
        <v>0</v>
      </c>
      <c r="O9" s="844"/>
    </row>
    <row r="10" spans="1:15">
      <c r="A10" s="845"/>
      <c r="B10" s="1188">
        <f t="shared" si="5"/>
        <v>5</v>
      </c>
      <c r="C10" s="1201" t="s">
        <v>214</v>
      </c>
      <c r="D10" s="1189">
        <v>3600</v>
      </c>
      <c r="E10" s="1189"/>
      <c r="F10" s="986"/>
      <c r="G10" s="986">
        <f t="shared" si="2"/>
        <v>3600</v>
      </c>
      <c r="H10" s="1061"/>
      <c r="I10" s="1061"/>
      <c r="J10" s="1061"/>
      <c r="K10" s="852">
        <f t="shared" si="0"/>
        <v>0</v>
      </c>
      <c r="L10" s="1224">
        <f t="shared" si="3"/>
        <v>0</v>
      </c>
      <c r="M10" s="1224">
        <f t="shared" si="4"/>
        <v>0</v>
      </c>
      <c r="N10" s="1224">
        <f t="shared" si="6"/>
        <v>0</v>
      </c>
      <c r="O10" s="844"/>
    </row>
    <row r="11" spans="1:15">
      <c r="A11" s="845"/>
      <c r="B11" s="1188">
        <f t="shared" si="5"/>
        <v>6</v>
      </c>
      <c r="C11" s="1006" t="s">
        <v>217</v>
      </c>
      <c r="D11" s="1189">
        <v>6500</v>
      </c>
      <c r="E11" s="1189">
        <v>113</v>
      </c>
      <c r="F11" s="986"/>
      <c r="G11" s="986">
        <f t="shared" si="2"/>
        <v>6613</v>
      </c>
      <c r="H11" s="1061"/>
      <c r="I11" s="1061"/>
      <c r="J11" s="1061"/>
      <c r="K11" s="852">
        <f t="shared" si="0"/>
        <v>0</v>
      </c>
      <c r="L11" s="1224">
        <f t="shared" si="3"/>
        <v>0</v>
      </c>
      <c r="M11" s="1224">
        <f t="shared" si="4"/>
        <v>0</v>
      </c>
      <c r="N11" s="1224">
        <f t="shared" si="6"/>
        <v>0</v>
      </c>
      <c r="O11" s="844"/>
    </row>
    <row r="12" spans="1:15">
      <c r="A12" s="845"/>
      <c r="B12" s="1188">
        <f t="shared" si="5"/>
        <v>7</v>
      </c>
      <c r="C12" s="1006" t="s">
        <v>219</v>
      </c>
      <c r="D12" s="1189">
        <v>4500</v>
      </c>
      <c r="E12" s="1189">
        <v>113</v>
      </c>
      <c r="F12" s="986"/>
      <c r="G12" s="986">
        <f t="shared" si="2"/>
        <v>4613</v>
      </c>
      <c r="H12" s="1061"/>
      <c r="I12" s="1061"/>
      <c r="J12" s="1061"/>
      <c r="K12" s="852">
        <f t="shared" si="0"/>
        <v>0</v>
      </c>
      <c r="L12" s="1224">
        <f t="shared" si="3"/>
        <v>0</v>
      </c>
      <c r="M12" s="1224">
        <f t="shared" si="4"/>
        <v>0</v>
      </c>
      <c r="N12" s="1224">
        <f t="shared" si="6"/>
        <v>0</v>
      </c>
      <c r="O12" s="844"/>
    </row>
    <row r="13" spans="1:15">
      <c r="A13" s="845"/>
      <c r="B13" s="1188">
        <f t="shared" si="5"/>
        <v>8</v>
      </c>
      <c r="C13" s="1198" t="s">
        <v>221</v>
      </c>
      <c r="D13" s="1189">
        <v>2800</v>
      </c>
      <c r="E13" s="1189"/>
      <c r="F13" s="986"/>
      <c r="G13" s="986">
        <f t="shared" si="2"/>
        <v>2800</v>
      </c>
      <c r="H13" s="1061"/>
      <c r="I13" s="1061"/>
      <c r="J13" s="1061"/>
      <c r="K13" s="852">
        <f t="shared" si="0"/>
        <v>0</v>
      </c>
      <c r="L13" s="1224">
        <f t="shared" si="3"/>
        <v>0</v>
      </c>
      <c r="M13" s="1224">
        <f t="shared" si="4"/>
        <v>0</v>
      </c>
      <c r="N13" s="1224">
        <f t="shared" si="6"/>
        <v>0</v>
      </c>
      <c r="O13" s="844"/>
    </row>
    <row r="14" spans="1:15">
      <c r="A14" s="845"/>
      <c r="B14" s="1199">
        <f t="shared" si="5"/>
        <v>9</v>
      </c>
      <c r="C14" s="1198" t="s">
        <v>223</v>
      </c>
      <c r="D14" s="1189">
        <v>2600</v>
      </c>
      <c r="E14" s="1200"/>
      <c r="F14" s="986"/>
      <c r="G14" s="986">
        <f t="shared" si="2"/>
        <v>2600</v>
      </c>
      <c r="H14" s="1061"/>
      <c r="I14" s="1061"/>
      <c r="J14" s="1061"/>
      <c r="K14" s="852">
        <f t="shared" si="0"/>
        <v>0</v>
      </c>
      <c r="L14" s="1224">
        <f t="shared" si="3"/>
        <v>0</v>
      </c>
      <c r="M14" s="1224">
        <f t="shared" si="4"/>
        <v>0</v>
      </c>
      <c r="N14" s="1224">
        <f t="shared" si="6"/>
        <v>0</v>
      </c>
      <c r="O14" s="844"/>
    </row>
    <row r="15" spans="1:15">
      <c r="A15" s="845"/>
      <c r="B15" s="1188">
        <f t="shared" si="5"/>
        <v>10</v>
      </c>
      <c r="C15" s="1198" t="s">
        <v>226</v>
      </c>
      <c r="D15" s="1189">
        <v>2200</v>
      </c>
      <c r="E15" s="1189">
        <v>113</v>
      </c>
      <c r="F15" s="986"/>
      <c r="G15" s="986">
        <f t="shared" si="2"/>
        <v>2313</v>
      </c>
      <c r="H15" s="1253"/>
      <c r="I15" s="1253"/>
      <c r="J15" s="1253"/>
      <c r="K15" s="852">
        <f t="shared" si="0"/>
        <v>0</v>
      </c>
      <c r="L15" s="1224">
        <f t="shared" si="3"/>
        <v>0</v>
      </c>
      <c r="M15" s="1224">
        <f t="shared" si="4"/>
        <v>0</v>
      </c>
      <c r="N15" s="1224">
        <f t="shared" si="6"/>
        <v>0</v>
      </c>
      <c r="O15" s="844"/>
    </row>
    <row r="16" spans="1:15">
      <c r="A16" s="845"/>
      <c r="B16" s="1188">
        <f t="shared" si="5"/>
        <v>11</v>
      </c>
      <c r="C16" s="1006" t="s">
        <v>228</v>
      </c>
      <c r="D16" s="1189">
        <v>3800</v>
      </c>
      <c r="E16" s="1189">
        <v>113</v>
      </c>
      <c r="F16" s="986"/>
      <c r="G16" s="986">
        <f t="shared" si="2"/>
        <v>3913</v>
      </c>
      <c r="H16" s="1061"/>
      <c r="I16" s="1061"/>
      <c r="J16" s="1061"/>
      <c r="K16" s="852">
        <f t="shared" si="0"/>
        <v>0</v>
      </c>
      <c r="L16" s="1224">
        <f t="shared" si="3"/>
        <v>0</v>
      </c>
      <c r="M16" s="1224">
        <f t="shared" si="4"/>
        <v>0</v>
      </c>
      <c r="N16" s="1224">
        <f t="shared" si="6"/>
        <v>0</v>
      </c>
      <c r="O16" s="844"/>
    </row>
    <row r="17" spans="1:19">
      <c r="A17" s="845"/>
      <c r="B17" s="1188">
        <f t="shared" si="5"/>
        <v>12</v>
      </c>
      <c r="C17" s="1006" t="s">
        <v>230</v>
      </c>
      <c r="D17" s="1189">
        <v>1500</v>
      </c>
      <c r="E17" s="1189">
        <v>113</v>
      </c>
      <c r="F17" s="986"/>
      <c r="G17" s="986">
        <f t="shared" si="2"/>
        <v>1613</v>
      </c>
      <c r="H17" s="1061"/>
      <c r="I17" s="1061"/>
      <c r="J17" s="1061"/>
      <c r="K17" s="852">
        <f t="shared" si="0"/>
        <v>0</v>
      </c>
      <c r="L17" s="1224">
        <f t="shared" si="3"/>
        <v>0</v>
      </c>
      <c r="M17" s="1224">
        <f t="shared" si="4"/>
        <v>0</v>
      </c>
      <c r="N17" s="1224">
        <f t="shared" si="6"/>
        <v>0</v>
      </c>
      <c r="O17" s="844"/>
    </row>
    <row r="18" spans="1:19">
      <c r="A18" s="845"/>
      <c r="B18" s="1188">
        <f t="shared" si="5"/>
        <v>13</v>
      </c>
      <c r="C18" s="1006" t="s">
        <v>241</v>
      </c>
      <c r="D18" s="1189">
        <v>3000</v>
      </c>
      <c r="E18" s="1189"/>
      <c r="F18" s="986"/>
      <c r="G18" s="986">
        <f t="shared" si="2"/>
        <v>3000</v>
      </c>
      <c r="H18" s="1061"/>
      <c r="I18" s="1061"/>
      <c r="J18" s="1061"/>
      <c r="K18" s="852">
        <f t="shared" si="0"/>
        <v>0</v>
      </c>
      <c r="L18" s="1224">
        <v>3109.38</v>
      </c>
      <c r="M18" s="1224">
        <v>715.5</v>
      </c>
      <c r="N18" s="1224">
        <f t="shared" si="6"/>
        <v>0</v>
      </c>
      <c r="O18" s="844"/>
      <c r="S18" s="1302"/>
    </row>
    <row r="19" spans="1:19">
      <c r="A19" s="845"/>
      <c r="B19" s="1188">
        <f t="shared" si="5"/>
        <v>14</v>
      </c>
      <c r="C19" s="1201" t="s">
        <v>243</v>
      </c>
      <c r="D19" s="1189">
        <v>3200</v>
      </c>
      <c r="E19" s="1189"/>
      <c r="F19" s="986"/>
      <c r="G19" s="986">
        <f t="shared" si="2"/>
        <v>3200</v>
      </c>
      <c r="H19" s="1061"/>
      <c r="I19" s="1061"/>
      <c r="J19" s="1061"/>
      <c r="K19" s="852">
        <f t="shared" si="0"/>
        <v>0</v>
      </c>
      <c r="L19" s="1224">
        <f t="shared" si="3"/>
        <v>0</v>
      </c>
      <c r="M19" s="1224">
        <f t="shared" si="4"/>
        <v>0</v>
      </c>
      <c r="N19" s="1224">
        <f t="shared" si="6"/>
        <v>0</v>
      </c>
      <c r="O19" s="844"/>
      <c r="S19" s="1302"/>
    </row>
    <row r="20" spans="1:19">
      <c r="A20" s="845"/>
      <c r="B20" s="1188">
        <f t="shared" si="5"/>
        <v>15</v>
      </c>
      <c r="C20" s="1006" t="s">
        <v>245</v>
      </c>
      <c r="D20" s="1189">
        <v>2800</v>
      </c>
      <c r="E20" s="1189">
        <v>113</v>
      </c>
      <c r="F20" s="986"/>
      <c r="G20" s="986">
        <f t="shared" si="2"/>
        <v>2913</v>
      </c>
      <c r="H20" s="1061"/>
      <c r="I20" s="1061"/>
      <c r="J20" s="1061"/>
      <c r="K20" s="852">
        <f t="shared" si="0"/>
        <v>0</v>
      </c>
      <c r="L20" s="1224">
        <f t="shared" si="3"/>
        <v>0</v>
      </c>
      <c r="M20" s="1224">
        <f t="shared" si="4"/>
        <v>0</v>
      </c>
      <c r="N20" s="1224">
        <f t="shared" si="6"/>
        <v>0</v>
      </c>
      <c r="O20" s="844"/>
      <c r="S20" s="1302"/>
    </row>
    <row r="21" spans="1:19">
      <c r="A21" s="845"/>
      <c r="B21" s="1188">
        <f t="shared" si="5"/>
        <v>16</v>
      </c>
      <c r="C21" s="1201" t="s">
        <v>248</v>
      </c>
      <c r="D21" s="1189">
        <v>1200</v>
      </c>
      <c r="E21" s="1189"/>
      <c r="F21" s="986"/>
      <c r="G21" s="986">
        <f t="shared" si="2"/>
        <v>1200</v>
      </c>
      <c r="H21" s="1253"/>
      <c r="I21" s="1253"/>
      <c r="J21" s="1061"/>
      <c r="K21" s="852">
        <f t="shared" si="0"/>
        <v>0</v>
      </c>
      <c r="L21" s="1224">
        <f t="shared" si="3"/>
        <v>0</v>
      </c>
      <c r="M21" s="1224">
        <f t="shared" si="4"/>
        <v>0</v>
      </c>
      <c r="N21" s="1224">
        <f t="shared" si="6"/>
        <v>0</v>
      </c>
      <c r="O21" s="844"/>
      <c r="S21" s="1302"/>
    </row>
    <row r="22" spans="1:19">
      <c r="A22" s="845"/>
      <c r="B22" s="1188">
        <f t="shared" si="5"/>
        <v>17</v>
      </c>
      <c r="C22" s="1201" t="s">
        <v>250</v>
      </c>
      <c r="D22" s="1189">
        <v>2800</v>
      </c>
      <c r="E22" s="1189"/>
      <c r="F22" s="986"/>
      <c r="G22" s="986">
        <f t="shared" si="2"/>
        <v>2800</v>
      </c>
      <c r="H22" s="1061"/>
      <c r="I22" s="1061"/>
      <c r="J22" s="1061"/>
      <c r="K22" s="852">
        <f t="shared" si="0"/>
        <v>0</v>
      </c>
      <c r="L22" s="1224">
        <f t="shared" si="3"/>
        <v>0</v>
      </c>
      <c r="M22" s="1224">
        <f t="shared" si="4"/>
        <v>0</v>
      </c>
      <c r="N22" s="1224">
        <f t="shared" si="6"/>
        <v>0</v>
      </c>
      <c r="O22" s="844"/>
    </row>
    <row r="23" spans="1:19">
      <c r="A23" s="845"/>
      <c r="B23" s="1188">
        <f t="shared" si="5"/>
        <v>18</v>
      </c>
      <c r="C23" s="1201" t="s">
        <v>252</v>
      </c>
      <c r="D23" s="1189">
        <v>2800</v>
      </c>
      <c r="E23" s="1189"/>
      <c r="F23" s="986"/>
      <c r="G23" s="986">
        <f t="shared" si="2"/>
        <v>2800</v>
      </c>
      <c r="H23" s="1061"/>
      <c r="I23" s="1061"/>
      <c r="J23" s="1061"/>
      <c r="K23" s="852">
        <f t="shared" si="0"/>
        <v>0</v>
      </c>
      <c r="L23" s="1224">
        <f>((G23/30)/8)*H23*1.25</f>
        <v>0</v>
      </c>
      <c r="M23" s="1224">
        <f t="shared" si="4"/>
        <v>0</v>
      </c>
      <c r="N23" s="1224">
        <f t="shared" si="6"/>
        <v>0</v>
      </c>
      <c r="O23" s="844"/>
    </row>
    <row r="24" spans="1:19">
      <c r="A24" s="845"/>
      <c r="B24" s="1188">
        <f t="shared" si="5"/>
        <v>19</v>
      </c>
      <c r="C24" s="1201" t="s">
        <v>255</v>
      </c>
      <c r="D24" s="1189">
        <v>2500</v>
      </c>
      <c r="E24" s="1189"/>
      <c r="F24" s="986"/>
      <c r="G24" s="986">
        <f t="shared" si="2"/>
        <v>2500</v>
      </c>
      <c r="H24" s="864">
        <f>(14*60+12)/60</f>
        <v>14.2</v>
      </c>
      <c r="I24" s="1375">
        <f>(8*60+45)/60</f>
        <v>8.75</v>
      </c>
      <c r="J24" s="1061"/>
      <c r="K24" s="852">
        <f t="shared" si="0"/>
        <v>22.95</v>
      </c>
      <c r="L24" s="1224">
        <f t="shared" si="3"/>
        <v>184.89583333333331</v>
      </c>
      <c r="M24" s="1224">
        <f t="shared" si="4"/>
        <v>123.046875</v>
      </c>
      <c r="N24" s="1224">
        <f t="shared" si="6"/>
        <v>0</v>
      </c>
      <c r="O24" s="844"/>
    </row>
    <row r="25" spans="1:19">
      <c r="A25" s="845"/>
      <c r="B25" s="1188">
        <f t="shared" si="5"/>
        <v>20</v>
      </c>
      <c r="C25" s="1201" t="s">
        <v>258</v>
      </c>
      <c r="D25" s="1189">
        <v>2500</v>
      </c>
      <c r="E25" s="1189"/>
      <c r="F25" s="986"/>
      <c r="G25" s="986">
        <f t="shared" si="2"/>
        <v>2500</v>
      </c>
      <c r="H25" s="864">
        <f>(8*60+40)/60</f>
        <v>8.6666666666666661</v>
      </c>
      <c r="I25" s="864">
        <f>(6*60+20)/60</f>
        <v>6.333333333333333</v>
      </c>
      <c r="J25" s="864">
        <v>1</v>
      </c>
      <c r="K25" s="852">
        <f t="shared" si="0"/>
        <v>15</v>
      </c>
      <c r="L25" s="1224">
        <f t="shared" si="3"/>
        <v>112.84722222222221</v>
      </c>
      <c r="M25" s="1224">
        <f t="shared" si="4"/>
        <v>89.0625</v>
      </c>
      <c r="N25" s="1224">
        <f>((G25/30))*J25*2</f>
        <v>166.66666666666666</v>
      </c>
      <c r="O25" s="844"/>
    </row>
    <row r="26" spans="1:19">
      <c r="A26" s="845"/>
      <c r="B26" s="1188">
        <f t="shared" si="5"/>
        <v>21</v>
      </c>
      <c r="C26" s="1201" t="s">
        <v>260</v>
      </c>
      <c r="D26" s="1189">
        <v>2500</v>
      </c>
      <c r="E26" s="1200"/>
      <c r="F26" s="986"/>
      <c r="G26" s="986">
        <f t="shared" si="2"/>
        <v>2500</v>
      </c>
      <c r="H26" s="1061"/>
      <c r="I26" s="1061"/>
      <c r="J26" s="1061"/>
      <c r="K26" s="852">
        <f t="shared" si="0"/>
        <v>0</v>
      </c>
      <c r="L26" s="1224">
        <f t="shared" si="3"/>
        <v>0</v>
      </c>
      <c r="M26" s="1224">
        <f t="shared" si="4"/>
        <v>0</v>
      </c>
      <c r="N26" s="1224">
        <f t="shared" si="6"/>
        <v>0</v>
      </c>
      <c r="O26" s="844"/>
    </row>
    <row r="27" spans="1:19">
      <c r="A27" s="845"/>
      <c r="B27" s="1188">
        <f t="shared" si="5"/>
        <v>22</v>
      </c>
      <c r="C27" s="1201" t="s">
        <v>264</v>
      </c>
      <c r="D27" s="1189">
        <v>2800</v>
      </c>
      <c r="E27" s="1189"/>
      <c r="F27" s="986"/>
      <c r="G27" s="986">
        <f t="shared" si="2"/>
        <v>2800</v>
      </c>
      <c r="H27" s="1253"/>
      <c r="I27" s="1253"/>
      <c r="J27" s="1061"/>
      <c r="K27" s="852">
        <f t="shared" si="0"/>
        <v>0</v>
      </c>
      <c r="L27" s="1224">
        <f t="shared" si="3"/>
        <v>0</v>
      </c>
      <c r="M27" s="1224">
        <f t="shared" si="4"/>
        <v>0</v>
      </c>
      <c r="N27" s="1224">
        <f t="shared" si="6"/>
        <v>0</v>
      </c>
      <c r="O27" s="844"/>
    </row>
    <row r="28" spans="1:19">
      <c r="A28" s="845"/>
      <c r="B28" s="1188">
        <f t="shared" si="5"/>
        <v>23</v>
      </c>
      <c r="C28" s="1201" t="s">
        <v>266</v>
      </c>
      <c r="D28" s="1189">
        <v>2500</v>
      </c>
      <c r="E28" s="1189"/>
      <c r="F28" s="986"/>
      <c r="G28" s="986">
        <f t="shared" si="2"/>
        <v>2500</v>
      </c>
      <c r="H28" s="1253"/>
      <c r="I28" s="1253"/>
      <c r="J28" s="1061"/>
      <c r="K28" s="852">
        <f t="shared" si="0"/>
        <v>0</v>
      </c>
      <c r="L28" s="1224">
        <f t="shared" si="3"/>
        <v>0</v>
      </c>
      <c r="M28" s="1224">
        <f t="shared" si="4"/>
        <v>0</v>
      </c>
      <c r="N28" s="1224">
        <f t="shared" si="6"/>
        <v>0</v>
      </c>
      <c r="O28" s="844"/>
    </row>
    <row r="29" spans="1:19">
      <c r="A29" s="845"/>
      <c r="B29" s="1188">
        <f t="shared" si="5"/>
        <v>24</v>
      </c>
      <c r="C29" s="1201" t="s">
        <v>268</v>
      </c>
      <c r="D29" s="1189">
        <v>2500</v>
      </c>
      <c r="E29" s="1189"/>
      <c r="F29" s="986"/>
      <c r="G29" s="986">
        <f t="shared" si="2"/>
        <v>2500</v>
      </c>
      <c r="H29" s="1253"/>
      <c r="I29" s="1253"/>
      <c r="J29" s="1061"/>
      <c r="K29" s="852">
        <f t="shared" si="0"/>
        <v>0</v>
      </c>
      <c r="L29" s="1224">
        <f t="shared" si="3"/>
        <v>0</v>
      </c>
      <c r="M29" s="1224">
        <f t="shared" si="4"/>
        <v>0</v>
      </c>
      <c r="N29" s="1224">
        <f t="shared" si="6"/>
        <v>0</v>
      </c>
      <c r="O29" s="844"/>
    </row>
    <row r="30" spans="1:19">
      <c r="B30" s="1188">
        <f t="shared" si="5"/>
        <v>25</v>
      </c>
      <c r="C30" s="1201" t="s">
        <v>269</v>
      </c>
      <c r="D30" s="1189">
        <v>2800</v>
      </c>
      <c r="E30" s="1189"/>
      <c r="F30" s="986"/>
      <c r="G30" s="986">
        <f t="shared" si="2"/>
        <v>2800</v>
      </c>
      <c r="H30" s="1253"/>
      <c r="I30" s="1253"/>
      <c r="J30" s="1061"/>
      <c r="K30" s="852">
        <f t="shared" si="0"/>
        <v>0</v>
      </c>
      <c r="L30" s="1224">
        <f t="shared" si="3"/>
        <v>0</v>
      </c>
      <c r="M30" s="1224">
        <f t="shared" si="4"/>
        <v>0</v>
      </c>
      <c r="N30" s="1224">
        <f t="shared" si="6"/>
        <v>0</v>
      </c>
      <c r="O30" s="844"/>
    </row>
    <row r="31" spans="1:19">
      <c r="B31" s="1188">
        <f t="shared" si="5"/>
        <v>26</v>
      </c>
      <c r="C31" s="1201" t="s">
        <v>271</v>
      </c>
      <c r="D31" s="1189">
        <v>2000</v>
      </c>
      <c r="E31" s="1189"/>
      <c r="F31" s="986"/>
      <c r="G31" s="986">
        <f t="shared" si="2"/>
        <v>2000</v>
      </c>
      <c r="H31" s="864">
        <f>(42*60+11)/60</f>
        <v>42.18333333333333</v>
      </c>
      <c r="I31" s="864">
        <f>(21*60+9)/60</f>
        <v>21.15</v>
      </c>
      <c r="J31" s="1061"/>
      <c r="K31" s="1374">
        <f t="shared" si="0"/>
        <v>63.333333333333329</v>
      </c>
      <c r="L31" s="1224">
        <f t="shared" si="3"/>
        <v>439.40972222222223</v>
      </c>
      <c r="M31" s="1224">
        <f t="shared" si="4"/>
        <v>237.93750000000003</v>
      </c>
      <c r="N31" s="1224">
        <f t="shared" si="6"/>
        <v>0</v>
      </c>
      <c r="O31" s="844"/>
    </row>
    <row r="32" spans="1:19">
      <c r="B32" s="1188">
        <f t="shared" si="5"/>
        <v>27</v>
      </c>
      <c r="C32" s="1201" t="s">
        <v>272</v>
      </c>
      <c r="D32" s="1189">
        <v>2200</v>
      </c>
      <c r="E32" s="1189"/>
      <c r="F32" s="986"/>
      <c r="G32" s="986">
        <f t="shared" si="2"/>
        <v>2200</v>
      </c>
      <c r="H32" s="1253"/>
      <c r="I32" s="1253"/>
      <c r="J32" s="1061"/>
      <c r="K32" s="852">
        <f t="shared" si="0"/>
        <v>0</v>
      </c>
      <c r="L32" s="1224">
        <f t="shared" si="3"/>
        <v>0</v>
      </c>
      <c r="M32" s="1224">
        <f t="shared" si="4"/>
        <v>0</v>
      </c>
      <c r="N32" s="1224">
        <f t="shared" si="6"/>
        <v>0</v>
      </c>
      <c r="O32" s="844"/>
      <c r="Q32" s="1169"/>
    </row>
    <row r="33" spans="2:15">
      <c r="B33" s="1188">
        <f t="shared" si="5"/>
        <v>28</v>
      </c>
      <c r="C33" s="1201" t="s">
        <v>274</v>
      </c>
      <c r="D33" s="1189">
        <v>2300</v>
      </c>
      <c r="E33" s="1189"/>
      <c r="F33" s="986"/>
      <c r="G33" s="986">
        <f t="shared" si="2"/>
        <v>2300</v>
      </c>
      <c r="H33" s="1253"/>
      <c r="I33" s="1253"/>
      <c r="J33" s="1061"/>
      <c r="K33" s="852">
        <f t="shared" si="0"/>
        <v>0</v>
      </c>
      <c r="L33" s="1224">
        <f t="shared" si="3"/>
        <v>0</v>
      </c>
      <c r="M33" s="1224">
        <f t="shared" si="4"/>
        <v>0</v>
      </c>
      <c r="N33" s="1224">
        <f t="shared" si="6"/>
        <v>0</v>
      </c>
      <c r="O33" s="844"/>
    </row>
    <row r="34" spans="2:15">
      <c r="B34" s="1188">
        <f t="shared" si="5"/>
        <v>29</v>
      </c>
      <c r="C34" s="1201" t="s">
        <v>276</v>
      </c>
      <c r="D34" s="1189">
        <v>2500</v>
      </c>
      <c r="E34" s="1189">
        <v>113</v>
      </c>
      <c r="F34" s="849"/>
      <c r="G34" s="986">
        <f t="shared" si="2"/>
        <v>2613</v>
      </c>
      <c r="H34" s="1254"/>
      <c r="I34" s="1254"/>
      <c r="J34" s="1063"/>
      <c r="K34" s="852">
        <f t="shared" si="0"/>
        <v>0</v>
      </c>
      <c r="L34" s="1224">
        <f t="shared" si="3"/>
        <v>0</v>
      </c>
      <c r="M34" s="1224">
        <f t="shared" si="4"/>
        <v>0</v>
      </c>
      <c r="N34" s="1224">
        <f t="shared" si="6"/>
        <v>0</v>
      </c>
      <c r="O34" s="845"/>
    </row>
    <row r="35" spans="2:15">
      <c r="B35" s="1188">
        <f t="shared" si="5"/>
        <v>30</v>
      </c>
      <c r="C35" s="1201" t="s">
        <v>279</v>
      </c>
      <c r="D35" s="1189">
        <v>1800</v>
      </c>
      <c r="E35" s="1189"/>
      <c r="F35" s="849"/>
      <c r="G35" s="986">
        <f t="shared" si="2"/>
        <v>1800</v>
      </c>
      <c r="H35" s="1255"/>
      <c r="I35" s="1255"/>
      <c r="J35" s="1064"/>
      <c r="K35" s="852">
        <f t="shared" si="0"/>
        <v>0</v>
      </c>
      <c r="L35" s="1224">
        <f t="shared" si="3"/>
        <v>0</v>
      </c>
      <c r="M35" s="1224">
        <f t="shared" si="4"/>
        <v>0</v>
      </c>
      <c r="N35" s="1224">
        <f t="shared" si="6"/>
        <v>0</v>
      </c>
    </row>
    <row r="36" spans="2:15">
      <c r="B36" s="1188">
        <f t="shared" si="5"/>
        <v>31</v>
      </c>
      <c r="C36" s="1201" t="s">
        <v>281</v>
      </c>
      <c r="D36" s="1189">
        <v>1700</v>
      </c>
      <c r="E36" s="1189">
        <v>113</v>
      </c>
      <c r="F36" s="849"/>
      <c r="G36" s="986">
        <f t="shared" si="2"/>
        <v>1813</v>
      </c>
      <c r="H36" s="1255"/>
      <c r="I36" s="1255"/>
      <c r="J36" s="1064"/>
      <c r="K36" s="852">
        <f t="shared" si="0"/>
        <v>0</v>
      </c>
      <c r="L36" s="1224">
        <f t="shared" si="3"/>
        <v>0</v>
      </c>
      <c r="M36" s="1224">
        <f t="shared" si="4"/>
        <v>0</v>
      </c>
      <c r="N36" s="1224">
        <f t="shared" si="6"/>
        <v>0</v>
      </c>
    </row>
    <row r="37" spans="2:15">
      <c r="B37" s="1188">
        <f t="shared" si="5"/>
        <v>32</v>
      </c>
      <c r="C37" s="1201" t="s">
        <v>282</v>
      </c>
      <c r="D37" s="1189">
        <v>1500</v>
      </c>
      <c r="E37" s="1189">
        <v>113</v>
      </c>
      <c r="F37" s="849"/>
      <c r="G37" s="986">
        <f t="shared" si="2"/>
        <v>1613</v>
      </c>
      <c r="H37" s="1255">
        <f>(39*60+34)/60</f>
        <v>39.56666666666667</v>
      </c>
      <c r="I37" s="1255">
        <f>(18*60+58)/60</f>
        <v>18.966666666666665</v>
      </c>
      <c r="J37" s="1064"/>
      <c r="K37" s="852">
        <f t="shared" si="0"/>
        <v>58.533333333333331</v>
      </c>
      <c r="L37" s="1224">
        <f t="shared" si="3"/>
        <v>332.40121527777779</v>
      </c>
      <c r="M37" s="1224">
        <f t="shared" si="4"/>
        <v>172.0869375</v>
      </c>
      <c r="N37" s="1224">
        <f t="shared" si="6"/>
        <v>0</v>
      </c>
    </row>
    <row r="38" spans="2:15">
      <c r="B38" s="1188">
        <f t="shared" si="5"/>
        <v>33</v>
      </c>
      <c r="C38" s="1006" t="s">
        <v>284</v>
      </c>
      <c r="D38" s="1189">
        <v>2000</v>
      </c>
      <c r="E38" s="1189"/>
      <c r="F38" s="849"/>
      <c r="G38" s="986">
        <f t="shared" si="2"/>
        <v>2000</v>
      </c>
      <c r="H38" s="1255"/>
      <c r="I38" s="1255"/>
      <c r="J38" s="1064"/>
      <c r="K38" s="852">
        <f t="shared" si="0"/>
        <v>0</v>
      </c>
      <c r="L38" s="1224">
        <f t="shared" si="3"/>
        <v>0</v>
      </c>
      <c r="M38" s="1224">
        <f t="shared" si="4"/>
        <v>0</v>
      </c>
      <c r="N38" s="1224">
        <f t="shared" si="6"/>
        <v>0</v>
      </c>
    </row>
    <row r="39" spans="2:15">
      <c r="B39" s="1188">
        <f t="shared" si="5"/>
        <v>34</v>
      </c>
      <c r="C39" s="1006" t="s">
        <v>757</v>
      </c>
      <c r="D39" s="1189">
        <v>2850</v>
      </c>
      <c r="E39" s="1189"/>
      <c r="F39" s="849"/>
      <c r="G39" s="986">
        <f t="shared" si="2"/>
        <v>2850</v>
      </c>
      <c r="H39" s="1255"/>
      <c r="I39" s="1255"/>
      <c r="J39" s="1064"/>
      <c r="K39" s="852">
        <f t="shared" si="0"/>
        <v>0</v>
      </c>
      <c r="L39" s="1224">
        <f t="shared" si="3"/>
        <v>0</v>
      </c>
      <c r="M39" s="1224">
        <f t="shared" si="4"/>
        <v>0</v>
      </c>
      <c r="N39" s="1224">
        <f t="shared" si="6"/>
        <v>0</v>
      </c>
    </row>
    <row r="40" spans="2:15">
      <c r="B40" s="1188">
        <f t="shared" si="5"/>
        <v>35</v>
      </c>
      <c r="C40" s="1006" t="s">
        <v>760</v>
      </c>
      <c r="D40" s="1189">
        <v>1700</v>
      </c>
      <c r="E40" s="1189"/>
      <c r="F40" s="849"/>
      <c r="G40" s="986">
        <f t="shared" si="2"/>
        <v>1700</v>
      </c>
      <c r="H40" s="1255">
        <v>30</v>
      </c>
      <c r="I40" s="1255">
        <f>(18*60+22)/60</f>
        <v>18.366666666666667</v>
      </c>
      <c r="J40" s="1064"/>
      <c r="K40" s="852">
        <f t="shared" si="0"/>
        <v>48.366666666666667</v>
      </c>
      <c r="L40" s="1224">
        <f t="shared" si="3"/>
        <v>265.625</v>
      </c>
      <c r="M40" s="1224">
        <f t="shared" si="4"/>
        <v>175.63125000000002</v>
      </c>
      <c r="N40" s="1224">
        <f>((G40/30))*J40*2</f>
        <v>0</v>
      </c>
      <c r="O40" s="845"/>
    </row>
    <row r="41" spans="2:15">
      <c r="B41" s="1188">
        <f t="shared" si="5"/>
        <v>36</v>
      </c>
      <c r="C41" s="1006" t="s">
        <v>762</v>
      </c>
      <c r="D41" s="1189">
        <v>2800</v>
      </c>
      <c r="E41" s="1189"/>
      <c r="F41" s="849"/>
      <c r="G41" s="986">
        <f t="shared" si="2"/>
        <v>2800</v>
      </c>
      <c r="H41" s="1255"/>
      <c r="I41" s="1255"/>
      <c r="J41" s="1064"/>
      <c r="K41" s="852">
        <f t="shared" si="0"/>
        <v>0</v>
      </c>
      <c r="L41" s="1224">
        <f t="shared" si="3"/>
        <v>0</v>
      </c>
      <c r="M41" s="1224">
        <f t="shared" si="4"/>
        <v>0</v>
      </c>
      <c r="N41" s="1224">
        <f t="shared" si="6"/>
        <v>0</v>
      </c>
      <c r="O41" s="845"/>
    </row>
    <row r="42" spans="2:15">
      <c r="B42" s="1188">
        <f t="shared" si="5"/>
        <v>37</v>
      </c>
      <c r="C42" s="1006" t="s">
        <v>763</v>
      </c>
      <c r="D42" s="1189">
        <v>1400</v>
      </c>
      <c r="E42" s="1189"/>
      <c r="F42" s="849"/>
      <c r="G42" s="986">
        <f t="shared" si="2"/>
        <v>1400</v>
      </c>
      <c r="H42" s="1255"/>
      <c r="I42" s="1255"/>
      <c r="J42" s="1064"/>
      <c r="K42" s="852">
        <f t="shared" si="0"/>
        <v>0</v>
      </c>
      <c r="L42" s="1224">
        <f t="shared" si="3"/>
        <v>0</v>
      </c>
      <c r="M42" s="1224">
        <f t="shared" si="4"/>
        <v>0</v>
      </c>
      <c r="N42" s="1224">
        <f t="shared" si="6"/>
        <v>0</v>
      </c>
      <c r="O42" s="845"/>
    </row>
    <row r="43" spans="2:15">
      <c r="B43" s="1188">
        <f t="shared" si="5"/>
        <v>38</v>
      </c>
      <c r="C43" s="1006" t="s">
        <v>764</v>
      </c>
      <c r="D43" s="1189">
        <v>2000</v>
      </c>
      <c r="E43" s="1189"/>
      <c r="F43" s="849"/>
      <c r="G43" s="986">
        <f t="shared" si="2"/>
        <v>2000</v>
      </c>
      <c r="H43" s="1255"/>
      <c r="I43" s="1255"/>
      <c r="J43" s="1064"/>
      <c r="K43" s="852">
        <f t="shared" si="0"/>
        <v>0</v>
      </c>
      <c r="L43" s="1224">
        <f t="shared" si="3"/>
        <v>0</v>
      </c>
      <c r="M43" s="1224">
        <f t="shared" si="4"/>
        <v>0</v>
      </c>
      <c r="N43" s="1224">
        <f t="shared" si="6"/>
        <v>0</v>
      </c>
      <c r="O43" s="845"/>
    </row>
    <row r="44" spans="2:15">
      <c r="B44" s="1188">
        <f t="shared" si="5"/>
        <v>39</v>
      </c>
      <c r="C44" s="1006" t="s">
        <v>765</v>
      </c>
      <c r="D44" s="1189">
        <v>1200</v>
      </c>
      <c r="E44" s="1189">
        <v>113</v>
      </c>
      <c r="F44" s="849"/>
      <c r="G44" s="986">
        <f t="shared" si="2"/>
        <v>1313</v>
      </c>
      <c r="H44" s="1255"/>
      <c r="I44" s="1255"/>
      <c r="J44" s="1064"/>
      <c r="K44" s="852">
        <f t="shared" si="0"/>
        <v>0</v>
      </c>
      <c r="L44" s="1224">
        <f t="shared" si="3"/>
        <v>0</v>
      </c>
      <c r="M44" s="1224">
        <f t="shared" si="4"/>
        <v>0</v>
      </c>
      <c r="N44" s="1224">
        <f t="shared" si="6"/>
        <v>0</v>
      </c>
      <c r="O44" s="845"/>
    </row>
    <row r="45" spans="2:15">
      <c r="B45" s="1188">
        <f t="shared" si="5"/>
        <v>40</v>
      </c>
      <c r="C45" s="1006" t="s">
        <v>792</v>
      </c>
      <c r="D45" s="1189">
        <v>2000</v>
      </c>
      <c r="E45" s="1189"/>
      <c r="F45" s="849"/>
      <c r="G45" s="986">
        <f t="shared" si="2"/>
        <v>2000</v>
      </c>
      <c r="H45" s="1255"/>
      <c r="I45" s="1255"/>
      <c r="J45" s="1064"/>
      <c r="K45" s="852">
        <f t="shared" si="0"/>
        <v>0</v>
      </c>
      <c r="L45" s="1224">
        <f t="shared" si="3"/>
        <v>0</v>
      </c>
      <c r="M45" s="1224">
        <f t="shared" si="4"/>
        <v>0</v>
      </c>
      <c r="N45" s="1224">
        <f t="shared" si="6"/>
        <v>0</v>
      </c>
      <c r="O45" s="845"/>
    </row>
    <row r="46" spans="2:15">
      <c r="B46" s="1188">
        <f t="shared" si="5"/>
        <v>41</v>
      </c>
      <c r="C46" s="1006" t="s">
        <v>919</v>
      </c>
      <c r="D46" s="1189">
        <v>2500</v>
      </c>
      <c r="E46" s="1189">
        <v>113</v>
      </c>
      <c r="F46" s="849"/>
      <c r="G46" s="986">
        <f t="shared" si="2"/>
        <v>2613</v>
      </c>
      <c r="H46" s="1255"/>
      <c r="I46" s="1255"/>
      <c r="J46" s="1064"/>
      <c r="K46" s="852">
        <f t="shared" si="0"/>
        <v>0</v>
      </c>
      <c r="L46" s="1224">
        <f t="shared" si="3"/>
        <v>0</v>
      </c>
      <c r="M46" s="1224">
        <f t="shared" si="4"/>
        <v>0</v>
      </c>
      <c r="N46" s="1224">
        <f t="shared" si="6"/>
        <v>0</v>
      </c>
      <c r="O46" s="845"/>
    </row>
    <row r="47" spans="2:15">
      <c r="B47" s="1188">
        <f t="shared" si="5"/>
        <v>42</v>
      </c>
      <c r="C47" s="1006" t="s">
        <v>920</v>
      </c>
      <c r="D47" s="1189">
        <v>1600</v>
      </c>
      <c r="E47" s="1189"/>
      <c r="F47" s="849"/>
      <c r="G47" s="986">
        <f t="shared" si="2"/>
        <v>1600</v>
      </c>
      <c r="H47" s="1255"/>
      <c r="I47" s="1255"/>
      <c r="J47" s="1064"/>
      <c r="K47" s="852">
        <f t="shared" si="0"/>
        <v>0</v>
      </c>
      <c r="L47" s="1224">
        <f t="shared" si="3"/>
        <v>0</v>
      </c>
      <c r="M47" s="1224">
        <f t="shared" si="4"/>
        <v>0</v>
      </c>
      <c r="N47" s="1224">
        <f t="shared" si="6"/>
        <v>0</v>
      </c>
    </row>
    <row r="48" spans="2:15">
      <c r="B48" s="1006">
        <f t="shared" si="5"/>
        <v>43</v>
      </c>
      <c r="C48" s="1006" t="s">
        <v>928</v>
      </c>
      <c r="D48" s="1189">
        <v>1800</v>
      </c>
      <c r="E48" s="1189"/>
      <c r="F48" s="991"/>
      <c r="G48" s="986">
        <f>+D48+E48</f>
        <v>1800</v>
      </c>
      <c r="H48" s="1354"/>
      <c r="I48" s="1354"/>
      <c r="J48" s="1354"/>
      <c r="K48" s="852">
        <f t="shared" si="0"/>
        <v>0</v>
      </c>
      <c r="L48" s="1224">
        <f t="shared" ref="L48:L49" si="7">((G48/30)/8)*H48*1.25</f>
        <v>0</v>
      </c>
      <c r="M48" s="1224">
        <f t="shared" ref="M48:M49" si="8">((G48/30)/8)*I48*1.35</f>
        <v>0</v>
      </c>
      <c r="N48" s="1224">
        <f t="shared" ref="N48:N49" si="9">((G48/30))*J48*2</f>
        <v>0</v>
      </c>
    </row>
    <row r="49" spans="2:14">
      <c r="B49" s="1006">
        <f t="shared" si="5"/>
        <v>44</v>
      </c>
      <c r="C49" s="1006" t="s">
        <v>929</v>
      </c>
      <c r="D49" s="1189">
        <v>3500</v>
      </c>
      <c r="E49" s="1189">
        <v>113</v>
      </c>
      <c r="F49" s="991"/>
      <c r="G49" s="986">
        <f t="shared" si="2"/>
        <v>3613</v>
      </c>
      <c r="H49" s="1354"/>
      <c r="I49" s="1354"/>
      <c r="J49" s="1354"/>
      <c r="K49" s="852">
        <f t="shared" si="0"/>
        <v>0</v>
      </c>
      <c r="L49" s="1224">
        <f t="shared" si="7"/>
        <v>0</v>
      </c>
      <c r="M49" s="1224">
        <f t="shared" si="8"/>
        <v>0</v>
      </c>
      <c r="N49" s="1224">
        <f t="shared" si="9"/>
        <v>0</v>
      </c>
    </row>
  </sheetData>
  <autoFilter ref="G4:N47" xr:uid="{1366673A-3AD3-4F7A-95A6-4D40523FE7FF}"/>
  <conditionalFormatting sqref="B48:C49">
    <cfRule type="duplicateValues" dxfId="10" priority="1"/>
  </conditionalFormatting>
  <conditionalFormatting sqref="C9:C19 C21:C42">
    <cfRule type="duplicateValues" dxfId="9" priority="3"/>
  </conditionalFormatting>
  <conditionalFormatting sqref="C20">
    <cfRule type="duplicateValues" dxfId="8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665B-7789-4939-B51B-07E2B7333BEE}">
  <sheetPr>
    <pageSetUpPr fitToPage="1"/>
  </sheetPr>
  <dimension ref="A1:V35"/>
  <sheetViews>
    <sheetView zoomScale="90" zoomScaleNormal="90" workbookViewId="0">
      <selection activeCell="K11" sqref="K11"/>
    </sheetView>
  </sheetViews>
  <sheetFormatPr baseColWidth="10" defaultColWidth="11.42578125" defaultRowHeight="15"/>
  <cols>
    <col min="1" max="1" width="5" customWidth="1"/>
    <col min="2" max="2" width="32.7109375" bestFit="1" customWidth="1"/>
    <col min="3" max="3" width="11.42578125" hidden="1" customWidth="1"/>
    <col min="9" max="9" width="12.140625" customWidth="1"/>
    <col min="11" max="15" width="11.42578125" customWidth="1"/>
    <col min="16" max="16" width="14.28515625" customWidth="1"/>
    <col min="17" max="17" width="24.28515625" bestFit="1" customWidth="1"/>
  </cols>
  <sheetData>
    <row r="1" spans="1:22" ht="10.5" customHeight="1" thickBot="1">
      <c r="A1" s="755" t="s">
        <v>314</v>
      </c>
      <c r="B1" s="756"/>
      <c r="C1" s="755"/>
      <c r="D1" s="1260" t="s">
        <v>315</v>
      </c>
      <c r="E1" s="1261"/>
      <c r="F1" s="1261"/>
      <c r="G1" s="1261"/>
      <c r="H1" s="1261"/>
      <c r="I1" s="1261"/>
      <c r="J1" s="1261"/>
      <c r="K1" s="1261"/>
      <c r="L1" s="1261"/>
      <c r="M1" s="1261"/>
      <c r="N1" s="1261"/>
      <c r="O1" s="1262"/>
      <c r="P1" s="1498" t="s">
        <v>125</v>
      </c>
      <c r="Q1" s="1500" t="s">
        <v>316</v>
      </c>
    </row>
    <row r="2" spans="1:22">
      <c r="A2" s="757"/>
      <c r="B2" s="758" t="s">
        <v>317</v>
      </c>
      <c r="C2" s="759"/>
      <c r="D2" s="760" t="s">
        <v>318</v>
      </c>
      <c r="E2" s="760" t="s">
        <v>319</v>
      </c>
      <c r="F2" s="760" t="s">
        <v>320</v>
      </c>
      <c r="G2" s="760" t="s">
        <v>321</v>
      </c>
      <c r="H2" s="760" t="s">
        <v>322</v>
      </c>
      <c r="I2" s="761" t="s">
        <v>323</v>
      </c>
      <c r="J2" s="761" t="s">
        <v>324</v>
      </c>
      <c r="K2" s="761" t="s">
        <v>325</v>
      </c>
      <c r="L2" s="761" t="s">
        <v>326</v>
      </c>
      <c r="M2" s="761" t="s">
        <v>327</v>
      </c>
      <c r="N2" s="761" t="s">
        <v>328</v>
      </c>
      <c r="O2" s="761" t="s">
        <v>329</v>
      </c>
      <c r="P2" s="1499"/>
      <c r="Q2" s="1501"/>
      <c r="R2" s="762"/>
      <c r="S2" s="762"/>
      <c r="T2" s="763"/>
      <c r="U2" s="764"/>
      <c r="V2" s="765"/>
    </row>
    <row r="3" spans="1:22">
      <c r="A3" s="1233">
        <v>1</v>
      </c>
      <c r="B3" s="767" t="s">
        <v>219</v>
      </c>
      <c r="C3" s="768"/>
      <c r="D3" s="1071">
        <v>9122.3397000000004</v>
      </c>
      <c r="E3" s="703">
        <v>6019.6636499999995</v>
      </c>
      <c r="F3" s="703">
        <v>8538.4968900000003</v>
      </c>
      <c r="G3" s="703">
        <v>12937.093330000002</v>
      </c>
      <c r="H3" s="703">
        <v>8462.9701479661016</v>
      </c>
      <c r="I3" s="703">
        <v>8965.1879799999988</v>
      </c>
      <c r="J3" s="703">
        <v>12745.127600000002</v>
      </c>
      <c r="K3" s="703">
        <v>8688.2700966101711</v>
      </c>
      <c r="L3" s="703"/>
      <c r="M3" s="703"/>
      <c r="N3" s="703"/>
      <c r="O3" s="703"/>
      <c r="P3" s="703">
        <f>SUM(D3:O3)</f>
        <v>75479.149394576278</v>
      </c>
      <c r="Q3" s="703">
        <f t="shared" ref="Q3:Q9" si="0">+P3/6</f>
        <v>12579.85823242938</v>
      </c>
      <c r="R3" s="772"/>
      <c r="S3" s="773"/>
      <c r="T3" s="713"/>
      <c r="U3" s="764"/>
      <c r="V3" s="765"/>
    </row>
    <row r="4" spans="1:22">
      <c r="A4" s="1233">
        <f>+A3+1</f>
        <v>2</v>
      </c>
      <c r="B4" s="767" t="s">
        <v>228</v>
      </c>
      <c r="C4" s="768"/>
      <c r="D4" s="1071">
        <v>2501.7108000000003</v>
      </c>
      <c r="E4" s="703">
        <v>2599.7563500000001</v>
      </c>
      <c r="F4" s="703">
        <v>3287.0806499999999</v>
      </c>
      <c r="G4" s="703">
        <v>2509.8714</v>
      </c>
      <c r="H4" s="703">
        <v>3359.0190000000002</v>
      </c>
      <c r="I4" s="703">
        <v>4331.4262500000004</v>
      </c>
      <c r="J4" s="703">
        <v>1771.03755</v>
      </c>
      <c r="K4" s="703">
        <v>4452.1899999999996</v>
      </c>
      <c r="L4" s="703"/>
      <c r="M4" s="703"/>
      <c r="N4" s="703"/>
      <c r="O4" s="703"/>
      <c r="P4" s="703">
        <f>SUM(D4:O4)</f>
        <v>24812.092000000001</v>
      </c>
      <c r="Q4" s="703">
        <f t="shared" si="0"/>
        <v>4135.3486666666668</v>
      </c>
      <c r="R4" s="772"/>
      <c r="S4" s="773"/>
      <c r="T4" s="713"/>
      <c r="U4" s="764"/>
      <c r="V4" s="765"/>
    </row>
    <row r="5" spans="1:22" ht="15" customHeight="1">
      <c r="A5" s="1233">
        <f t="shared" ref="A5:A9" si="1">+A4+1</f>
        <v>3</v>
      </c>
      <c r="B5" s="767" t="s">
        <v>245</v>
      </c>
      <c r="C5" s="768"/>
      <c r="D5" s="1071">
        <v>1375.3926864406781</v>
      </c>
      <c r="E5" s="703">
        <v>2137.4428499999999</v>
      </c>
      <c r="F5" s="703">
        <v>1953.9544499999995</v>
      </c>
      <c r="G5" s="703">
        <v>1486.9737000000002</v>
      </c>
      <c r="H5" s="703">
        <v>1343.5632000000001</v>
      </c>
      <c r="I5" s="703">
        <v>1994.6995500000003</v>
      </c>
      <c r="J5" s="703">
        <v>2048.7844500000001</v>
      </c>
      <c r="K5" s="703">
        <v>1459.82</v>
      </c>
      <c r="L5" s="703"/>
      <c r="M5" s="703"/>
      <c r="N5" s="703"/>
      <c r="O5" s="703"/>
      <c r="P5" s="703">
        <f t="shared" ref="P5:P9" si="2">SUM(D5:O5)</f>
        <v>13800.630886440678</v>
      </c>
      <c r="Q5" s="703">
        <f t="shared" si="0"/>
        <v>2300.1051477401129</v>
      </c>
      <c r="R5" s="772"/>
      <c r="S5" s="773"/>
      <c r="T5" s="713"/>
      <c r="U5" s="764"/>
      <c r="V5" s="765"/>
    </row>
    <row r="6" spans="1:22">
      <c r="A6" s="1233">
        <f t="shared" si="1"/>
        <v>4</v>
      </c>
      <c r="B6" s="767" t="s">
        <v>330</v>
      </c>
      <c r="C6" s="768"/>
      <c r="D6" s="1071">
        <v>5568.2823474576262</v>
      </c>
      <c r="E6" s="703">
        <v>4483.2372220338984</v>
      </c>
      <c r="F6" s="703">
        <v>6098.9263499999997</v>
      </c>
      <c r="G6" s="703">
        <v>9240.7809500000003</v>
      </c>
      <c r="H6" s="703">
        <v>6044.9786771186446</v>
      </c>
      <c r="I6" s="703">
        <v>6403.7056999999995</v>
      </c>
      <c r="J6" s="703">
        <v>7965.7047500000008</v>
      </c>
      <c r="K6" s="703">
        <v>7240.2250805084759</v>
      </c>
      <c r="L6" s="703"/>
      <c r="M6" s="703"/>
      <c r="N6" s="703"/>
      <c r="O6" s="703"/>
      <c r="P6" s="703">
        <f t="shared" si="2"/>
        <v>53045.841077118646</v>
      </c>
      <c r="Q6" s="703">
        <f t="shared" si="0"/>
        <v>8840.9735128531083</v>
      </c>
      <c r="R6" s="772"/>
      <c r="S6" s="773"/>
      <c r="T6" s="713"/>
      <c r="U6" s="764"/>
      <c r="V6" s="765"/>
    </row>
    <row r="7" spans="1:22">
      <c r="A7" s="1233">
        <f t="shared" si="1"/>
        <v>5</v>
      </c>
      <c r="B7" s="767" t="s">
        <v>268</v>
      </c>
      <c r="C7" s="767"/>
      <c r="D7" s="1071">
        <v>404.14904999999999</v>
      </c>
      <c r="E7" s="703">
        <v>749.28030000000001</v>
      </c>
      <c r="F7" s="703">
        <v>531.69464999999991</v>
      </c>
      <c r="G7" s="703">
        <v>3286.2736500000001</v>
      </c>
      <c r="H7" s="703">
        <v>700.75905</v>
      </c>
      <c r="I7" s="703">
        <v>1556.8993499999999</v>
      </c>
      <c r="J7" s="703">
        <v>600.18254999999999</v>
      </c>
      <c r="K7" s="703">
        <v>1091.3599999999999</v>
      </c>
      <c r="L7" s="703"/>
      <c r="M7" s="703"/>
      <c r="N7" s="703"/>
      <c r="O7" s="703"/>
      <c r="P7" s="703">
        <f t="shared" si="2"/>
        <v>8920.5985999999994</v>
      </c>
      <c r="Q7" s="703">
        <f t="shared" si="0"/>
        <v>1486.7664333333332</v>
      </c>
      <c r="R7" s="772"/>
      <c r="S7" s="773"/>
      <c r="T7" s="713"/>
      <c r="U7" s="764"/>
      <c r="V7" s="765"/>
    </row>
    <row r="8" spans="1:22">
      <c r="A8" s="1233">
        <f t="shared" si="1"/>
        <v>6</v>
      </c>
      <c r="B8" s="767" t="s">
        <v>266</v>
      </c>
      <c r="C8" s="767"/>
      <c r="D8" s="1071">
        <v>2429.196355932203</v>
      </c>
      <c r="E8" s="703">
        <v>842.6241</v>
      </c>
      <c r="F8" s="703">
        <v>846.33224999999993</v>
      </c>
      <c r="G8" s="703">
        <v>2406.4389000000001</v>
      </c>
      <c r="H8" s="703">
        <v>1799.1558813559323</v>
      </c>
      <c r="I8" s="703">
        <v>662.76479999999992</v>
      </c>
      <c r="J8" s="703">
        <v>1891.5045</v>
      </c>
      <c r="K8" s="703">
        <v>1528.25</v>
      </c>
      <c r="L8" s="703"/>
      <c r="M8" s="703"/>
      <c r="N8" s="703"/>
      <c r="O8" s="703"/>
      <c r="P8" s="703">
        <f t="shared" si="2"/>
        <v>12406.266787288136</v>
      </c>
      <c r="Q8" s="703">
        <f t="shared" si="0"/>
        <v>2067.7111312146894</v>
      </c>
      <c r="R8" s="772"/>
      <c r="S8" s="773"/>
      <c r="T8" s="713"/>
      <c r="U8" s="764"/>
      <c r="V8" s="765"/>
    </row>
    <row r="9" spans="1:22">
      <c r="A9" s="1233">
        <f t="shared" si="1"/>
        <v>7</v>
      </c>
      <c r="B9" s="767" t="s">
        <v>274</v>
      </c>
      <c r="C9" s="767"/>
      <c r="D9" s="1071">
        <v>872.05844999999999</v>
      </c>
      <c r="E9" s="703">
        <v>1100.944416101695</v>
      </c>
      <c r="F9" s="703">
        <v>3369.7662</v>
      </c>
      <c r="G9" s="703">
        <v>937.36110000000019</v>
      </c>
      <c r="H9" s="703">
        <v>1449.1908000000001</v>
      </c>
      <c r="I9" s="703">
        <v>1482.3352499999996</v>
      </c>
      <c r="J9" s="703">
        <v>3142.0137</v>
      </c>
      <c r="K9" s="703">
        <v>3375.75</v>
      </c>
      <c r="L9" s="703"/>
      <c r="M9" s="703"/>
      <c r="N9" s="703"/>
      <c r="O9" s="703"/>
      <c r="P9" s="703">
        <f t="shared" si="2"/>
        <v>15729.419916101695</v>
      </c>
      <c r="Q9" s="703">
        <f t="shared" si="0"/>
        <v>2621.5699860169493</v>
      </c>
      <c r="R9" s="772"/>
      <c r="S9" s="773"/>
      <c r="T9" s="713"/>
      <c r="U9" s="764"/>
      <c r="V9" s="765"/>
    </row>
    <row r="10" spans="1:22">
      <c r="A10" s="1233">
        <v>8</v>
      </c>
      <c r="B10" s="1006" t="s">
        <v>279</v>
      </c>
      <c r="C10" s="767"/>
      <c r="D10" s="769"/>
      <c r="E10" s="769"/>
      <c r="F10" s="769"/>
      <c r="G10" s="769"/>
      <c r="H10" s="769"/>
      <c r="I10" s="769">
        <v>887.80799999999988</v>
      </c>
      <c r="J10" s="769">
        <v>1180.96785</v>
      </c>
      <c r="K10" s="769">
        <v>1440.1</v>
      </c>
      <c r="L10" s="769"/>
      <c r="M10" s="769"/>
      <c r="N10" s="769"/>
      <c r="O10" s="769"/>
      <c r="P10" s="703">
        <f>SUM(D10:O10)</f>
        <v>3508.8758499999999</v>
      </c>
      <c r="Q10" s="703">
        <f>+P10/6</f>
        <v>584.81264166666665</v>
      </c>
      <c r="R10" s="772"/>
      <c r="S10" s="773"/>
      <c r="T10" s="713"/>
      <c r="U10" s="764"/>
      <c r="V10" s="765"/>
    </row>
    <row r="11" spans="1:22">
      <c r="A11" s="1233">
        <v>9</v>
      </c>
      <c r="B11" s="1006" t="s">
        <v>792</v>
      </c>
      <c r="C11" s="767"/>
      <c r="D11" s="769"/>
      <c r="E11" s="769"/>
      <c r="F11" s="769"/>
      <c r="G11" s="769"/>
      <c r="H11" s="769"/>
      <c r="I11" s="769"/>
      <c r="J11" s="769">
        <v>72.720749999999995</v>
      </c>
      <c r="K11" s="769">
        <v>323.01</v>
      </c>
      <c r="L11" s="769"/>
      <c r="M11" s="769"/>
      <c r="N11" s="769"/>
      <c r="O11" s="769"/>
      <c r="P11" s="703">
        <f>SUM(D11:O11)</f>
        <v>395.73075</v>
      </c>
      <c r="Q11" s="703">
        <f>+P11/6</f>
        <v>65.955124999999995</v>
      </c>
      <c r="R11" s="772"/>
      <c r="S11" s="773"/>
      <c r="T11" s="713"/>
      <c r="U11" s="764"/>
      <c r="V11" s="765"/>
    </row>
    <row r="12" spans="1:22" ht="15.75" thickBot="1">
      <c r="C12" s="775">
        <f t="shared" ref="C12:Q12" si="3">SUM(C3:C10)</f>
        <v>0</v>
      </c>
      <c r="D12" s="775">
        <f t="shared" si="3"/>
        <v>22273.129389830508</v>
      </c>
      <c r="E12" s="775">
        <f t="shared" si="3"/>
        <v>17932.948888135594</v>
      </c>
      <c r="F12" s="775">
        <f t="shared" si="3"/>
        <v>24626.25144</v>
      </c>
      <c r="G12" s="775">
        <f t="shared" si="3"/>
        <v>32804.793030000001</v>
      </c>
      <c r="H12" s="775">
        <f t="shared" si="3"/>
        <v>23159.636756440679</v>
      </c>
      <c r="I12" s="775">
        <f t="shared" si="3"/>
        <v>26284.826880000001</v>
      </c>
      <c r="J12" s="775">
        <f>SUM(J3:J11)</f>
        <v>31418.043700000002</v>
      </c>
      <c r="K12" s="775">
        <f>SUM(K3:K11)</f>
        <v>29598.975177118646</v>
      </c>
      <c r="L12" s="775">
        <f t="shared" si="3"/>
        <v>0</v>
      </c>
      <c r="M12" s="776">
        <f t="shared" si="3"/>
        <v>0</v>
      </c>
      <c r="N12" s="775">
        <f t="shared" si="3"/>
        <v>0</v>
      </c>
      <c r="O12" s="775">
        <f t="shared" si="3"/>
        <v>0</v>
      </c>
      <c r="P12" s="775">
        <f t="shared" si="3"/>
        <v>207702.87451152544</v>
      </c>
      <c r="Q12" s="775">
        <f t="shared" si="3"/>
        <v>34617.145751920907</v>
      </c>
    </row>
    <row r="13" spans="1:22" ht="15.75" thickTop="1">
      <c r="E13" s="777"/>
      <c r="F13" s="777"/>
      <c r="H13" s="777"/>
      <c r="I13" s="777"/>
      <c r="J13" s="993"/>
      <c r="K13" s="777"/>
      <c r="L13" s="993"/>
      <c r="M13" s="993"/>
      <c r="N13" s="993"/>
      <c r="O13" s="993"/>
    </row>
    <row r="14" spans="1:22">
      <c r="E14" s="777"/>
      <c r="F14" s="777"/>
      <c r="G14" s="777"/>
      <c r="H14" s="777"/>
      <c r="I14" s="762"/>
      <c r="J14" s="993"/>
      <c r="K14" s="993"/>
      <c r="L14" s="993"/>
      <c r="M14" s="993"/>
      <c r="N14" s="993"/>
      <c r="O14" s="993"/>
    </row>
    <row r="21" spans="1:22" ht="15.75" thickBot="1"/>
    <row r="22" spans="1:22" ht="15.75" thickBot="1">
      <c r="A22" s="755" t="s">
        <v>314</v>
      </c>
      <c r="B22" s="756"/>
      <c r="C22" s="755">
        <v>2024</v>
      </c>
      <c r="D22" s="1502" t="s">
        <v>331</v>
      </c>
      <c r="E22" s="1503"/>
      <c r="F22" s="1503"/>
      <c r="G22" s="1503"/>
      <c r="H22" s="1503"/>
      <c r="I22" s="1503"/>
      <c r="J22" s="1503"/>
      <c r="K22" s="1503"/>
      <c r="L22" s="1503"/>
      <c r="M22" s="1503"/>
      <c r="N22" s="1503"/>
      <c r="O22" s="1504"/>
      <c r="P22" s="1498" t="s">
        <v>125</v>
      </c>
      <c r="Q22" s="1500" t="s">
        <v>316</v>
      </c>
      <c r="V22" t="s">
        <v>758</v>
      </c>
    </row>
    <row r="23" spans="1:22">
      <c r="A23" s="757"/>
      <c r="B23" s="758" t="s">
        <v>317</v>
      </c>
      <c r="C23" s="759" t="s">
        <v>329</v>
      </c>
      <c r="D23" s="760" t="s">
        <v>318</v>
      </c>
      <c r="E23" s="760" t="s">
        <v>319</v>
      </c>
      <c r="F23" s="760" t="s">
        <v>320</v>
      </c>
      <c r="G23" s="760" t="s">
        <v>321</v>
      </c>
      <c r="H23" s="760" t="s">
        <v>322</v>
      </c>
      <c r="I23" s="761" t="s">
        <v>323</v>
      </c>
      <c r="J23" s="761" t="s">
        <v>324</v>
      </c>
      <c r="K23" s="761" t="s">
        <v>325</v>
      </c>
      <c r="L23" s="761" t="s">
        <v>326</v>
      </c>
      <c r="M23" s="761" t="s">
        <v>327</v>
      </c>
      <c r="N23" s="761" t="s">
        <v>328</v>
      </c>
      <c r="O23" s="761" t="s">
        <v>329</v>
      </c>
      <c r="P23" s="1499"/>
      <c r="Q23" s="1501"/>
      <c r="R23" s="762"/>
      <c r="S23" s="762"/>
      <c r="T23" s="763"/>
      <c r="U23" s="764"/>
      <c r="V23" s="765"/>
    </row>
    <row r="24" spans="1:22">
      <c r="A24" s="766">
        <v>1</v>
      </c>
      <c r="B24" s="767" t="s">
        <v>219</v>
      </c>
      <c r="C24" s="768">
        <v>3749.93055</v>
      </c>
      <c r="D24" s="768">
        <v>5009.5509000000002</v>
      </c>
      <c r="E24" s="769">
        <v>7448.2999499999987</v>
      </c>
      <c r="F24" s="769">
        <v>9200.1916162500002</v>
      </c>
      <c r="G24" s="841">
        <v>9329.5000500000006</v>
      </c>
      <c r="H24" s="770">
        <v>8939.9500000000007</v>
      </c>
      <c r="I24" s="770">
        <v>12112.492799999998</v>
      </c>
      <c r="J24" s="770">
        <v>7881.04</v>
      </c>
      <c r="K24" s="770">
        <v>7297.3057499999995</v>
      </c>
      <c r="L24" s="770">
        <v>7289.3865000000014</v>
      </c>
      <c r="M24" s="770">
        <v>10135.684350000001</v>
      </c>
      <c r="N24" s="1048">
        <v>5083.4069999999992</v>
      </c>
      <c r="O24" s="770">
        <v>4295.24</v>
      </c>
      <c r="P24" s="771">
        <f>SUM(D24:O24)</f>
        <v>94022.048916250016</v>
      </c>
      <c r="Q24" s="771">
        <f t="shared" ref="Q24:Q32" si="4">+P24/6</f>
        <v>15670.341486041669</v>
      </c>
      <c r="R24" s="772"/>
      <c r="S24" s="773"/>
      <c r="T24" s="713"/>
      <c r="U24" s="764"/>
      <c r="V24" s="765"/>
    </row>
    <row r="25" spans="1:22">
      <c r="A25" s="766">
        <f>+A24+1</f>
        <v>2</v>
      </c>
      <c r="B25" s="767" t="s">
        <v>228</v>
      </c>
      <c r="C25" s="768">
        <v>2506.3844999999997</v>
      </c>
      <c r="D25" s="768">
        <v>7095.9636</v>
      </c>
      <c r="E25" s="769">
        <v>2310.1339499999999</v>
      </c>
      <c r="F25" s="769">
        <v>1816.4344499999997</v>
      </c>
      <c r="G25" s="769">
        <v>5069.9014499999994</v>
      </c>
      <c r="H25" s="770">
        <v>1552.32</v>
      </c>
      <c r="I25" s="770">
        <v>2245.63</v>
      </c>
      <c r="J25" s="770">
        <v>4212.2299999999996</v>
      </c>
      <c r="K25" s="770">
        <v>2680.1594999999998</v>
      </c>
      <c r="L25" s="770">
        <v>4362.1778999999988</v>
      </c>
      <c r="M25" s="770">
        <v>4957.9691999999995</v>
      </c>
      <c r="N25" s="770">
        <v>1243.5899999999999</v>
      </c>
      <c r="O25" s="770">
        <v>1724.21</v>
      </c>
      <c r="P25" s="771">
        <f>SUM(D25:O25)</f>
        <v>39270.720049999996</v>
      </c>
      <c r="Q25" s="771">
        <f t="shared" si="4"/>
        <v>6545.1200083333324</v>
      </c>
      <c r="R25" s="772"/>
      <c r="S25" s="773"/>
      <c r="T25" s="713"/>
      <c r="U25" s="764"/>
      <c r="V25" s="765"/>
    </row>
    <row r="26" spans="1:22" hidden="1">
      <c r="A26" s="766">
        <f t="shared" ref="A26:A29" si="5">+A25+1</f>
        <v>3</v>
      </c>
      <c r="B26" s="767" t="s">
        <v>332</v>
      </c>
      <c r="C26" s="768">
        <v>260.48939999999999</v>
      </c>
      <c r="D26" s="768">
        <v>432.22244999999998</v>
      </c>
      <c r="E26" s="769">
        <v>217.75095000000002</v>
      </c>
      <c r="F26" s="769">
        <v>534.52604999999994</v>
      </c>
      <c r="G26" s="769">
        <v>1015.8412500000002</v>
      </c>
      <c r="H26" s="982">
        <v>0</v>
      </c>
      <c r="I26" s="982">
        <v>0</v>
      </c>
      <c r="J26" s="982"/>
      <c r="K26" s="982"/>
      <c r="L26" s="982"/>
      <c r="M26" s="982"/>
      <c r="N26" s="982"/>
      <c r="O26" s="982"/>
      <c r="P26" s="771">
        <f t="shared" ref="P26:P32" si="6">SUM(D26:O26)</f>
        <v>2200.3406999999997</v>
      </c>
      <c r="Q26" s="771">
        <f t="shared" si="4"/>
        <v>366.72344999999996</v>
      </c>
      <c r="R26" s="772"/>
      <c r="S26" s="773"/>
      <c r="T26" s="713"/>
      <c r="U26" s="764"/>
      <c r="V26" s="765"/>
    </row>
    <row r="27" spans="1:22">
      <c r="A27" s="766">
        <f t="shared" si="5"/>
        <v>4</v>
      </c>
      <c r="B27" s="767" t="s">
        <v>245</v>
      </c>
      <c r="C27" s="768">
        <v>872.84850000000006</v>
      </c>
      <c r="D27" s="768">
        <v>1473.3036000000002</v>
      </c>
      <c r="E27" s="769">
        <v>2995.60995</v>
      </c>
      <c r="F27" s="769">
        <v>2739.9274500000001</v>
      </c>
      <c r="G27" s="769">
        <v>1961.3278500000001</v>
      </c>
      <c r="H27" s="770">
        <v>1835.52</v>
      </c>
      <c r="I27" s="770">
        <v>2977.69</v>
      </c>
      <c r="J27" s="770">
        <v>2142.75</v>
      </c>
      <c r="K27" s="770">
        <v>2792.4066450000009</v>
      </c>
      <c r="L27" s="770">
        <v>1457.0636999999999</v>
      </c>
      <c r="M27" s="770">
        <v>1122.8265000000001</v>
      </c>
      <c r="N27" s="770">
        <v>2531.9699999999998</v>
      </c>
      <c r="O27" s="770">
        <v>829.3</v>
      </c>
      <c r="P27" s="771">
        <f t="shared" si="6"/>
        <v>24859.695695000002</v>
      </c>
      <c r="Q27" s="771">
        <f t="shared" si="4"/>
        <v>4143.2826158333337</v>
      </c>
      <c r="R27" s="772"/>
      <c r="S27" s="773"/>
      <c r="T27" s="713"/>
      <c r="U27" s="764"/>
      <c r="V27" s="765"/>
    </row>
    <row r="28" spans="1:22">
      <c r="A28" s="766">
        <f t="shared" si="5"/>
        <v>5</v>
      </c>
      <c r="B28" s="767" t="s">
        <v>330</v>
      </c>
      <c r="C28" s="768">
        <v>3217.1824499999998</v>
      </c>
      <c r="D28" s="768">
        <v>5674.8750499999996</v>
      </c>
      <c r="E28" s="769">
        <v>4496.0072</v>
      </c>
      <c r="F28" s="769">
        <v>5380.4995887499999</v>
      </c>
      <c r="G28" s="841">
        <v>6572.64635</v>
      </c>
      <c r="H28" s="770">
        <v>5345.58</v>
      </c>
      <c r="I28" s="770">
        <v>6844.2281999999996</v>
      </c>
      <c r="J28" s="770">
        <v>5943.65</v>
      </c>
      <c r="K28" s="770">
        <v>5512.5558649999994</v>
      </c>
      <c r="L28" s="770">
        <v>6117.8438650000016</v>
      </c>
      <c r="M28" s="770">
        <v>7150.9868000000006</v>
      </c>
      <c r="N28" s="1048">
        <v>4317.9892499999996</v>
      </c>
      <c r="O28" s="770">
        <v>3580.75</v>
      </c>
      <c r="P28" s="771">
        <f t="shared" si="6"/>
        <v>66937.612168749998</v>
      </c>
      <c r="Q28" s="771">
        <f t="shared" si="4"/>
        <v>11156.268694791666</v>
      </c>
      <c r="R28" s="772"/>
      <c r="S28" s="773"/>
      <c r="T28" s="713"/>
      <c r="U28" s="764"/>
      <c r="V28" s="765"/>
    </row>
    <row r="29" spans="1:22">
      <c r="A29" s="766">
        <f t="shared" si="5"/>
        <v>6</v>
      </c>
      <c r="B29" s="767" t="s">
        <v>268</v>
      </c>
      <c r="C29" s="767"/>
      <c r="D29" s="768"/>
      <c r="E29" s="769">
        <v>516.22680000000014</v>
      </c>
      <c r="F29" s="769">
        <v>1351.7901000000002</v>
      </c>
      <c r="G29" s="769">
        <v>1744.5441000000003</v>
      </c>
      <c r="H29" s="770">
        <v>2470.7199999999998</v>
      </c>
      <c r="I29" s="770">
        <v>916.03</v>
      </c>
      <c r="J29" s="770">
        <v>1335.61</v>
      </c>
      <c r="K29" s="770">
        <v>1408.1794500000001</v>
      </c>
      <c r="L29" s="770">
        <v>3396.5072999999998</v>
      </c>
      <c r="M29" s="770">
        <v>1826.0353500000001</v>
      </c>
      <c r="N29" s="770">
        <v>633.57000000000005</v>
      </c>
      <c r="O29" s="770">
        <v>1496.32</v>
      </c>
      <c r="P29" s="771">
        <f t="shared" si="6"/>
        <v>17095.533100000001</v>
      </c>
      <c r="Q29" s="771">
        <f t="shared" si="4"/>
        <v>2849.2555166666666</v>
      </c>
      <c r="R29" s="772"/>
      <c r="S29" s="773"/>
      <c r="T29" s="713"/>
      <c r="U29" s="764"/>
      <c r="V29" s="765"/>
    </row>
    <row r="30" spans="1:22">
      <c r="A30" s="766">
        <v>7</v>
      </c>
      <c r="B30" s="767" t="s">
        <v>266</v>
      </c>
      <c r="C30" s="767"/>
      <c r="D30" s="768"/>
      <c r="E30" s="769"/>
      <c r="F30" s="769">
        <v>498.62910000000005</v>
      </c>
      <c r="G30" s="769">
        <v>596.82434999999998</v>
      </c>
      <c r="H30" s="770">
        <v>1085.98</v>
      </c>
      <c r="I30" s="770">
        <v>917.48</v>
      </c>
      <c r="J30" s="770">
        <v>1345.58</v>
      </c>
      <c r="K30" s="770">
        <v>1584.3099</v>
      </c>
      <c r="L30" s="770">
        <v>1237.67715</v>
      </c>
      <c r="M30" s="770">
        <v>2344.5985499999997</v>
      </c>
      <c r="N30" s="770">
        <v>2158.2800000000002</v>
      </c>
      <c r="O30" s="770">
        <v>1263.82</v>
      </c>
      <c r="P30" s="771">
        <f t="shared" si="6"/>
        <v>13033.179050000001</v>
      </c>
      <c r="Q30" s="771">
        <f t="shared" si="4"/>
        <v>2172.1965083333334</v>
      </c>
      <c r="R30" s="772"/>
      <c r="S30" s="773"/>
      <c r="T30" s="713"/>
      <c r="U30" s="764"/>
      <c r="V30" s="765"/>
    </row>
    <row r="31" spans="1:22">
      <c r="A31" s="766">
        <v>8</v>
      </c>
      <c r="B31" s="767" t="s">
        <v>274</v>
      </c>
      <c r="C31" s="767"/>
      <c r="D31" s="768"/>
      <c r="E31" s="769"/>
      <c r="F31" s="769"/>
      <c r="G31" s="769"/>
      <c r="H31" s="770">
        <v>152.22999999999999</v>
      </c>
      <c r="I31" s="770">
        <v>1363.37</v>
      </c>
      <c r="J31" s="770">
        <v>913.74</v>
      </c>
      <c r="K31" s="770">
        <v>775.30635000000029</v>
      </c>
      <c r="L31" s="770">
        <v>610.71904500000016</v>
      </c>
      <c r="M31" s="770">
        <v>1065.84645</v>
      </c>
      <c r="N31" s="770">
        <v>1303.1500000000001</v>
      </c>
      <c r="O31" s="770">
        <v>1133.3800000000001</v>
      </c>
      <c r="P31" s="771">
        <f t="shared" si="6"/>
        <v>7317.7418450000014</v>
      </c>
      <c r="Q31" s="771">
        <f t="shared" si="4"/>
        <v>1219.6236408333336</v>
      </c>
      <c r="R31" s="772"/>
      <c r="S31" s="773"/>
      <c r="T31" s="713"/>
      <c r="U31" s="764"/>
      <c r="V31" s="765"/>
    </row>
    <row r="32" spans="1:22">
      <c r="A32" s="766"/>
      <c r="B32" s="767"/>
      <c r="C32" s="767"/>
      <c r="D32" s="769"/>
      <c r="E32" s="769"/>
      <c r="F32" s="769"/>
      <c r="G32" s="769"/>
      <c r="H32" s="770"/>
      <c r="I32" s="770"/>
      <c r="J32" s="770"/>
      <c r="K32" s="770"/>
      <c r="L32" s="770"/>
      <c r="M32" s="770"/>
      <c r="N32" s="770"/>
      <c r="O32" s="770"/>
      <c r="P32" s="771">
        <f t="shared" si="6"/>
        <v>0</v>
      </c>
      <c r="Q32" s="771">
        <f t="shared" si="4"/>
        <v>0</v>
      </c>
      <c r="R32" s="772"/>
      <c r="S32" s="773"/>
      <c r="T32" s="713"/>
      <c r="U32" s="764"/>
      <c r="V32" s="765"/>
    </row>
    <row r="33" spans="3:17" ht="15.75" thickBot="1">
      <c r="C33" s="775">
        <f>SUM(C24:C32)</f>
        <v>10606.8354</v>
      </c>
      <c r="D33" s="775">
        <f>SUM(D24:D32)</f>
        <v>19685.9156</v>
      </c>
      <c r="E33" s="775">
        <f t="shared" ref="E33:Q33" si="7">SUM(E24:E32)</f>
        <v>17984.028799999996</v>
      </c>
      <c r="F33" s="775">
        <f t="shared" si="7"/>
        <v>21521.998354999996</v>
      </c>
      <c r="G33" s="775">
        <f t="shared" si="7"/>
        <v>26290.585399999996</v>
      </c>
      <c r="H33" s="775">
        <f t="shared" si="7"/>
        <v>21382.300000000003</v>
      </c>
      <c r="I33" s="775">
        <f t="shared" si="7"/>
        <v>27376.920999999995</v>
      </c>
      <c r="J33" s="775">
        <f t="shared" si="7"/>
        <v>23774.600000000002</v>
      </c>
      <c r="K33" s="775">
        <f t="shared" si="7"/>
        <v>22050.223459999997</v>
      </c>
      <c r="L33" s="775">
        <f t="shared" si="7"/>
        <v>24471.375460000003</v>
      </c>
      <c r="M33" s="776">
        <f t="shared" si="7"/>
        <v>28603.947200000002</v>
      </c>
      <c r="N33" s="775">
        <f t="shared" si="7"/>
        <v>17271.956249999999</v>
      </c>
      <c r="O33" s="775">
        <f t="shared" si="7"/>
        <v>14323.02</v>
      </c>
      <c r="P33" s="775">
        <f t="shared" si="7"/>
        <v>264736.87152500002</v>
      </c>
      <c r="Q33" s="775">
        <f t="shared" si="7"/>
        <v>44122.811920833337</v>
      </c>
    </row>
    <row r="34" spans="3:17" ht="15.75" thickTop="1">
      <c r="E34" s="777">
        <v>17984.028799999996</v>
      </c>
      <c r="F34" s="777">
        <v>21521.998354999996</v>
      </c>
      <c r="H34" s="777">
        <f>+'[5]PLANILLA MENSUAL'!S74</f>
        <v>0</v>
      </c>
      <c r="I34" s="777">
        <f>+'[5]PLANILLA MENSUAL'!S74</f>
        <v>0</v>
      </c>
      <c r="J34" s="993">
        <f>+[6]Resumen!$D$13</f>
        <v>23774.611999999994</v>
      </c>
      <c r="K34" s="777">
        <f>+[7]COMISIONES!$K$13</f>
        <v>22050.223459999997</v>
      </c>
      <c r="L34" s="993">
        <f>+[8]Resumen!$D$13</f>
        <v>24471.375460000003</v>
      </c>
      <c r="M34" s="993">
        <f>+[9]Resumen!$D$13</f>
        <v>28603.947200000002</v>
      </c>
      <c r="N34" s="993">
        <f>+[10]Resumen!$D$13</f>
        <v>17271.956999999999</v>
      </c>
      <c r="O34" s="993">
        <f>+[11]Resumen!$D$13</f>
        <v>14322.999599999999</v>
      </c>
    </row>
    <row r="35" spans="3:17">
      <c r="E35" s="777"/>
      <c r="F35" s="777"/>
      <c r="G35" s="777"/>
      <c r="H35" s="777"/>
      <c r="I35" s="762"/>
      <c r="J35" s="993"/>
      <c r="K35" s="993"/>
      <c r="L35" s="993"/>
      <c r="M35" s="993"/>
      <c r="N35" s="993"/>
      <c r="O35" s="993"/>
    </row>
  </sheetData>
  <mergeCells count="5">
    <mergeCell ref="P1:P2"/>
    <mergeCell ref="Q1:Q2"/>
    <mergeCell ref="D22:O22"/>
    <mergeCell ref="P22:P23"/>
    <mergeCell ref="Q22:Q23"/>
  </mergeCells>
  <conditionalFormatting sqref="B10:B11">
    <cfRule type="duplicateValues" dxfId="7" priority="1"/>
  </conditionalFormatting>
  <pageMargins left="0.15748031496062992" right="0.19685039370078741" top="0.74803149606299213" bottom="0.74803149606299213" header="0.31496062992125984" footer="0.31496062992125984"/>
  <pageSetup paperSize="9" scale="72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61CB-52A4-49C7-B9B7-744B86F799CF}">
  <dimension ref="B2:V186"/>
  <sheetViews>
    <sheetView zoomScale="80" zoomScaleNormal="80" workbookViewId="0">
      <pane xSplit="3" ySplit="5" topLeftCell="D25" activePane="bottomRight" state="frozen"/>
      <selection activeCell="K110" sqref="K110"/>
      <selection pane="topRight" activeCell="K110" sqref="K110"/>
      <selection pane="bottomLeft" activeCell="K110" sqref="K110"/>
      <selection pane="bottomRight" activeCell="M127" sqref="M127"/>
    </sheetView>
  </sheetViews>
  <sheetFormatPr baseColWidth="10" defaultColWidth="12.85546875" defaultRowHeight="12.75"/>
  <cols>
    <col min="1" max="1" width="2.7109375" style="638" customWidth="1"/>
    <col min="2" max="2" width="51.140625" style="638" customWidth="1"/>
    <col min="3" max="3" width="5.140625" style="638" customWidth="1"/>
    <col min="4" max="4" width="14.42578125" style="638" customWidth="1"/>
    <col min="5" max="5" width="14.5703125" style="705" customWidth="1"/>
    <col min="6" max="6" width="14.140625" style="705" customWidth="1"/>
    <col min="7" max="7" width="14.28515625" style="705" customWidth="1"/>
    <col min="8" max="8" width="14.85546875" style="705" customWidth="1"/>
    <col min="9" max="11" width="15.5703125" style="705" customWidth="1"/>
    <col min="12" max="12" width="17.28515625" style="641" customWidth="1"/>
    <col min="13" max="13" width="15.85546875" style="638" customWidth="1"/>
    <col min="14" max="14" width="11.42578125" style="638" customWidth="1"/>
    <col min="15" max="15" width="14.42578125" style="638" customWidth="1"/>
    <col min="16" max="16" width="16.140625" style="638" customWidth="1"/>
    <col min="17" max="20" width="11.42578125" style="638" customWidth="1"/>
    <col min="21" max="21" width="12.42578125" style="638" customWidth="1"/>
    <col min="22" max="233" width="11.42578125" style="638" customWidth="1"/>
    <col min="234" max="234" width="2.7109375" style="638" customWidth="1"/>
    <col min="235" max="235" width="31.5703125" style="638" customWidth="1"/>
    <col min="236" max="236" width="12.42578125" style="638" customWidth="1"/>
    <col min="237" max="237" width="13.42578125" style="638" bestFit="1" customWidth="1"/>
    <col min="238" max="238" width="12.140625" style="638" bestFit="1" customWidth="1"/>
    <col min="239" max="239" width="13.28515625" style="638" customWidth="1"/>
    <col min="240" max="242" width="12.140625" style="638" bestFit="1" customWidth="1"/>
    <col min="243" max="244" width="13.28515625" style="638" customWidth="1"/>
    <col min="245" max="245" width="14.42578125" style="638" customWidth="1"/>
    <col min="246" max="246" width="12.85546875" style="638" bestFit="1"/>
    <col min="247" max="16384" width="12.85546875" style="638"/>
  </cols>
  <sheetData>
    <row r="2" spans="2:13" s="635" customFormat="1" ht="15.75">
      <c r="B2" s="635" t="s">
        <v>784</v>
      </c>
      <c r="E2" s="636"/>
      <c r="F2" s="636"/>
      <c r="G2" s="636"/>
      <c r="H2" s="636"/>
      <c r="I2" s="636"/>
      <c r="J2" s="636"/>
      <c r="K2" s="636"/>
      <c r="L2" s="637"/>
    </row>
    <row r="3" spans="2:13" ht="13.5" thickBot="1">
      <c r="D3" s="639"/>
      <c r="E3" s="640"/>
      <c r="F3" s="640"/>
      <c r="G3" s="640"/>
      <c r="H3" s="640"/>
      <c r="I3" s="640"/>
      <c r="J3" s="640"/>
      <c r="K3" s="640"/>
    </row>
    <row r="4" spans="2:13" ht="15">
      <c r="B4" s="1505" t="s">
        <v>334</v>
      </c>
      <c r="C4" s="1507"/>
      <c r="D4" s="643" t="s">
        <v>335</v>
      </c>
      <c r="E4" s="644" t="s">
        <v>336</v>
      </c>
      <c r="F4" s="644" t="s">
        <v>337</v>
      </c>
      <c r="G4" s="645" t="s">
        <v>338</v>
      </c>
      <c r="H4" s="645" t="s">
        <v>337</v>
      </c>
      <c r="I4" s="645" t="s">
        <v>339</v>
      </c>
      <c r="J4" s="645" t="s">
        <v>340</v>
      </c>
      <c r="K4" s="645" t="s">
        <v>785</v>
      </c>
      <c r="L4" s="1509" t="s">
        <v>291</v>
      </c>
    </row>
    <row r="5" spans="2:13" ht="15.75" thickBot="1">
      <c r="B5" s="1506"/>
      <c r="C5" s="1508"/>
      <c r="D5" s="1067" t="s">
        <v>341</v>
      </c>
      <c r="E5" s="1068" t="s">
        <v>342</v>
      </c>
      <c r="F5" s="1068" t="s">
        <v>343</v>
      </c>
      <c r="G5" s="1069" t="s">
        <v>344</v>
      </c>
      <c r="H5" s="1069" t="s">
        <v>345</v>
      </c>
      <c r="I5" s="1069" t="s">
        <v>346</v>
      </c>
      <c r="J5" s="1069" t="s">
        <v>347</v>
      </c>
      <c r="K5" s="1069" t="s">
        <v>786</v>
      </c>
      <c r="L5" s="1510"/>
    </row>
    <row r="6" spans="2:13" s="648" customFormat="1" ht="15">
      <c r="B6" s="838" t="s">
        <v>318</v>
      </c>
      <c r="C6" s="646"/>
      <c r="D6" s="649"/>
      <c r="E6" s="649"/>
      <c r="F6" s="649"/>
      <c r="G6" s="649"/>
      <c r="H6" s="649"/>
      <c r="I6" s="649"/>
      <c r="J6" s="649"/>
      <c r="K6" s="649"/>
      <c r="L6" s="647"/>
    </row>
    <row r="7" spans="2:13" s="648" customFormat="1" ht="14.25">
      <c r="B7" s="646" t="s">
        <v>349</v>
      </c>
      <c r="C7" s="646"/>
      <c r="D7" s="649">
        <v>12113</v>
      </c>
      <c r="E7" s="649">
        <v>4613</v>
      </c>
      <c r="F7" s="649">
        <v>3613</v>
      </c>
      <c r="G7" s="649">
        <v>2913</v>
      </c>
      <c r="H7" s="649">
        <v>2500</v>
      </c>
      <c r="I7" s="649">
        <v>1800</v>
      </c>
      <c r="J7" s="649">
        <v>2000</v>
      </c>
      <c r="K7" s="649">
        <v>1500</v>
      </c>
      <c r="L7" s="647">
        <f>SUM(D7:K7)</f>
        <v>31052</v>
      </c>
    </row>
    <row r="8" spans="2:13" s="648" customFormat="1" ht="14.25">
      <c r="B8" s="646" t="s">
        <v>350</v>
      </c>
      <c r="C8" s="646"/>
      <c r="D8" s="1049">
        <v>5568.2823474576262</v>
      </c>
      <c r="E8" s="1049">
        <v>9122.3397000000004</v>
      </c>
      <c r="F8" s="1049">
        <v>2501.7108000000003</v>
      </c>
      <c r="G8" s="1049">
        <v>1375.3926864406781</v>
      </c>
      <c r="H8" s="1049">
        <v>404.14904999999999</v>
      </c>
      <c r="I8" s="1049">
        <v>2429.196355932203</v>
      </c>
      <c r="J8" s="1049">
        <v>872.05844999999999</v>
      </c>
      <c r="K8" s="1049"/>
      <c r="L8" s="647">
        <f>SUM(D8:J8)</f>
        <v>22273.129389830508</v>
      </c>
    </row>
    <row r="9" spans="2:13" s="648" customFormat="1" ht="14.25">
      <c r="B9" s="646" t="s">
        <v>351</v>
      </c>
      <c r="C9" s="646"/>
      <c r="D9" s="655"/>
      <c r="E9" s="655">
        <v>1399.40212</v>
      </c>
      <c r="F9" s="655">
        <v>639.34455333333312</v>
      </c>
      <c r="G9" s="655"/>
      <c r="H9" s="655"/>
      <c r="I9" s="649"/>
      <c r="J9" s="649"/>
      <c r="K9" s="649"/>
      <c r="L9" s="647">
        <f>SUM(D9:J9)</f>
        <v>2038.7466733333331</v>
      </c>
    </row>
    <row r="10" spans="2:13" s="664" customFormat="1" ht="14.25">
      <c r="B10" s="839"/>
      <c r="C10" s="839"/>
      <c r="D10" s="655"/>
      <c r="E10" s="655"/>
      <c r="F10" s="655"/>
      <c r="G10" s="655"/>
      <c r="H10" s="655"/>
      <c r="I10" s="649"/>
      <c r="J10" s="649"/>
      <c r="K10" s="649"/>
      <c r="L10" s="697"/>
    </row>
    <row r="11" spans="2:13" s="648" customFormat="1" ht="15">
      <c r="B11" s="838" t="s">
        <v>319</v>
      </c>
      <c r="C11" s="646"/>
      <c r="D11" s="655"/>
      <c r="E11" s="655"/>
      <c r="F11" s="655"/>
      <c r="G11" s="655"/>
      <c r="H11" s="655"/>
      <c r="I11" s="649"/>
      <c r="J11" s="649"/>
      <c r="K11" s="649"/>
      <c r="L11" s="647"/>
    </row>
    <row r="12" spans="2:13" s="648" customFormat="1" ht="14.25">
      <c r="B12" s="646" t="s">
        <v>349</v>
      </c>
      <c r="C12" s="646"/>
      <c r="D12" s="649">
        <v>12113</v>
      </c>
      <c r="E12" s="649">
        <v>4613</v>
      </c>
      <c r="F12" s="649">
        <v>3613</v>
      </c>
      <c r="G12" s="649">
        <v>2913</v>
      </c>
      <c r="H12" s="649">
        <v>2500</v>
      </c>
      <c r="I12" s="649">
        <v>1800</v>
      </c>
      <c r="J12" s="649">
        <v>2000</v>
      </c>
      <c r="K12" s="649">
        <v>1500</v>
      </c>
      <c r="L12" s="647">
        <f>SUM(D12:J12)</f>
        <v>29552</v>
      </c>
    </row>
    <row r="13" spans="2:13" s="648" customFormat="1" ht="14.25">
      <c r="B13" s="646" t="s">
        <v>350</v>
      </c>
      <c r="C13" s="646"/>
      <c r="D13" s="1049">
        <f>+COMISIONES!E6</f>
        <v>4483.2372220338984</v>
      </c>
      <c r="E13" s="1049">
        <f>+COMISIONES!E3</f>
        <v>6019.6636499999995</v>
      </c>
      <c r="F13" s="1049">
        <f>+COMISIONES!E4</f>
        <v>2599.7563500000001</v>
      </c>
      <c r="G13" s="1049">
        <f>+COMISIONES!E5</f>
        <v>2137.4428499999999</v>
      </c>
      <c r="H13" s="1049">
        <f>+COMISIONES!E7</f>
        <v>749.28030000000001</v>
      </c>
      <c r="I13" s="1049">
        <f>+COMISIONES!E8</f>
        <v>842.6241</v>
      </c>
      <c r="J13" s="1049">
        <f>+COMISIONES!E9</f>
        <v>1100.944416101695</v>
      </c>
      <c r="K13" s="1049"/>
      <c r="L13" s="647">
        <f>SUM(D13:J13)</f>
        <v>17932.94888813559</v>
      </c>
    </row>
    <row r="14" spans="2:13" s="648" customFormat="1" ht="14.25">
      <c r="B14" s="646"/>
      <c r="C14" s="646"/>
      <c r="D14" s="655"/>
      <c r="E14" s="655"/>
      <c r="F14" s="655"/>
      <c r="G14" s="655"/>
      <c r="H14" s="655"/>
      <c r="I14" s="649"/>
      <c r="J14" s="649"/>
      <c r="K14" s="649"/>
      <c r="L14" s="647">
        <f>SUM(D14:I14)</f>
        <v>0</v>
      </c>
    </row>
    <row r="15" spans="2:13" s="648" customFormat="1" ht="15">
      <c r="B15" s="838" t="s">
        <v>320</v>
      </c>
      <c r="C15" s="646"/>
      <c r="D15" s="655"/>
      <c r="E15" s="655"/>
      <c r="F15" s="655"/>
      <c r="G15" s="655"/>
      <c r="H15" s="655"/>
      <c r="I15" s="649"/>
      <c r="J15" s="649"/>
      <c r="K15" s="649"/>
      <c r="L15" s="647"/>
      <c r="M15" s="650"/>
    </row>
    <row r="16" spans="2:13" s="648" customFormat="1" ht="14.25">
      <c r="B16" s="646" t="s">
        <v>349</v>
      </c>
      <c r="C16" s="646"/>
      <c r="D16" s="649">
        <v>12113</v>
      </c>
      <c r="E16" s="649">
        <v>4613</v>
      </c>
      <c r="F16" s="649">
        <v>3613</v>
      </c>
      <c r="G16" s="649">
        <v>2913</v>
      </c>
      <c r="H16" s="649">
        <v>2500</v>
      </c>
      <c r="I16" s="649">
        <v>1800</v>
      </c>
      <c r="J16" s="649">
        <v>2000</v>
      </c>
      <c r="K16" s="649">
        <v>1500</v>
      </c>
      <c r="L16" s="647">
        <f>SUM(D16:J16)</f>
        <v>29552</v>
      </c>
      <c r="M16" s="650"/>
    </row>
    <row r="17" spans="2:13" s="648" customFormat="1" ht="14.25">
      <c r="B17" s="646" t="s">
        <v>350</v>
      </c>
      <c r="C17" s="646"/>
      <c r="D17" s="1051">
        <v>6098.9263499999997</v>
      </c>
      <c r="E17" s="1051">
        <v>8538.4968900000003</v>
      </c>
      <c r="F17" s="1051">
        <v>3287.0806499999999</v>
      </c>
      <c r="G17" s="1052">
        <v>1953.9544499999995</v>
      </c>
      <c r="H17" s="1052">
        <v>531.69464999999991</v>
      </c>
      <c r="I17" s="1052">
        <v>846.33224999999993</v>
      </c>
      <c r="J17" s="1052">
        <v>3369.7662</v>
      </c>
      <c r="K17" s="1376"/>
      <c r="L17" s="647">
        <f>SUM(D17:J17)</f>
        <v>24626.25144</v>
      </c>
      <c r="M17" s="650"/>
    </row>
    <row r="18" spans="2:13" s="648" customFormat="1" ht="14.25">
      <c r="B18" s="646" t="s">
        <v>351</v>
      </c>
      <c r="C18" s="646"/>
      <c r="D18" s="649"/>
      <c r="E18" s="649"/>
      <c r="F18" s="649"/>
      <c r="G18" s="655"/>
      <c r="H18" s="649"/>
      <c r="I18" s="649"/>
      <c r="J18" s="649"/>
      <c r="K18" s="649"/>
      <c r="L18" s="647">
        <f>SUM(D18:J18)</f>
        <v>0</v>
      </c>
      <c r="M18" s="650"/>
    </row>
    <row r="19" spans="2:13" s="1140" customFormat="1" ht="14.25">
      <c r="B19" s="1152" t="s">
        <v>352</v>
      </c>
      <c r="C19" s="1152"/>
      <c r="D19" s="1137">
        <v>22726.82</v>
      </c>
      <c r="E19" s="1137">
        <v>17322.29</v>
      </c>
      <c r="F19" s="1137">
        <v>10739.88</v>
      </c>
      <c r="G19" s="1137">
        <v>8723.49</v>
      </c>
      <c r="H19" s="1137">
        <v>7286.82</v>
      </c>
      <c r="I19" s="1137">
        <v>6752.33</v>
      </c>
      <c r="J19" s="1137">
        <v>4444.6499999999996</v>
      </c>
      <c r="K19" s="1137">
        <v>3376.6529481345597</v>
      </c>
      <c r="L19" s="1153">
        <f>SUM(D19:K19)</f>
        <v>81372.932948134548</v>
      </c>
      <c r="M19" s="1154" t="s">
        <v>353</v>
      </c>
    </row>
    <row r="20" spans="2:13" s="648" customFormat="1" ht="14.25">
      <c r="B20" s="646"/>
      <c r="C20" s="646"/>
      <c r="D20" s="649"/>
      <c r="E20" s="649"/>
      <c r="F20" s="649"/>
      <c r="G20" s="649"/>
      <c r="H20" s="649"/>
      <c r="I20" s="649"/>
      <c r="J20" s="649"/>
      <c r="K20" s="649"/>
      <c r="L20" s="647"/>
      <c r="M20" s="650"/>
    </row>
    <row r="21" spans="2:13" s="648" customFormat="1" ht="15">
      <c r="B21" s="838" t="s">
        <v>321</v>
      </c>
      <c r="C21" s="646"/>
      <c r="D21" s="649"/>
      <c r="E21" s="649"/>
      <c r="F21" s="649"/>
      <c r="G21" s="649"/>
      <c r="H21" s="649"/>
      <c r="I21" s="649"/>
      <c r="J21" s="649"/>
      <c r="K21" s="649"/>
      <c r="L21" s="647">
        <f>SUM(D21:I21)</f>
        <v>0</v>
      </c>
      <c r="M21" s="650"/>
    </row>
    <row r="22" spans="2:13" s="648" customFormat="1" ht="14.25">
      <c r="B22" s="646" t="s">
        <v>349</v>
      </c>
      <c r="C22" s="646"/>
      <c r="D22" s="649">
        <v>12113</v>
      </c>
      <c r="E22" s="649">
        <v>4613</v>
      </c>
      <c r="F22" s="649">
        <v>3613</v>
      </c>
      <c r="G22" s="649">
        <v>2913</v>
      </c>
      <c r="H22" s="649">
        <v>2500</v>
      </c>
      <c r="I22" s="649">
        <v>2200</v>
      </c>
      <c r="J22" s="649">
        <v>2000</v>
      </c>
      <c r="K22" s="649">
        <v>1500</v>
      </c>
      <c r="L22" s="647">
        <f t="shared" ref="L22:L53" si="0">SUM(D22:J22)</f>
        <v>29952</v>
      </c>
      <c r="M22" s="650"/>
    </row>
    <row r="23" spans="2:13" s="648" customFormat="1" ht="14.25">
      <c r="B23" s="646" t="s">
        <v>350</v>
      </c>
      <c r="C23" s="646"/>
      <c r="D23" s="1049">
        <v>9240.7809500000003</v>
      </c>
      <c r="E23" s="1049">
        <v>12937.093330000002</v>
      </c>
      <c r="F23" s="1049">
        <v>2509.8714</v>
      </c>
      <c r="G23" s="1049">
        <v>1486.9737000000002</v>
      </c>
      <c r="H23" s="1049">
        <v>2406.4389000000001</v>
      </c>
      <c r="I23" s="1049">
        <v>3286.2736500000001</v>
      </c>
      <c r="J23" s="1049">
        <v>937.36110000000019</v>
      </c>
      <c r="K23" s="1049"/>
      <c r="L23" s="647">
        <f t="shared" si="0"/>
        <v>32804.793030000001</v>
      </c>
      <c r="M23" s="650"/>
    </row>
    <row r="24" spans="2:13" s="648" customFormat="1" ht="14.25">
      <c r="B24" s="646" t="s">
        <v>351</v>
      </c>
      <c r="C24" s="646"/>
      <c r="D24" s="655"/>
      <c r="E24" s="655"/>
      <c r="F24" s="655"/>
      <c r="G24" s="655"/>
      <c r="H24" s="655"/>
      <c r="I24" s="649"/>
      <c r="J24" s="649"/>
      <c r="K24" s="649"/>
      <c r="L24" s="647">
        <f t="shared" si="0"/>
        <v>0</v>
      </c>
      <c r="M24" s="650"/>
    </row>
    <row r="25" spans="2:13" s="648" customFormat="1" ht="14.25">
      <c r="B25" s="646" t="s">
        <v>354</v>
      </c>
      <c r="C25" s="646"/>
      <c r="D25" s="655"/>
      <c r="E25" s="655"/>
      <c r="F25" s="655"/>
      <c r="G25" s="655"/>
      <c r="H25" s="655"/>
      <c r="I25" s="655"/>
      <c r="J25" s="649"/>
      <c r="K25" s="649"/>
      <c r="L25" s="647">
        <f t="shared" si="0"/>
        <v>0</v>
      </c>
      <c r="M25" s="650"/>
    </row>
    <row r="26" spans="2:13" s="648" customFormat="1" ht="15" hidden="1">
      <c r="B26" s="838" t="s">
        <v>322</v>
      </c>
      <c r="C26" s="646"/>
      <c r="D26" s="649"/>
      <c r="E26" s="649"/>
      <c r="F26" s="649"/>
      <c r="G26" s="649"/>
      <c r="H26" s="649"/>
      <c r="I26" s="649"/>
      <c r="J26" s="649"/>
      <c r="K26" s="649"/>
      <c r="L26" s="647">
        <f t="shared" si="0"/>
        <v>0</v>
      </c>
      <c r="M26" s="650"/>
    </row>
    <row r="27" spans="2:13" s="648" customFormat="1" ht="14.25" hidden="1">
      <c r="B27" s="646" t="s">
        <v>349</v>
      </c>
      <c r="C27" s="646"/>
      <c r="D27" s="649"/>
      <c r="E27" s="649"/>
      <c r="F27" s="649"/>
      <c r="G27" s="649"/>
      <c r="H27" s="649"/>
      <c r="I27" s="649"/>
      <c r="J27" s="649"/>
      <c r="K27" s="649"/>
      <c r="L27" s="647">
        <f t="shared" si="0"/>
        <v>0</v>
      </c>
      <c r="M27" s="650"/>
    </row>
    <row r="28" spans="2:13" s="648" customFormat="1" ht="14.25" hidden="1">
      <c r="B28" s="646" t="s">
        <v>350</v>
      </c>
      <c r="C28" s="646"/>
      <c r="D28" s="1049"/>
      <c r="E28" s="1049"/>
      <c r="F28" s="1049"/>
      <c r="G28" s="1049"/>
      <c r="H28" s="1049"/>
      <c r="I28" s="1049"/>
      <c r="J28" s="1049"/>
      <c r="K28" s="1049"/>
      <c r="L28" s="647">
        <f t="shared" si="0"/>
        <v>0</v>
      </c>
      <c r="M28" s="650"/>
    </row>
    <row r="29" spans="2:13" s="648" customFormat="1" ht="14.25" hidden="1">
      <c r="B29" s="646" t="s">
        <v>351</v>
      </c>
      <c r="C29" s="646"/>
      <c r="D29" s="649"/>
      <c r="E29" s="649"/>
      <c r="F29" s="649"/>
      <c r="G29" s="649"/>
      <c r="H29" s="649"/>
      <c r="I29" s="649"/>
      <c r="J29" s="649"/>
      <c r="K29" s="649"/>
      <c r="L29" s="647">
        <f t="shared" si="0"/>
        <v>0</v>
      </c>
      <c r="M29" s="650"/>
    </row>
    <row r="30" spans="2:13" s="648" customFormat="1" ht="14.25" hidden="1">
      <c r="B30" s="646"/>
      <c r="C30" s="646"/>
      <c r="D30" s="649"/>
      <c r="E30" s="649"/>
      <c r="F30" s="649"/>
      <c r="G30" s="649"/>
      <c r="H30" s="649"/>
      <c r="I30" s="649"/>
      <c r="J30" s="649"/>
      <c r="K30" s="649"/>
      <c r="L30" s="647">
        <f t="shared" si="0"/>
        <v>0</v>
      </c>
      <c r="M30" s="650"/>
    </row>
    <row r="31" spans="2:13" s="648" customFormat="1" ht="15" hidden="1">
      <c r="B31" s="838" t="s">
        <v>323</v>
      </c>
      <c r="C31" s="646"/>
      <c r="D31" s="649"/>
      <c r="E31" s="649"/>
      <c r="F31" s="649"/>
      <c r="G31" s="649"/>
      <c r="H31" s="649"/>
      <c r="I31" s="649"/>
      <c r="J31" s="649"/>
      <c r="K31" s="649"/>
      <c r="L31" s="647">
        <f t="shared" si="0"/>
        <v>0</v>
      </c>
      <c r="M31" s="650"/>
    </row>
    <row r="32" spans="2:13" s="648" customFormat="1" ht="14.25" hidden="1">
      <c r="B32" s="646" t="s">
        <v>349</v>
      </c>
      <c r="C32" s="646"/>
      <c r="D32" s="649"/>
      <c r="E32" s="649"/>
      <c r="F32" s="649"/>
      <c r="G32" s="649"/>
      <c r="H32" s="649"/>
      <c r="I32" s="649"/>
      <c r="J32" s="649"/>
      <c r="K32" s="649"/>
      <c r="L32" s="647">
        <f t="shared" si="0"/>
        <v>0</v>
      </c>
      <c r="M32" s="650"/>
    </row>
    <row r="33" spans="2:13" s="648" customFormat="1" ht="14.25" hidden="1">
      <c r="B33" s="646" t="s">
        <v>350</v>
      </c>
      <c r="C33" s="646"/>
      <c r="D33" s="1049"/>
      <c r="E33" s="1049"/>
      <c r="F33" s="1049"/>
      <c r="G33" s="1049"/>
      <c r="H33" s="1049"/>
      <c r="I33" s="1049"/>
      <c r="J33" s="1049"/>
      <c r="K33" s="1049"/>
      <c r="L33" s="647">
        <f t="shared" si="0"/>
        <v>0</v>
      </c>
      <c r="M33" s="650"/>
    </row>
    <row r="34" spans="2:13" s="648" customFormat="1" ht="14.25" hidden="1">
      <c r="B34" s="646"/>
      <c r="C34" s="646"/>
      <c r="D34" s="649"/>
      <c r="E34" s="649"/>
      <c r="F34" s="649"/>
      <c r="G34" s="649"/>
      <c r="H34" s="649"/>
      <c r="I34" s="649"/>
      <c r="J34" s="649"/>
      <c r="K34" s="649"/>
      <c r="L34" s="647">
        <f t="shared" si="0"/>
        <v>0</v>
      </c>
      <c r="M34" s="650"/>
    </row>
    <row r="35" spans="2:13" s="648" customFormat="1" ht="15" hidden="1">
      <c r="B35" s="838" t="s">
        <v>324</v>
      </c>
      <c r="C35" s="646"/>
      <c r="D35" s="649"/>
      <c r="E35" s="649"/>
      <c r="F35" s="649"/>
      <c r="G35" s="649"/>
      <c r="H35" s="649"/>
      <c r="I35" s="649"/>
      <c r="J35" s="649"/>
      <c r="K35" s="649"/>
      <c r="L35" s="647">
        <f t="shared" si="0"/>
        <v>0</v>
      </c>
      <c r="M35" s="650"/>
    </row>
    <row r="36" spans="2:13" s="648" customFormat="1" ht="14.25" hidden="1">
      <c r="B36" s="646" t="s">
        <v>349</v>
      </c>
      <c r="C36" s="646"/>
      <c r="D36" s="649"/>
      <c r="E36" s="649"/>
      <c r="F36" s="649"/>
      <c r="G36" s="649"/>
      <c r="H36" s="649"/>
      <c r="I36" s="649"/>
      <c r="J36" s="649"/>
      <c r="K36" s="649"/>
      <c r="L36" s="647">
        <f t="shared" si="0"/>
        <v>0</v>
      </c>
      <c r="M36" s="650"/>
    </row>
    <row r="37" spans="2:13" s="648" customFormat="1" ht="14.25" hidden="1">
      <c r="B37" s="646" t="s">
        <v>350</v>
      </c>
      <c r="C37" s="646"/>
      <c r="D37" s="1049"/>
      <c r="E37" s="1049"/>
      <c r="F37" s="1049"/>
      <c r="G37" s="1049"/>
      <c r="H37" s="1049"/>
      <c r="I37" s="1049"/>
      <c r="J37" s="1049"/>
      <c r="K37" s="1049"/>
      <c r="L37" s="647">
        <f t="shared" si="0"/>
        <v>0</v>
      </c>
      <c r="M37" s="650"/>
    </row>
    <row r="38" spans="2:13" s="652" customFormat="1" ht="14.25" hidden="1">
      <c r="B38" s="656" t="s">
        <v>355</v>
      </c>
      <c r="C38" s="656"/>
      <c r="D38" s="649"/>
      <c r="E38" s="649"/>
      <c r="F38" s="649"/>
      <c r="G38" s="649"/>
      <c r="H38" s="649"/>
      <c r="I38" s="649"/>
      <c r="J38" s="649"/>
      <c r="K38" s="649"/>
      <c r="L38" s="647">
        <f t="shared" si="0"/>
        <v>0</v>
      </c>
      <c r="M38" s="651"/>
    </row>
    <row r="39" spans="2:13" s="652" customFormat="1" ht="14.25" hidden="1">
      <c r="B39" s="646" t="s">
        <v>351</v>
      </c>
      <c r="C39" s="656"/>
      <c r="D39" s="707"/>
      <c r="E39" s="655"/>
      <c r="F39" s="655"/>
      <c r="G39" s="707"/>
      <c r="H39" s="707"/>
      <c r="I39" s="649"/>
      <c r="J39" s="649"/>
      <c r="K39" s="649"/>
      <c r="L39" s="647">
        <f t="shared" si="0"/>
        <v>0</v>
      </c>
      <c r="M39" s="651"/>
    </row>
    <row r="40" spans="2:13" s="652" customFormat="1" ht="14.25" hidden="1">
      <c r="B40" s="656"/>
      <c r="C40" s="656"/>
      <c r="D40" s="707"/>
      <c r="E40" s="707"/>
      <c r="F40" s="707"/>
      <c r="G40" s="707"/>
      <c r="H40" s="707"/>
      <c r="I40" s="649"/>
      <c r="J40" s="649"/>
      <c r="K40" s="649"/>
      <c r="L40" s="647">
        <f t="shared" si="0"/>
        <v>0</v>
      </c>
      <c r="M40" s="651"/>
    </row>
    <row r="41" spans="2:13" s="652" customFormat="1" ht="15" hidden="1">
      <c r="B41" s="838" t="s">
        <v>325</v>
      </c>
      <c r="C41" s="656"/>
      <c r="D41" s="707"/>
      <c r="E41" s="707"/>
      <c r="F41" s="707"/>
      <c r="G41" s="707"/>
      <c r="H41" s="707"/>
      <c r="I41" s="649"/>
      <c r="J41" s="649"/>
      <c r="K41" s="649"/>
      <c r="L41" s="647">
        <f t="shared" si="0"/>
        <v>0</v>
      </c>
      <c r="M41" s="651"/>
    </row>
    <row r="42" spans="2:13" s="652" customFormat="1" ht="14.25" hidden="1">
      <c r="B42" s="646" t="s">
        <v>349</v>
      </c>
      <c r="C42" s="656"/>
      <c r="D42" s="649"/>
      <c r="E42" s="649"/>
      <c r="F42" s="649"/>
      <c r="G42" s="649"/>
      <c r="H42" s="649"/>
      <c r="I42" s="649"/>
      <c r="J42" s="649"/>
      <c r="K42" s="649"/>
      <c r="L42" s="647">
        <f t="shared" si="0"/>
        <v>0</v>
      </c>
      <c r="M42" s="651"/>
    </row>
    <row r="43" spans="2:13" s="652" customFormat="1" ht="14.25" hidden="1">
      <c r="B43" s="646" t="s">
        <v>350</v>
      </c>
      <c r="C43" s="656"/>
      <c r="D43" s="649"/>
      <c r="E43" s="649"/>
      <c r="F43" s="649"/>
      <c r="G43" s="649"/>
      <c r="H43" s="649"/>
      <c r="I43" s="649"/>
      <c r="J43" s="649"/>
      <c r="K43" s="649"/>
      <c r="L43" s="647">
        <f t="shared" si="0"/>
        <v>0</v>
      </c>
      <c r="M43" s="651"/>
    </row>
    <row r="44" spans="2:13" s="652" customFormat="1" ht="14.25" hidden="1">
      <c r="B44" s="646"/>
      <c r="C44" s="656"/>
      <c r="D44" s="707"/>
      <c r="E44" s="707"/>
      <c r="F44" s="707"/>
      <c r="G44" s="707"/>
      <c r="H44" s="707"/>
      <c r="I44" s="649"/>
      <c r="J44" s="649"/>
      <c r="K44" s="649"/>
      <c r="L44" s="647">
        <f t="shared" si="0"/>
        <v>0</v>
      </c>
      <c r="M44" s="651"/>
    </row>
    <row r="45" spans="2:13" s="648" customFormat="1" ht="14.25" hidden="1">
      <c r="B45" s="646" t="s">
        <v>356</v>
      </c>
      <c r="C45" s="646"/>
      <c r="D45" s="649"/>
      <c r="E45" s="649"/>
      <c r="F45" s="649"/>
      <c r="G45" s="649"/>
      <c r="H45" s="649"/>
      <c r="I45" s="649"/>
      <c r="J45" s="649"/>
      <c r="K45" s="649"/>
      <c r="L45" s="647">
        <f t="shared" si="0"/>
        <v>0</v>
      </c>
      <c r="M45" s="650"/>
    </row>
    <row r="46" spans="2:13" s="648" customFormat="1" ht="14.25" hidden="1">
      <c r="B46" s="646" t="s">
        <v>349</v>
      </c>
      <c r="C46" s="646"/>
      <c r="D46" s="649"/>
      <c r="E46" s="649"/>
      <c r="F46" s="649"/>
      <c r="G46" s="649"/>
      <c r="H46" s="649"/>
      <c r="I46" s="649"/>
      <c r="J46" s="649"/>
      <c r="K46" s="649"/>
      <c r="L46" s="647">
        <f t="shared" si="0"/>
        <v>0</v>
      </c>
      <c r="M46" s="650"/>
    </row>
    <row r="47" spans="2:13" s="648" customFormat="1" ht="14.25" hidden="1">
      <c r="B47" s="646" t="s">
        <v>350</v>
      </c>
      <c r="C47" s="646"/>
      <c r="D47" s="649"/>
      <c r="E47" s="649"/>
      <c r="F47" s="649"/>
      <c r="G47" s="649"/>
      <c r="H47" s="649"/>
      <c r="I47" s="649"/>
      <c r="J47" s="649"/>
      <c r="K47" s="649"/>
      <c r="L47" s="647">
        <f t="shared" si="0"/>
        <v>0</v>
      </c>
      <c r="M47" s="650"/>
    </row>
    <row r="48" spans="2:13" s="648" customFormat="1" ht="14.25" hidden="1">
      <c r="B48" s="646" t="s">
        <v>357</v>
      </c>
      <c r="C48" s="646"/>
      <c r="D48" s="649"/>
      <c r="E48" s="649"/>
      <c r="F48" s="649"/>
      <c r="G48" s="649"/>
      <c r="H48" s="649"/>
      <c r="I48" s="649"/>
      <c r="J48" s="649"/>
      <c r="K48" s="649"/>
      <c r="L48" s="647">
        <f t="shared" si="0"/>
        <v>0</v>
      </c>
      <c r="M48" s="650"/>
    </row>
    <row r="49" spans="2:13" s="648" customFormat="1" ht="14.25" hidden="1">
      <c r="B49" s="646"/>
      <c r="C49" s="646"/>
      <c r="D49" s="649"/>
      <c r="E49" s="649"/>
      <c r="F49" s="649"/>
      <c r="G49" s="649"/>
      <c r="H49" s="649"/>
      <c r="I49" s="649"/>
      <c r="J49" s="649"/>
      <c r="K49" s="649"/>
      <c r="L49" s="647">
        <f t="shared" si="0"/>
        <v>0</v>
      </c>
      <c r="M49" s="650"/>
    </row>
    <row r="50" spans="2:13" s="648" customFormat="1" ht="14.25" hidden="1">
      <c r="B50" s="646" t="s">
        <v>327</v>
      </c>
      <c r="C50" s="646"/>
      <c r="D50" s="649"/>
      <c r="E50" s="649"/>
      <c r="F50" s="649"/>
      <c r="G50" s="649"/>
      <c r="H50" s="649"/>
      <c r="I50" s="649"/>
      <c r="J50" s="649"/>
      <c r="K50" s="649"/>
      <c r="L50" s="647">
        <f t="shared" si="0"/>
        <v>0</v>
      </c>
      <c r="M50" s="650"/>
    </row>
    <row r="51" spans="2:13" s="648" customFormat="1" ht="14.25" hidden="1">
      <c r="B51" s="646" t="s">
        <v>349</v>
      </c>
      <c r="C51" s="646"/>
      <c r="D51" s="649"/>
      <c r="E51" s="649"/>
      <c r="F51" s="649"/>
      <c r="G51" s="649"/>
      <c r="H51" s="649"/>
      <c r="I51" s="649"/>
      <c r="J51" s="649"/>
      <c r="K51" s="649"/>
      <c r="L51" s="647">
        <f t="shared" si="0"/>
        <v>0</v>
      </c>
      <c r="M51" s="650"/>
    </row>
    <row r="52" spans="2:13" s="648" customFormat="1" ht="14.25" hidden="1">
      <c r="B52" s="646" t="s">
        <v>350</v>
      </c>
      <c r="C52" s="646"/>
      <c r="D52" s="649"/>
      <c r="E52" s="649"/>
      <c r="F52" s="649"/>
      <c r="G52" s="649"/>
      <c r="H52" s="649"/>
      <c r="I52" s="649"/>
      <c r="J52" s="649"/>
      <c r="K52" s="649"/>
      <c r="L52" s="647">
        <f t="shared" si="0"/>
        <v>0</v>
      </c>
      <c r="M52" s="650"/>
    </row>
    <row r="53" spans="2:13" s="648" customFormat="1" ht="14.25" hidden="1">
      <c r="B53" s="646" t="s">
        <v>357</v>
      </c>
      <c r="C53" s="646"/>
      <c r="D53" s="649"/>
      <c r="E53" s="649"/>
      <c r="F53" s="649"/>
      <c r="G53" s="649"/>
      <c r="H53" s="649"/>
      <c r="I53" s="649"/>
      <c r="J53" s="649"/>
      <c r="K53" s="649"/>
      <c r="L53" s="647">
        <f t="shared" si="0"/>
        <v>0</v>
      </c>
      <c r="M53" s="650"/>
    </row>
    <row r="54" spans="2:13" s="648" customFormat="1" ht="14.25" hidden="1">
      <c r="B54" s="646" t="s">
        <v>358</v>
      </c>
      <c r="C54" s="646"/>
      <c r="D54" s="649"/>
      <c r="E54" s="649"/>
      <c r="F54" s="649"/>
      <c r="G54" s="649"/>
      <c r="H54" s="649"/>
      <c r="I54" s="649"/>
      <c r="J54" s="649"/>
      <c r="K54" s="649"/>
      <c r="L54" s="647">
        <f t="shared" ref="L54:L74" si="1">SUM(D54:J54)</f>
        <v>0</v>
      </c>
      <c r="M54" s="650"/>
    </row>
    <row r="55" spans="2:13" s="648" customFormat="1" ht="14.25" hidden="1">
      <c r="B55" s="646" t="s">
        <v>359</v>
      </c>
      <c r="C55" s="646"/>
      <c r="D55" s="649"/>
      <c r="E55" s="649"/>
      <c r="F55" s="649"/>
      <c r="G55" s="649"/>
      <c r="H55" s="649"/>
      <c r="I55" s="649"/>
      <c r="J55" s="649"/>
      <c r="K55" s="649"/>
      <c r="L55" s="647">
        <f t="shared" si="1"/>
        <v>0</v>
      </c>
      <c r="M55" s="650"/>
    </row>
    <row r="56" spans="2:13" s="648" customFormat="1" ht="14.25" hidden="1">
      <c r="B56" s="646"/>
      <c r="C56" s="646"/>
      <c r="D56" s="649"/>
      <c r="E56" s="649"/>
      <c r="F56" s="649"/>
      <c r="G56" s="649"/>
      <c r="H56" s="649"/>
      <c r="I56" s="649"/>
      <c r="J56" s="649"/>
      <c r="K56" s="649"/>
      <c r="L56" s="647">
        <f t="shared" si="1"/>
        <v>0</v>
      </c>
      <c r="M56" s="650"/>
    </row>
    <row r="57" spans="2:13" s="648" customFormat="1" ht="14.25" hidden="1">
      <c r="B57" s="646" t="s">
        <v>328</v>
      </c>
      <c r="C57" s="646"/>
      <c r="D57" s="649"/>
      <c r="E57" s="649"/>
      <c r="F57" s="649"/>
      <c r="G57" s="649"/>
      <c r="H57" s="649"/>
      <c r="I57" s="649"/>
      <c r="J57" s="649"/>
      <c r="K57" s="649"/>
      <c r="L57" s="647">
        <f t="shared" si="1"/>
        <v>0</v>
      </c>
      <c r="M57" s="650"/>
    </row>
    <row r="58" spans="2:13" s="648" customFormat="1" ht="14.25" hidden="1">
      <c r="B58" s="646" t="s">
        <v>349</v>
      </c>
      <c r="C58" s="646"/>
      <c r="D58" s="649"/>
      <c r="E58" s="649"/>
      <c r="F58" s="649"/>
      <c r="G58" s="649"/>
      <c r="H58" s="649"/>
      <c r="I58" s="649"/>
      <c r="J58" s="649"/>
      <c r="K58" s="649"/>
      <c r="L58" s="647">
        <f t="shared" si="1"/>
        <v>0</v>
      </c>
      <c r="M58" s="650"/>
    </row>
    <row r="59" spans="2:13" s="648" customFormat="1" ht="14.25" hidden="1">
      <c r="B59" s="646" t="s">
        <v>350</v>
      </c>
      <c r="C59" s="646"/>
      <c r="D59" s="1049"/>
      <c r="E59" s="1049"/>
      <c r="F59" s="1049"/>
      <c r="G59" s="1049"/>
      <c r="H59" s="1049"/>
      <c r="I59" s="1049"/>
      <c r="J59" s="1049"/>
      <c r="K59" s="1049"/>
      <c r="L59" s="647">
        <f t="shared" si="1"/>
        <v>0</v>
      </c>
      <c r="M59" s="650"/>
    </row>
    <row r="60" spans="2:13" s="648" customFormat="1" ht="14.25" hidden="1">
      <c r="B60" s="646"/>
      <c r="C60" s="646"/>
      <c r="D60" s="649"/>
      <c r="E60" s="649"/>
      <c r="F60" s="649"/>
      <c r="G60" s="649"/>
      <c r="H60" s="649"/>
      <c r="I60" s="649"/>
      <c r="J60" s="649"/>
      <c r="K60" s="649"/>
      <c r="L60" s="647">
        <f t="shared" si="1"/>
        <v>0</v>
      </c>
      <c r="M60" s="650"/>
    </row>
    <row r="61" spans="2:13" s="648" customFormat="1" ht="14.25" hidden="1">
      <c r="B61" s="646" t="s">
        <v>329</v>
      </c>
      <c r="C61" s="646"/>
      <c r="D61" s="649"/>
      <c r="E61" s="649"/>
      <c r="F61" s="649"/>
      <c r="G61" s="649"/>
      <c r="H61" s="649"/>
      <c r="I61" s="649"/>
      <c r="J61" s="649"/>
      <c r="K61" s="649"/>
      <c r="L61" s="647">
        <f t="shared" si="1"/>
        <v>0</v>
      </c>
      <c r="M61" s="650"/>
    </row>
    <row r="62" spans="2:13" s="648" customFormat="1" ht="14.25" hidden="1">
      <c r="B62" s="646" t="s">
        <v>349</v>
      </c>
      <c r="C62" s="646"/>
      <c r="D62" s="649"/>
      <c r="E62" s="649"/>
      <c r="F62" s="649"/>
      <c r="G62" s="649"/>
      <c r="H62" s="649"/>
      <c r="I62" s="649"/>
      <c r="J62" s="649"/>
      <c r="K62" s="649"/>
      <c r="L62" s="647">
        <f t="shared" si="1"/>
        <v>0</v>
      </c>
      <c r="M62" s="650"/>
    </row>
    <row r="63" spans="2:13" s="648" customFormat="1" ht="14.25" hidden="1">
      <c r="B63" s="646" t="s">
        <v>350</v>
      </c>
      <c r="C63" s="646"/>
      <c r="D63" s="1049"/>
      <c r="E63" s="1049"/>
      <c r="F63" s="1049"/>
      <c r="G63" s="1049"/>
      <c r="H63" s="1049"/>
      <c r="I63" s="1049"/>
      <c r="J63" s="1049"/>
      <c r="K63" s="1049"/>
      <c r="L63" s="647">
        <f t="shared" si="1"/>
        <v>0</v>
      </c>
      <c r="M63" s="650"/>
    </row>
    <row r="64" spans="2:13" s="648" customFormat="1" ht="14.25" hidden="1">
      <c r="B64" s="646" t="s">
        <v>360</v>
      </c>
      <c r="C64" s="646"/>
      <c r="D64" s="649"/>
      <c r="E64" s="649"/>
      <c r="F64" s="649"/>
      <c r="G64" s="649"/>
      <c r="H64" s="649"/>
      <c r="I64" s="649"/>
      <c r="J64" s="649"/>
      <c r="K64" s="649"/>
      <c r="L64" s="647">
        <f t="shared" si="1"/>
        <v>0</v>
      </c>
      <c r="M64" s="650"/>
    </row>
    <row r="65" spans="2:13" s="652" customFormat="1" ht="14.25" hidden="1">
      <c r="B65" s="656" t="s">
        <v>361</v>
      </c>
      <c r="C65" s="656"/>
      <c r="D65" s="649"/>
      <c r="E65" s="649"/>
      <c r="F65" s="649"/>
      <c r="G65" s="649"/>
      <c r="H65" s="649"/>
      <c r="I65" s="649"/>
      <c r="J65" s="649"/>
      <c r="K65" s="649"/>
      <c r="L65" s="647">
        <f t="shared" si="1"/>
        <v>0</v>
      </c>
      <c r="M65" s="651"/>
    </row>
    <row r="66" spans="2:13" s="648" customFormat="1" ht="14.25" hidden="1">
      <c r="B66" s="646" t="s">
        <v>362</v>
      </c>
      <c r="C66" s="646"/>
      <c r="D66" s="655"/>
      <c r="E66" s="655"/>
      <c r="F66" s="655"/>
      <c r="G66" s="655"/>
      <c r="H66" s="655"/>
      <c r="I66" s="655"/>
      <c r="J66" s="655"/>
      <c r="K66" s="655"/>
      <c r="L66" s="647">
        <f t="shared" si="1"/>
        <v>0</v>
      </c>
      <c r="M66" s="650"/>
    </row>
    <row r="67" spans="2:13" s="648" customFormat="1" ht="14.25" hidden="1">
      <c r="B67" s="646"/>
      <c r="C67" s="646"/>
      <c r="D67" s="655"/>
      <c r="E67" s="655"/>
      <c r="F67" s="655"/>
      <c r="G67" s="655"/>
      <c r="H67" s="655"/>
      <c r="I67" s="649"/>
      <c r="J67" s="649"/>
      <c r="K67" s="649"/>
      <c r="L67" s="647">
        <f t="shared" si="1"/>
        <v>0</v>
      </c>
      <c r="M67" s="650"/>
    </row>
    <row r="68" spans="2:13" s="648" customFormat="1" ht="14.25" hidden="1">
      <c r="B68" s="646"/>
      <c r="C68" s="646"/>
      <c r="D68" s="655"/>
      <c r="E68" s="655"/>
      <c r="F68" s="655"/>
      <c r="G68" s="655"/>
      <c r="H68" s="655"/>
      <c r="I68" s="649"/>
      <c r="J68" s="649"/>
      <c r="K68" s="649"/>
      <c r="L68" s="647">
        <f t="shared" si="1"/>
        <v>0</v>
      </c>
      <c r="M68" s="650"/>
    </row>
    <row r="69" spans="2:13" s="648" customFormat="1" ht="14.25">
      <c r="B69" s="646"/>
      <c r="C69" s="646"/>
      <c r="D69" s="655"/>
      <c r="E69" s="655"/>
      <c r="F69" s="655"/>
      <c r="G69" s="655"/>
      <c r="H69" s="655"/>
      <c r="I69" s="649"/>
      <c r="J69" s="649"/>
      <c r="K69" s="649"/>
      <c r="L69" s="647">
        <f t="shared" si="1"/>
        <v>0</v>
      </c>
      <c r="M69" s="650"/>
    </row>
    <row r="70" spans="2:13" s="648" customFormat="1" ht="14.25" customHeight="1">
      <c r="B70" s="838" t="s">
        <v>322</v>
      </c>
      <c r="C70" s="646"/>
      <c r="D70" s="655"/>
      <c r="E70" s="649"/>
      <c r="F70" s="655"/>
      <c r="G70" s="655"/>
      <c r="H70" s="655"/>
      <c r="I70" s="649"/>
      <c r="J70" s="649"/>
      <c r="K70" s="649"/>
      <c r="L70" s="647">
        <f t="shared" si="1"/>
        <v>0</v>
      </c>
      <c r="M70" s="650"/>
    </row>
    <row r="71" spans="2:13" s="648" customFormat="1" ht="14.25">
      <c r="B71" s="646" t="s">
        <v>349</v>
      </c>
      <c r="C71" s="646"/>
      <c r="D71" s="655">
        <v>13113</v>
      </c>
      <c r="E71" s="649">
        <v>4613</v>
      </c>
      <c r="F71" s="655">
        <f>3800+113</f>
        <v>3913</v>
      </c>
      <c r="G71" s="655">
        <v>2913</v>
      </c>
      <c r="H71" s="655">
        <v>2500</v>
      </c>
      <c r="I71" s="649">
        <v>2500</v>
      </c>
      <c r="J71" s="649">
        <f>2300+113</f>
        <v>2413</v>
      </c>
      <c r="K71" s="649">
        <v>1800</v>
      </c>
      <c r="L71" s="647">
        <f t="shared" si="1"/>
        <v>31965</v>
      </c>
      <c r="M71" s="650"/>
    </row>
    <row r="72" spans="2:13" s="648" customFormat="1" ht="14.25">
      <c r="B72" s="646" t="s">
        <v>350</v>
      </c>
      <c r="C72" s="646"/>
      <c r="D72" s="655">
        <v>6044.9786771186446</v>
      </c>
      <c r="E72" s="655">
        <v>8462.9701479661016</v>
      </c>
      <c r="F72" s="655">
        <v>3359.0190000000002</v>
      </c>
      <c r="G72" s="655">
        <v>1343.5632000000001</v>
      </c>
      <c r="H72" s="655">
        <v>700.75905</v>
      </c>
      <c r="I72" s="649">
        <v>1799.1558813559323</v>
      </c>
      <c r="J72" s="649">
        <v>1449.1908000000001</v>
      </c>
      <c r="K72" s="649">
        <v>887.80799999999988</v>
      </c>
      <c r="L72" s="647">
        <f t="shared" si="1"/>
        <v>23159.636756440679</v>
      </c>
      <c r="M72" s="650"/>
    </row>
    <row r="73" spans="2:13" s="648" customFormat="1" ht="14.25">
      <c r="B73" s="646" t="s">
        <v>351</v>
      </c>
      <c r="C73" s="646"/>
      <c r="D73" s="649"/>
      <c r="E73" s="649"/>
      <c r="F73" s="649"/>
      <c r="G73" s="649"/>
      <c r="H73" s="649"/>
      <c r="I73" s="649"/>
      <c r="J73" s="649"/>
      <c r="K73" s="649"/>
      <c r="L73" s="647">
        <f t="shared" si="1"/>
        <v>0</v>
      </c>
      <c r="M73" s="650"/>
    </row>
    <row r="74" spans="2:13" s="648" customFormat="1" ht="14.25">
      <c r="B74" s="646" t="s">
        <v>354</v>
      </c>
      <c r="C74" s="646"/>
      <c r="D74" s="649"/>
      <c r="E74" s="649"/>
      <c r="F74" s="649"/>
      <c r="G74" s="649"/>
      <c r="H74" s="649"/>
      <c r="I74" s="649"/>
      <c r="J74" s="649"/>
      <c r="K74" s="649"/>
      <c r="L74" s="647">
        <f t="shared" si="1"/>
        <v>0</v>
      </c>
      <c r="M74" s="650"/>
    </row>
    <row r="75" spans="2:13" s="648" customFormat="1" ht="14.25">
      <c r="B75" s="646"/>
      <c r="C75" s="646"/>
      <c r="D75" s="649"/>
      <c r="E75" s="649"/>
      <c r="F75" s="649"/>
      <c r="G75" s="649"/>
      <c r="H75" s="649"/>
      <c r="I75" s="649"/>
      <c r="J75" s="649"/>
      <c r="K75" s="649"/>
      <c r="L75" s="647"/>
      <c r="M75" s="650"/>
    </row>
    <row r="76" spans="2:13" s="648" customFormat="1" ht="15">
      <c r="B76" s="838" t="s">
        <v>323</v>
      </c>
      <c r="C76" s="646"/>
      <c r="D76" s="649"/>
      <c r="E76" s="649"/>
      <c r="F76" s="649"/>
      <c r="G76" s="649"/>
      <c r="H76" s="649"/>
      <c r="I76" s="649"/>
      <c r="J76" s="649"/>
      <c r="K76" s="649"/>
      <c r="L76" s="647"/>
      <c r="M76" s="650"/>
    </row>
    <row r="77" spans="2:13" s="648" customFormat="1" ht="14.25">
      <c r="B77" s="646" t="s">
        <v>349</v>
      </c>
      <c r="C77" s="646"/>
      <c r="D77" s="655">
        <v>13113</v>
      </c>
      <c r="E77" s="649">
        <v>4613</v>
      </c>
      <c r="F77" s="655">
        <f>3800+113</f>
        <v>3913</v>
      </c>
      <c r="G77" s="655">
        <v>2913</v>
      </c>
      <c r="H77" s="655">
        <v>2500</v>
      </c>
      <c r="I77" s="649">
        <v>2500</v>
      </c>
      <c r="J77" s="649">
        <f>2300+113</f>
        <v>2413</v>
      </c>
      <c r="K77" s="649">
        <v>1800</v>
      </c>
      <c r="L77" s="647"/>
      <c r="M77" s="650"/>
    </row>
    <row r="78" spans="2:13" s="648" customFormat="1" ht="14.25">
      <c r="B78" s="646" t="s">
        <v>350</v>
      </c>
      <c r="C78" s="646"/>
      <c r="D78" s="1263">
        <f>+[12]Resumen!$D$15</f>
        <v>6403.7056999999995</v>
      </c>
      <c r="E78" s="655">
        <f>+[12]Resumen!$D$23</f>
        <v>8965.1879799999988</v>
      </c>
      <c r="F78" s="655">
        <f>+[12]Resumen!$F$4</f>
        <v>4331.4262500000004</v>
      </c>
      <c r="G78" s="654">
        <f>+[12]Resumen!$F$6</f>
        <v>1994.6995500000003</v>
      </c>
      <c r="H78" s="655">
        <f>+[12]Resumen!$F$5</f>
        <v>1556.8993499999999</v>
      </c>
      <c r="I78" s="655">
        <f>+[12]Resumen!$F$8</f>
        <v>662.76479999999992</v>
      </c>
      <c r="J78" s="655">
        <f>+[12]Resumen!$F$7</f>
        <v>1482.3352499999996</v>
      </c>
      <c r="K78" s="655">
        <f>+[12]Resumen!$F$11</f>
        <v>887.80799999999988</v>
      </c>
      <c r="L78" s="647"/>
      <c r="M78" s="650"/>
    </row>
    <row r="79" spans="2:13" s="648" customFormat="1" ht="14.25">
      <c r="B79" s="646" t="s">
        <v>351</v>
      </c>
      <c r="C79" s="646"/>
      <c r="D79" s="649"/>
      <c r="E79" s="649"/>
      <c r="F79" s="649"/>
      <c r="G79" s="649"/>
      <c r="H79" s="649"/>
      <c r="I79" s="649"/>
      <c r="J79" s="649"/>
      <c r="K79" s="649"/>
      <c r="L79" s="647"/>
      <c r="M79" s="650"/>
    </row>
    <row r="80" spans="2:13" s="648" customFormat="1" ht="14.25">
      <c r="B80" s="646" t="s">
        <v>354</v>
      </c>
      <c r="C80" s="646"/>
      <c r="D80" s="649"/>
      <c r="E80" s="649"/>
      <c r="F80" s="649"/>
      <c r="G80" s="649"/>
      <c r="H80" s="649"/>
      <c r="I80" s="649"/>
      <c r="J80" s="649"/>
      <c r="K80" s="649"/>
      <c r="L80" s="647"/>
      <c r="M80" s="650"/>
    </row>
    <row r="81" spans="2:13" s="648" customFormat="1" ht="14.25">
      <c r="B81" s="646"/>
      <c r="C81" s="646"/>
      <c r="D81" s="649"/>
      <c r="E81" s="649"/>
      <c r="F81" s="649"/>
      <c r="G81" s="649"/>
      <c r="H81" s="649"/>
      <c r="I81" s="649"/>
      <c r="J81" s="649"/>
      <c r="K81" s="649"/>
      <c r="L81" s="647"/>
      <c r="M81" s="650"/>
    </row>
    <row r="82" spans="2:13" s="648" customFormat="1" ht="15">
      <c r="B82" s="838" t="s">
        <v>324</v>
      </c>
      <c r="C82" s="646"/>
      <c r="D82" s="649"/>
      <c r="E82" s="649"/>
      <c r="F82" s="649"/>
      <c r="G82" s="649"/>
      <c r="H82" s="649"/>
      <c r="I82" s="649"/>
      <c r="J82" s="649"/>
      <c r="K82" s="649"/>
      <c r="L82" s="647"/>
      <c r="M82" s="650"/>
    </row>
    <row r="83" spans="2:13" s="648" customFormat="1" ht="14.25">
      <c r="B83" s="646" t="s">
        <v>349</v>
      </c>
      <c r="C83" s="646"/>
      <c r="D83" s="655">
        <v>13113</v>
      </c>
      <c r="E83" s="649">
        <v>4613</v>
      </c>
      <c r="F83" s="655">
        <v>3913</v>
      </c>
      <c r="G83" s="655">
        <v>2913</v>
      </c>
      <c r="H83" s="655">
        <v>2500</v>
      </c>
      <c r="I83" s="649">
        <v>2500</v>
      </c>
      <c r="J83" s="649">
        <v>2413</v>
      </c>
      <c r="K83" s="649">
        <v>1800</v>
      </c>
      <c r="L83" s="647"/>
      <c r="M83" s="650"/>
    </row>
    <row r="84" spans="2:13" s="648" customFormat="1" ht="14.25">
      <c r="B84" s="646" t="s">
        <v>350</v>
      </c>
      <c r="C84" s="646"/>
      <c r="D84" s="649">
        <v>7965.7047500000008</v>
      </c>
      <c r="E84" s="649">
        <v>12745.127600000002</v>
      </c>
      <c r="F84" s="649">
        <v>1771.03755</v>
      </c>
      <c r="G84" s="649">
        <v>2048.7844500000001</v>
      </c>
      <c r="H84" s="649">
        <v>600.18254999999999</v>
      </c>
      <c r="I84" s="649">
        <v>1891.5045</v>
      </c>
      <c r="J84" s="649">
        <v>3142.0137</v>
      </c>
      <c r="K84" s="649">
        <v>1180.96785</v>
      </c>
      <c r="L84" s="647"/>
      <c r="M84" s="650"/>
    </row>
    <row r="85" spans="2:13" s="648" customFormat="1" ht="14.25">
      <c r="B85" s="646" t="s">
        <v>351</v>
      </c>
      <c r="C85" s="646"/>
      <c r="D85" s="649"/>
      <c r="E85" s="649">
        <v>300.25417609981167</v>
      </c>
      <c r="F85" s="649">
        <v>1445.8005683333336</v>
      </c>
      <c r="G85" s="649">
        <v>57.177924646892663</v>
      </c>
      <c r="H85" s="649"/>
      <c r="I85" s="649"/>
      <c r="J85" s="649">
        <v>358.2310750706215</v>
      </c>
      <c r="K85" s="649"/>
      <c r="L85" s="647"/>
      <c r="M85" s="650"/>
    </row>
    <row r="86" spans="2:13" s="648" customFormat="1" ht="14.25">
      <c r="B86" s="646" t="s">
        <v>358</v>
      </c>
      <c r="C86" s="646"/>
      <c r="D86" s="649">
        <v>21167.42054313418</v>
      </c>
      <c r="E86" s="649">
        <v>14846.481558463838</v>
      </c>
      <c r="F86" s="649">
        <v>7642.1470417500004</v>
      </c>
      <c r="G86" s="649">
        <v>4044.8881359533907</v>
      </c>
      <c r="H86" s="649">
        <v>4038.2785157499998</v>
      </c>
      <c r="I86" s="649">
        <v>4357.5497321906778</v>
      </c>
      <c r="J86" s="649">
        <v>4180.4508792584747</v>
      </c>
      <c r="K86" s="649">
        <v>1962</v>
      </c>
      <c r="L86" s="647"/>
      <c r="M86" s="650"/>
    </row>
    <row r="87" spans="2:13" s="648" customFormat="1" ht="14.25">
      <c r="B87" s="646" t="s">
        <v>354</v>
      </c>
      <c r="C87" s="646"/>
      <c r="D87" s="649"/>
      <c r="E87" s="649"/>
      <c r="F87" s="649"/>
      <c r="G87" s="649"/>
      <c r="H87" s="649"/>
      <c r="I87" s="649"/>
      <c r="J87" s="649"/>
      <c r="K87" s="649"/>
      <c r="L87" s="647"/>
      <c r="M87" s="650"/>
    </row>
    <row r="88" spans="2:13" s="648" customFormat="1" ht="14.25">
      <c r="B88" s="646"/>
      <c r="C88" s="646"/>
      <c r="D88" s="649"/>
      <c r="E88" s="649"/>
      <c r="F88" s="649"/>
      <c r="G88" s="649"/>
      <c r="H88" s="649"/>
      <c r="I88" s="649"/>
      <c r="J88" s="649"/>
      <c r="K88" s="649"/>
      <c r="L88" s="647"/>
      <c r="M88" s="650"/>
    </row>
    <row r="89" spans="2:13" s="648" customFormat="1" ht="15">
      <c r="B89" s="838" t="s">
        <v>325</v>
      </c>
      <c r="C89" s="646"/>
      <c r="D89" s="649"/>
      <c r="E89" s="649"/>
      <c r="F89" s="649"/>
      <c r="G89" s="649"/>
      <c r="H89" s="649"/>
      <c r="I89" s="649"/>
      <c r="J89" s="649"/>
      <c r="K89" s="649"/>
      <c r="L89" s="647"/>
      <c r="M89" s="650"/>
    </row>
    <row r="90" spans="2:13" s="648" customFormat="1" ht="14.25">
      <c r="B90" s="646" t="s">
        <v>349</v>
      </c>
      <c r="C90" s="646"/>
      <c r="D90" s="655">
        <v>13113</v>
      </c>
      <c r="E90" s="649">
        <v>4613</v>
      </c>
      <c r="F90" s="655">
        <v>3913</v>
      </c>
      <c r="G90" s="655">
        <v>2913</v>
      </c>
      <c r="H90" s="655">
        <v>2500</v>
      </c>
      <c r="I90" s="649">
        <v>2500</v>
      </c>
      <c r="J90" s="649">
        <v>2413</v>
      </c>
      <c r="K90" s="649">
        <v>1800</v>
      </c>
      <c r="L90" s="647"/>
      <c r="M90" s="650"/>
    </row>
    <row r="91" spans="2:13" s="648" customFormat="1" ht="14.25">
      <c r="B91" s="646" t="s">
        <v>350</v>
      </c>
      <c r="C91" s="646"/>
      <c r="D91" s="649">
        <v>7240.2250805084759</v>
      </c>
      <c r="E91" s="649">
        <v>8688.2700966101711</v>
      </c>
      <c r="F91" s="649">
        <f>COMISIONES!K4</f>
        <v>4452.1899999999996</v>
      </c>
      <c r="G91" s="649">
        <f>COMISIONES!K5</f>
        <v>1459.82</v>
      </c>
      <c r="H91" s="649">
        <f>COMISIONES!K7</f>
        <v>1091.3599999999999</v>
      </c>
      <c r="I91" s="649">
        <f>COMISIONES!K8</f>
        <v>1528.25</v>
      </c>
      <c r="J91" s="649">
        <f>COMISIONES!K9</f>
        <v>3375.75</v>
      </c>
      <c r="K91" s="649">
        <f>COMISIONES!K10</f>
        <v>1440.1</v>
      </c>
      <c r="L91" s="647"/>
      <c r="M91" s="650"/>
    </row>
    <row r="92" spans="2:13" s="648" customFormat="1" ht="14.25">
      <c r="B92" s="646" t="s">
        <v>351</v>
      </c>
      <c r="C92" s="646"/>
      <c r="D92" s="649"/>
      <c r="E92" s="649">
        <f>'PLANILLA MENSUAL'!W18</f>
        <v>3203.8077554425608</v>
      </c>
      <c r="F92" s="649"/>
      <c r="G92" s="649"/>
      <c r="H92" s="649">
        <f>'PLANILLA MENSUAL'!W35</f>
        <v>288.75348249999996</v>
      </c>
      <c r="I92" s="649">
        <f>'PLANILLA MENSUAL'!W34</f>
        <v>328.56523899717513</v>
      </c>
      <c r="J92" s="649"/>
      <c r="K92" s="649"/>
      <c r="L92" s="647"/>
      <c r="M92" s="650"/>
    </row>
    <row r="93" spans="2:13" s="648" customFormat="1" ht="14.25">
      <c r="B93" s="646" t="s">
        <v>358</v>
      </c>
      <c r="C93" s="646"/>
      <c r="D93" s="649"/>
      <c r="E93" s="649"/>
      <c r="F93" s="649"/>
      <c r="G93" s="649"/>
      <c r="H93" s="649"/>
      <c r="J93" s="649"/>
      <c r="K93" s="649"/>
      <c r="L93" s="647"/>
      <c r="M93" s="650"/>
    </row>
    <row r="94" spans="2:13" s="648" customFormat="1" ht="14.25">
      <c r="B94" s="646" t="s">
        <v>354</v>
      </c>
      <c r="C94" s="646"/>
      <c r="D94" s="649"/>
      <c r="E94" s="655"/>
      <c r="F94" s="649"/>
      <c r="G94" s="649"/>
      <c r="H94" s="649"/>
      <c r="I94" s="649"/>
      <c r="J94" s="649"/>
      <c r="K94" s="649"/>
      <c r="L94" s="647">
        <f>SUM(D94:J94)</f>
        <v>0</v>
      </c>
      <c r="M94" s="650"/>
    </row>
    <row r="95" spans="2:13" s="648" customFormat="1" ht="14.25">
      <c r="B95" s="646" t="s">
        <v>951</v>
      </c>
      <c r="C95" s="646"/>
      <c r="D95" s="649"/>
      <c r="E95" s="655"/>
      <c r="F95" s="649"/>
      <c r="G95" s="707">
        <f>'PLANILLA MENSUAL'!AE26</f>
        <v>2370.28485</v>
      </c>
      <c r="H95" s="649"/>
      <c r="I95" s="649"/>
      <c r="J95" s="649"/>
      <c r="K95" s="649"/>
      <c r="L95" s="647"/>
      <c r="M95" s="650"/>
    </row>
    <row r="96" spans="2:13" s="648" customFormat="1" ht="14.25">
      <c r="B96" s="646"/>
      <c r="C96" s="646"/>
      <c r="D96" s="649"/>
      <c r="E96" s="649"/>
      <c r="F96" s="649"/>
      <c r="G96" s="649"/>
      <c r="H96" s="649"/>
      <c r="I96" s="649"/>
      <c r="J96" s="649"/>
      <c r="K96" s="649"/>
      <c r="L96" s="647">
        <f>SUM(D96:J96)</f>
        <v>0</v>
      </c>
      <c r="M96" s="650"/>
    </row>
    <row r="97" spans="2:22" s="648" customFormat="1" ht="15" thickBot="1">
      <c r="B97" s="646" t="s">
        <v>363</v>
      </c>
      <c r="C97" s="646"/>
      <c r="D97" s="647">
        <f t="shared" ref="D97:J97" si="2">SUM(D6:D96)-D19</f>
        <v>175117.26162025283</v>
      </c>
      <c r="E97" s="647">
        <f t="shared" si="2"/>
        <v>132133.09500458252</v>
      </c>
      <c r="F97" s="647">
        <f t="shared" si="2"/>
        <v>64643.384163416682</v>
      </c>
      <c r="G97" s="647">
        <f>SUM(G6:G96)-G19-G95</f>
        <v>41206.696947040953</v>
      </c>
      <c r="H97" s="647">
        <f t="shared" si="2"/>
        <v>32367.795848249996</v>
      </c>
      <c r="I97" s="647">
        <f t="shared" si="2"/>
        <v>35572.216508475991</v>
      </c>
      <c r="J97" s="647">
        <f t="shared" si="2"/>
        <v>37920.101870430786</v>
      </c>
      <c r="K97" s="647">
        <f>SUM(K6:K96)</f>
        <v>22935.336798134558</v>
      </c>
      <c r="L97" s="647">
        <f>SUM(D97:J97)</f>
        <v>518960.5519624498</v>
      </c>
      <c r="M97" s="650"/>
    </row>
    <row r="98" spans="2:22" s="648" customFormat="1" ht="15.75" thickBot="1">
      <c r="B98" s="657" t="s">
        <v>364</v>
      </c>
      <c r="C98" s="657"/>
      <c r="D98" s="658">
        <f>+D149</f>
        <v>298842.99174718501</v>
      </c>
      <c r="E98" s="658">
        <f>+E149</f>
        <v>221935.39392810117</v>
      </c>
      <c r="F98" s="658">
        <f t="shared" ref="F98:H98" si="3">+F149</f>
        <v>109899.50137741669</v>
      </c>
      <c r="G98" s="658">
        <f>+G149</f>
        <v>70118.574067040958</v>
      </c>
      <c r="H98" s="658">
        <f t="shared" si="3"/>
        <v>54187.132905249993</v>
      </c>
      <c r="I98" s="658">
        <f>+I149</f>
        <v>59084.730687475996</v>
      </c>
      <c r="J98" s="1136">
        <f>+J149</f>
        <v>68167.302738930797</v>
      </c>
      <c r="K98" s="1136">
        <f>+K149</f>
        <v>0</v>
      </c>
      <c r="L98" s="658">
        <f>SUM(L6:L97)</f>
        <v>875241.99108832446</v>
      </c>
      <c r="M98" s="650">
        <f>SUM(L6:L96)</f>
        <v>356281.43912587466</v>
      </c>
      <c r="O98" s="650"/>
    </row>
    <row r="99" spans="2:22" s="648" customFormat="1" ht="15" thickBot="1">
      <c r="B99" s="657" t="s">
        <v>365</v>
      </c>
      <c r="C99" s="657"/>
      <c r="D99" s="659">
        <f>5500*7</f>
        <v>38500</v>
      </c>
      <c r="E99" s="659">
        <f>5500*7</f>
        <v>38500</v>
      </c>
      <c r="F99" s="659">
        <f t="shared" ref="F99:J99" si="4">5500*7</f>
        <v>38500</v>
      </c>
      <c r="G99" s="659">
        <f>5500*7</f>
        <v>38500</v>
      </c>
      <c r="H99" s="659">
        <f t="shared" si="4"/>
        <v>38500</v>
      </c>
      <c r="I99" s="659">
        <f t="shared" si="4"/>
        <v>38500</v>
      </c>
      <c r="J99" s="1144">
        <f t="shared" si="4"/>
        <v>38500</v>
      </c>
      <c r="K99" s="1144">
        <f>5500*7</f>
        <v>38500</v>
      </c>
      <c r="L99" s="659">
        <f>SUM(D99:I99)</f>
        <v>231000</v>
      </c>
      <c r="M99" s="650"/>
      <c r="O99" s="650"/>
    </row>
    <row r="100" spans="2:22" s="664" customFormat="1" ht="15" thickBot="1">
      <c r="B100" s="661" t="s">
        <v>366</v>
      </c>
      <c r="C100" s="662"/>
      <c r="D100" s="663">
        <f>+D98-D99</f>
        <v>260342.99174718501</v>
      </c>
      <c r="E100" s="663">
        <f>+E98-E99</f>
        <v>183435.39392810117</v>
      </c>
      <c r="F100" s="663">
        <f t="shared" ref="F100:I100" si="5">+F98-F99</f>
        <v>71399.501377416687</v>
      </c>
      <c r="G100" s="663">
        <f t="shared" si="5"/>
        <v>31618.574067040958</v>
      </c>
      <c r="H100" s="663">
        <f t="shared" si="5"/>
        <v>15687.132905249993</v>
      </c>
      <c r="I100" s="663">
        <f t="shared" si="5"/>
        <v>20584.730687475996</v>
      </c>
      <c r="J100" s="1155">
        <f>+J98-J99</f>
        <v>29667.302738930797</v>
      </c>
      <c r="K100" s="1155"/>
      <c r="L100" s="659">
        <f>SUM(D100:I100)</f>
        <v>583068.32471246971</v>
      </c>
      <c r="M100" s="650"/>
      <c r="O100" s="665"/>
    </row>
    <row r="101" spans="2:22" s="648" customFormat="1" ht="14.25">
      <c r="B101" s="666"/>
      <c r="C101" s="667"/>
      <c r="D101" s="668"/>
      <c r="E101" s="669"/>
      <c r="F101" s="669"/>
      <c r="G101" s="670"/>
      <c r="H101" s="670"/>
      <c r="I101" s="670"/>
      <c r="J101" s="670"/>
      <c r="K101" s="670"/>
      <c r="L101" s="670"/>
      <c r="M101" s="650"/>
      <c r="O101" s="650"/>
    </row>
    <row r="102" spans="2:22" s="648" customFormat="1" ht="14.25">
      <c r="C102" s="638"/>
      <c r="D102" s="671"/>
      <c r="E102" s="650"/>
      <c r="F102" s="650"/>
      <c r="G102" s="650"/>
      <c r="H102" s="650"/>
      <c r="I102" s="650"/>
      <c r="J102" s="650"/>
      <c r="K102" s="650"/>
      <c r="L102" s="672"/>
      <c r="M102" s="650"/>
      <c r="O102" s="650"/>
    </row>
    <row r="103" spans="2:22" s="679" customFormat="1" ht="15">
      <c r="B103" s="673" t="s">
        <v>367</v>
      </c>
      <c r="C103" s="674"/>
      <c r="D103" s="675"/>
      <c r="E103" s="676"/>
      <c r="F103" s="676"/>
      <c r="G103" s="676"/>
      <c r="H103" s="676"/>
      <c r="I103" s="676"/>
      <c r="J103" s="676"/>
      <c r="K103" s="676"/>
      <c r="L103" s="677"/>
      <c r="M103" s="678"/>
      <c r="O103" s="678"/>
    </row>
    <row r="104" spans="2:22" s="648" customFormat="1" ht="15">
      <c r="B104" s="680" t="s">
        <v>368</v>
      </c>
      <c r="C104" s="681">
        <v>0.08</v>
      </c>
      <c r="D104" s="682">
        <f>+(5500*5)*$C$104</f>
        <v>2200</v>
      </c>
      <c r="E104" s="682">
        <f>+(5500*5)*$C$104</f>
        <v>2200</v>
      </c>
      <c r="F104" s="682">
        <f>+(5500*5)*$C$104</f>
        <v>2200</v>
      </c>
      <c r="G104" s="682">
        <f>+(5500*5)*$C$104</f>
        <v>2200</v>
      </c>
      <c r="H104" s="683">
        <f>+(H100)*$C$104</f>
        <v>1254.9706324199994</v>
      </c>
      <c r="I104" s="683">
        <f>+(I100)*$C$104</f>
        <v>1646.7784549980797</v>
      </c>
      <c r="J104" s="683">
        <f>+(J100)*$C$104</f>
        <v>2373.384219114464</v>
      </c>
      <c r="K104" s="1066"/>
      <c r="L104" s="647">
        <f>SUM(D104:J104)</f>
        <v>14075.133306532545</v>
      </c>
      <c r="M104" s="650"/>
      <c r="O104" s="650"/>
      <c r="U104" s="650">
        <f>5350*5</f>
        <v>26750</v>
      </c>
      <c r="V104" s="650">
        <f>+U104*8/100</f>
        <v>2140</v>
      </c>
    </row>
    <row r="105" spans="2:22" s="648" customFormat="1" ht="15">
      <c r="B105" s="684" t="s">
        <v>369</v>
      </c>
      <c r="C105" s="685">
        <v>0.14000000000000001</v>
      </c>
      <c r="D105" s="686">
        <f>+(110000-27500)*$C$105</f>
        <v>11550.000000000002</v>
      </c>
      <c r="E105" s="686">
        <f>+(+E100-27500)*$C$105</f>
        <v>21830.955149934165</v>
      </c>
      <c r="F105" s="686">
        <f>+(+F100-27500)*$C$105</f>
        <v>6145.9301928383366</v>
      </c>
      <c r="G105" s="686">
        <f>+(+G100-27500)*$C$105</f>
        <v>576.6003693857341</v>
      </c>
      <c r="H105" s="686"/>
      <c r="I105" s="686"/>
      <c r="J105" s="686">
        <f>+(+J100-27500)*$C$105</f>
        <v>303.42238345031166</v>
      </c>
      <c r="K105" s="686"/>
      <c r="L105" s="647">
        <f>SUM(D105:J105)</f>
        <v>40406.908095608553</v>
      </c>
      <c r="M105" s="650"/>
      <c r="O105" s="650"/>
      <c r="U105" s="650">
        <f>107000-U104</f>
        <v>80250</v>
      </c>
      <c r="V105" s="650">
        <f>+U105*14/100</f>
        <v>11235</v>
      </c>
    </row>
    <row r="106" spans="2:22" s="648" customFormat="1" ht="15">
      <c r="B106" s="684" t="s">
        <v>370</v>
      </c>
      <c r="C106" s="688">
        <v>0.17</v>
      </c>
      <c r="D106" s="686">
        <f>+(D100-110000)*$C$106</f>
        <v>25558.308597021452</v>
      </c>
      <c r="E106" s="686">
        <f>+(+E100-110000)*$C$106</f>
        <v>12484.016967777199</v>
      </c>
      <c r="F106" s="686"/>
      <c r="G106" s="686"/>
      <c r="H106" s="686"/>
      <c r="I106" s="686"/>
      <c r="J106" s="686"/>
      <c r="K106" s="686"/>
      <c r="L106" s="647">
        <f>SUM(D106:J106)</f>
        <v>38042.325564798652</v>
      </c>
      <c r="M106" s="650"/>
      <c r="O106" s="650"/>
      <c r="U106" s="650">
        <f>187250-107000</f>
        <v>80250</v>
      </c>
      <c r="V106" s="650">
        <f>+U106*17/100</f>
        <v>13642.5</v>
      </c>
    </row>
    <row r="107" spans="2:22" s="648" customFormat="1" ht="15">
      <c r="B107" s="684" t="s">
        <v>371</v>
      </c>
      <c r="C107" s="688">
        <v>0.2</v>
      </c>
      <c r="D107" s="686">
        <f>+(D100-192500)*$C$107</f>
        <v>13568.598349437001</v>
      </c>
      <c r="E107" s="686"/>
      <c r="F107" s="686"/>
      <c r="G107" s="686"/>
      <c r="H107" s="686"/>
      <c r="I107" s="686"/>
      <c r="J107" s="686"/>
      <c r="K107" s="686"/>
      <c r="L107" s="647"/>
      <c r="M107" s="650"/>
      <c r="O107" s="650"/>
      <c r="U107" s="650">
        <f>205292.52-187250</f>
        <v>18042.51999999999</v>
      </c>
      <c r="V107" s="650">
        <f>+U107*0.2</f>
        <v>3608.5039999999981</v>
      </c>
    </row>
    <row r="108" spans="2:22" s="648" customFormat="1" ht="15">
      <c r="B108" s="684"/>
      <c r="C108" s="684"/>
      <c r="D108" s="689">
        <f>SUM(D104:D107)</f>
        <v>52876.906946458454</v>
      </c>
      <c r="E108" s="689">
        <f t="shared" ref="E108" si="6">SUM(E104:E106)</f>
        <v>36514.972117711368</v>
      </c>
      <c r="F108" s="689">
        <f>SUM(F104:F106)</f>
        <v>8345.9301928383356</v>
      </c>
      <c r="G108" s="689">
        <f>SUM(G104:G106)</f>
        <v>2776.6003693857342</v>
      </c>
      <c r="H108" s="689">
        <f t="shared" ref="H108:J108" si="7">SUM(H104:H106)</f>
        <v>1254.9706324199994</v>
      </c>
      <c r="I108" s="689">
        <f t="shared" si="7"/>
        <v>1646.7784549980797</v>
      </c>
      <c r="J108" s="689">
        <f t="shared" si="7"/>
        <v>2676.8066025647759</v>
      </c>
      <c r="K108" s="689"/>
      <c r="L108" s="689">
        <f t="shared" ref="L108" si="8">SUM(L104:L106)</f>
        <v>92524.36696693975</v>
      </c>
      <c r="M108" s="650"/>
      <c r="O108" s="650"/>
      <c r="U108" s="650">
        <f>SUM(U104:U107)</f>
        <v>205292.52</v>
      </c>
      <c r="V108" s="650">
        <f>SUM(V104:V107)</f>
        <v>30626.003999999997</v>
      </c>
    </row>
    <row r="109" spans="2:22" s="648" customFormat="1" ht="15">
      <c r="B109" s="690" t="s">
        <v>372</v>
      </c>
      <c r="C109" s="684"/>
      <c r="D109" s="691"/>
      <c r="E109" s="692"/>
      <c r="F109" s="692"/>
      <c r="G109" s="692"/>
      <c r="H109" s="692"/>
      <c r="I109" s="692"/>
      <c r="J109" s="692"/>
      <c r="K109" s="692"/>
      <c r="L109" s="672"/>
      <c r="M109" s="650"/>
      <c r="O109" s="650"/>
    </row>
    <row r="110" spans="2:22" s="648" customFormat="1" ht="15">
      <c r="B110" s="693" t="s">
        <v>318</v>
      </c>
      <c r="C110" s="684"/>
      <c r="D110" s="691">
        <v>1475.3831499999999</v>
      </c>
      <c r="E110" s="692">
        <v>323.13514546666664</v>
      </c>
      <c r="F110" s="692">
        <v>105.82263568888889</v>
      </c>
      <c r="G110" s="692">
        <v>27.878217909604476</v>
      </c>
      <c r="H110" s="692">
        <v>0</v>
      </c>
      <c r="I110" s="692">
        <v>0</v>
      </c>
      <c r="J110" s="692">
        <v>0</v>
      </c>
      <c r="K110" s="692"/>
      <c r="L110" s="647">
        <f t="shared" ref="L110:L122" si="9">SUM(D110:J110)</f>
        <v>1932.2191490651599</v>
      </c>
      <c r="M110" s="650"/>
      <c r="O110" s="650"/>
    </row>
    <row r="111" spans="2:22" s="648" customFormat="1" ht="15">
      <c r="B111" s="684" t="s">
        <v>319</v>
      </c>
      <c r="C111" s="684"/>
      <c r="D111" s="994">
        <v>1630.7248227272701</v>
      </c>
      <c r="E111" s="692">
        <v>461.33904473939396</v>
      </c>
      <c r="F111" s="692">
        <v>124.72995459797984</v>
      </c>
      <c r="G111" s="692">
        <v>43.423256818695386</v>
      </c>
      <c r="H111" s="692">
        <v>0</v>
      </c>
      <c r="I111" s="692">
        <v>0</v>
      </c>
      <c r="J111" s="692">
        <v>0</v>
      </c>
      <c r="K111" s="692"/>
      <c r="L111" s="647">
        <f t="shared" si="9"/>
        <v>2260.2170788833391</v>
      </c>
      <c r="M111" s="650"/>
      <c r="O111" s="650"/>
    </row>
    <row r="112" spans="2:22" s="648" customFormat="1" ht="15">
      <c r="B112" s="684" t="s">
        <v>320</v>
      </c>
      <c r="C112" s="695"/>
      <c r="D112" s="995">
        <v>2745.4285927719347</v>
      </c>
      <c r="E112" s="696">
        <v>1691.6358912009946</v>
      </c>
      <c r="F112" s="696">
        <v>547.37392176998003</v>
      </c>
      <c r="G112" s="696">
        <v>220.98459557828869</v>
      </c>
      <c r="H112" s="696">
        <v>39.560262320000035</v>
      </c>
      <c r="I112" s="696">
        <v>56.124163536135576</v>
      </c>
      <c r="J112" s="696">
        <v>88.709162195796608</v>
      </c>
      <c r="K112" s="696"/>
      <c r="L112" s="647">
        <f t="shared" si="9"/>
        <v>5389.8165893731311</v>
      </c>
      <c r="M112" s="650"/>
    </row>
    <row r="113" spans="2:14" s="648" customFormat="1" ht="15">
      <c r="B113" s="684" t="s">
        <v>352</v>
      </c>
      <c r="C113" s="684"/>
      <c r="D113" s="865"/>
      <c r="E113" s="866"/>
      <c r="F113" s="866"/>
      <c r="G113" s="866"/>
      <c r="H113" s="866"/>
      <c r="I113" s="866"/>
      <c r="J113" s="866"/>
      <c r="K113" s="866"/>
      <c r="L113" s="647">
        <f t="shared" si="9"/>
        <v>0</v>
      </c>
      <c r="M113" s="650"/>
    </row>
    <row r="114" spans="2:14" s="648" customFormat="1" ht="15">
      <c r="B114" s="684" t="s">
        <v>321</v>
      </c>
      <c r="C114" s="684"/>
      <c r="D114" s="691">
        <v>3701.5990734808665</v>
      </c>
      <c r="E114" s="692">
        <v>2692.2650311712905</v>
      </c>
      <c r="F114" s="692">
        <v>545.53782694479446</v>
      </c>
      <c r="G114" s="692">
        <v>236.26380268834524</v>
      </c>
      <c r="H114" s="692">
        <v>105.62118224000012</v>
      </c>
      <c r="I114" s="694">
        <v>119.58777299316012</v>
      </c>
      <c r="J114" s="694">
        <v>106.77320119105083</v>
      </c>
      <c r="K114" s="694"/>
      <c r="L114" s="647">
        <f t="shared" si="9"/>
        <v>7507.6478907095079</v>
      </c>
      <c r="M114" s="650"/>
    </row>
    <row r="115" spans="2:14" s="648" customFormat="1" ht="15">
      <c r="B115" s="684" t="s">
        <v>373</v>
      </c>
      <c r="C115" s="684"/>
      <c r="D115" s="691">
        <v>4539.308771233771</v>
      </c>
      <c r="E115" s="692">
        <v>3164.0835621496826</v>
      </c>
      <c r="F115" s="692">
        <v>639.01232447729467</v>
      </c>
      <c r="G115" s="692">
        <v>182.60212505584533</v>
      </c>
      <c r="H115" s="692">
        <v>115.74770399000006</v>
      </c>
      <c r="I115" s="692">
        <v>198.864721273838</v>
      </c>
      <c r="J115" s="692">
        <v>152.65706709766113</v>
      </c>
      <c r="K115" s="692"/>
      <c r="L115" s="647">
        <f t="shared" si="9"/>
        <v>8992.2762752780945</v>
      </c>
      <c r="M115" s="650"/>
    </row>
    <row r="116" spans="2:14" s="648" customFormat="1" ht="15">
      <c r="B116" s="684" t="s">
        <v>323</v>
      </c>
      <c r="C116" s="684"/>
      <c r="D116" s="691">
        <v>4531.3471550565228</v>
      </c>
      <c r="E116" s="692">
        <v>3159.7490872668745</v>
      </c>
      <c r="F116" s="692">
        <v>709.06684819729469</v>
      </c>
      <c r="G116" s="692">
        <v>212.69257170703153</v>
      </c>
      <c r="H116" s="692">
        <v>145.7468037842857</v>
      </c>
      <c r="I116" s="692">
        <v>190.40969907083559</v>
      </c>
      <c r="J116" s="692">
        <v>83.718545874803937</v>
      </c>
      <c r="K116" s="692"/>
      <c r="L116" s="647">
        <f t="shared" si="9"/>
        <v>9032.7307109576504</v>
      </c>
      <c r="M116" s="650"/>
    </row>
    <row r="117" spans="2:14" s="648" customFormat="1" ht="15">
      <c r="B117" s="684" t="s">
        <v>324</v>
      </c>
      <c r="C117" s="684"/>
      <c r="D117" s="691">
        <v>4742.0367409750233</v>
      </c>
      <c r="E117" s="692">
        <v>3473.192165112604</v>
      </c>
      <c r="F117" s="692">
        <v>740.27667813744358</v>
      </c>
      <c r="G117" s="692">
        <v>266.67662186684635</v>
      </c>
      <c r="H117" s="692">
        <v>107.23729988653054</v>
      </c>
      <c r="I117" s="692">
        <v>156.19047604371869</v>
      </c>
      <c r="J117" s="692">
        <v>215.9305840964501</v>
      </c>
      <c r="K117" s="692"/>
      <c r="L117" s="647">
        <f t="shared" si="9"/>
        <v>9701.5405661186178</v>
      </c>
      <c r="M117" s="650"/>
    </row>
    <row r="118" spans="2:14" s="648" customFormat="1" ht="15">
      <c r="B118" s="684" t="s">
        <v>325</v>
      </c>
      <c r="C118" s="684"/>
      <c r="D118" s="691"/>
      <c r="E118" s="692"/>
      <c r="F118" s="692"/>
      <c r="G118" s="692"/>
      <c r="H118" s="692"/>
      <c r="I118" s="692"/>
      <c r="J118" s="692"/>
      <c r="K118" s="692"/>
      <c r="L118" s="647">
        <f t="shared" si="9"/>
        <v>0</v>
      </c>
      <c r="M118" s="650"/>
    </row>
    <row r="119" spans="2:14" s="648" customFormat="1" ht="15">
      <c r="B119" s="684" t="s">
        <v>326</v>
      </c>
      <c r="C119" s="684"/>
      <c r="D119" s="691"/>
      <c r="E119" s="692"/>
      <c r="F119" s="692"/>
      <c r="G119" s="692"/>
      <c r="H119" s="692"/>
      <c r="I119" s="692"/>
      <c r="J119" s="692"/>
      <c r="K119" s="692"/>
      <c r="L119" s="647">
        <f t="shared" si="9"/>
        <v>0</v>
      </c>
      <c r="M119" s="650"/>
    </row>
    <row r="120" spans="2:14" s="648" customFormat="1" ht="15">
      <c r="B120" s="684" t="s">
        <v>327</v>
      </c>
      <c r="C120" s="684"/>
      <c r="D120" s="691"/>
      <c r="E120" s="692"/>
      <c r="F120" s="692"/>
      <c r="G120" s="692"/>
      <c r="H120" s="692"/>
      <c r="I120" s="692"/>
      <c r="J120" s="692"/>
      <c r="K120" s="692"/>
      <c r="L120" s="647">
        <f t="shared" si="9"/>
        <v>0</v>
      </c>
      <c r="M120" s="650"/>
    </row>
    <row r="121" spans="2:14" s="648" customFormat="1" ht="15">
      <c r="B121" s="684" t="s">
        <v>328</v>
      </c>
      <c r="C121" s="684"/>
      <c r="D121" s="691"/>
      <c r="E121" s="692"/>
      <c r="F121" s="692"/>
      <c r="G121" s="692"/>
      <c r="H121" s="692"/>
      <c r="I121" s="692"/>
      <c r="J121" s="694"/>
      <c r="K121" s="694"/>
      <c r="L121" s="647">
        <f t="shared" si="9"/>
        <v>0</v>
      </c>
      <c r="M121" s="650"/>
    </row>
    <row r="122" spans="2:14" s="648" customFormat="1" ht="15">
      <c r="B122" s="684"/>
      <c r="C122" s="684"/>
      <c r="D122" s="686"/>
      <c r="E122" s="698"/>
      <c r="F122" s="698"/>
      <c r="G122" s="698"/>
      <c r="H122" s="698"/>
      <c r="I122" s="698"/>
      <c r="J122" s="698"/>
      <c r="K122" s="698"/>
      <c r="L122" s="647">
        <f t="shared" si="9"/>
        <v>0</v>
      </c>
      <c r="M122" s="650"/>
    </row>
    <row r="123" spans="2:14" ht="15">
      <c r="B123" s="699" t="s">
        <v>374</v>
      </c>
      <c r="C123" s="699"/>
      <c r="D123" s="700">
        <f>SUM(D110:D122)</f>
        <v>23365.828306245392</v>
      </c>
      <c r="E123" s="700">
        <f t="shared" ref="E123" si="10">SUM(E110:E122)</f>
        <v>14965.399927107508</v>
      </c>
      <c r="F123" s="700">
        <f>SUM(F110:F122)</f>
        <v>3411.8201898136758</v>
      </c>
      <c r="G123" s="700">
        <f>SUM(G110:G122)</f>
        <v>1190.5211916246571</v>
      </c>
      <c r="H123" s="700">
        <f>SUM(H110:H122)</f>
        <v>513.9132522208165</v>
      </c>
      <c r="I123" s="700">
        <f>SUM(I110:I122)</f>
        <v>721.17683291768799</v>
      </c>
      <c r="J123" s="700">
        <f t="shared" ref="J123" si="11">SUM(J110:J122)</f>
        <v>647.78856045576254</v>
      </c>
      <c r="K123" s="700"/>
      <c r="L123" s="701">
        <f>SUM(L110:L122)</f>
        <v>44816.448260385499</v>
      </c>
      <c r="M123" s="702"/>
    </row>
    <row r="124" spans="2:14" ht="15">
      <c r="B124" s="699" t="s">
        <v>375</v>
      </c>
      <c r="C124" s="699"/>
      <c r="D124" s="700"/>
      <c r="E124" s="700"/>
      <c r="F124" s="700"/>
      <c r="G124" s="700"/>
      <c r="H124" s="700"/>
      <c r="I124" s="700"/>
      <c r="J124" s="700"/>
      <c r="K124" s="700"/>
      <c r="L124" s="649"/>
      <c r="M124" s="702"/>
    </row>
    <row r="125" spans="2:14" ht="15">
      <c r="B125" s="699" t="s">
        <v>376</v>
      </c>
      <c r="C125" s="699"/>
      <c r="D125" s="703">
        <f>+D108-D123</f>
        <v>29511.078640213062</v>
      </c>
      <c r="E125" s="703">
        <f t="shared" ref="E125:J125" si="12">+E108-E123</f>
        <v>21549.57219060386</v>
      </c>
      <c r="F125" s="703">
        <f t="shared" si="12"/>
        <v>4934.1100030246598</v>
      </c>
      <c r="G125" s="703">
        <f>+G108-G123</f>
        <v>1586.0791777610771</v>
      </c>
      <c r="H125" s="703">
        <f t="shared" si="12"/>
        <v>741.05738019918294</v>
      </c>
      <c r="I125" s="703">
        <f t="shared" si="12"/>
        <v>925.60162208039173</v>
      </c>
      <c r="J125" s="703">
        <f t="shared" si="12"/>
        <v>2029.0180421090133</v>
      </c>
      <c r="K125" s="703"/>
      <c r="L125" s="700">
        <f>SUM(D125:J125)</f>
        <v>61276.517055991251</v>
      </c>
      <c r="M125" s="702"/>
    </row>
    <row r="126" spans="2:14" ht="15">
      <c r="B126" s="699" t="s">
        <v>377</v>
      </c>
      <c r="C126" s="699"/>
      <c r="D126" s="985">
        <f>+D125/5</f>
        <v>5902.2157280426127</v>
      </c>
      <c r="E126" s="985">
        <f t="shared" ref="E126:J126" si="13">+E125/5</f>
        <v>4309.9144381207716</v>
      </c>
      <c r="F126" s="985">
        <f t="shared" si="13"/>
        <v>986.82200060493199</v>
      </c>
      <c r="G126" s="985">
        <f>+G125/5</f>
        <v>317.21583555221542</v>
      </c>
      <c r="H126" s="985">
        <f t="shared" si="13"/>
        <v>148.21147603983658</v>
      </c>
      <c r="I126" s="985">
        <f t="shared" si="13"/>
        <v>185.12032441607835</v>
      </c>
      <c r="J126" s="985">
        <f t="shared" si="13"/>
        <v>405.80360842180266</v>
      </c>
      <c r="K126" s="985"/>
      <c r="L126" s="700">
        <f>SUM(D126:J126)</f>
        <v>12255.303411198249</v>
      </c>
      <c r="M126" s="1057">
        <f>SUM(D126:K126)+G127</f>
        <v>12587.143290198248</v>
      </c>
      <c r="N126" s="708">
        <f>+L126-M126</f>
        <v>-331.8398789999992</v>
      </c>
    </row>
    <row r="127" spans="2:14" ht="15">
      <c r="B127" s="699"/>
      <c r="C127" s="699"/>
      <c r="D127" s="699"/>
      <c r="E127" s="700"/>
      <c r="F127" s="700" t="s">
        <v>959</v>
      </c>
      <c r="G127" s="701">
        <f>+G95*0.14</f>
        <v>331.83987900000005</v>
      </c>
      <c r="H127" s="701"/>
      <c r="I127" s="701"/>
      <c r="J127" s="701"/>
      <c r="K127" s="701"/>
      <c r="L127" s="701"/>
      <c r="M127" s="702"/>
    </row>
    <row r="128" spans="2:14" ht="15">
      <c r="D128" s="641"/>
      <c r="E128" s="704"/>
      <c r="F128" s="704"/>
      <c r="G128" s="641"/>
      <c r="M128" s="702"/>
    </row>
    <row r="129" spans="2:18" ht="15">
      <c r="D129" s="641"/>
      <c r="E129" s="641"/>
      <c r="F129" s="641"/>
      <c r="G129" s="641"/>
      <c r="L129" s="702"/>
      <c r="M129" s="702"/>
    </row>
    <row r="130" spans="2:18" ht="15">
      <c r="D130" s="641"/>
      <c r="E130" s="641"/>
      <c r="F130" s="641"/>
      <c r="G130" s="641"/>
      <c r="H130" s="706"/>
      <c r="I130" s="706"/>
      <c r="J130" s="706"/>
      <c r="K130" s="706"/>
      <c r="L130" s="702"/>
      <c r="M130" s="702"/>
    </row>
    <row r="131" spans="2:18" ht="15">
      <c r="L131" s="702"/>
      <c r="M131" s="702"/>
    </row>
    <row r="133" spans="2:18" ht="14.25">
      <c r="B133" s="638" t="s">
        <v>318</v>
      </c>
      <c r="C133" s="649"/>
      <c r="D133" s="1050">
        <v>5568.2823474576262</v>
      </c>
      <c r="E133" s="1050">
        <v>9122.3397000000004</v>
      </c>
      <c r="F133" s="1050">
        <v>2501.7108000000003</v>
      </c>
      <c r="G133" s="1050">
        <v>1375.3926864406781</v>
      </c>
      <c r="H133" s="1050">
        <v>404.14904999999999</v>
      </c>
      <c r="I133" s="1050">
        <v>2429.196355932203</v>
      </c>
      <c r="J133" s="1051">
        <v>872.05844999999999</v>
      </c>
      <c r="K133" s="1051"/>
    </row>
    <row r="134" spans="2:18" ht="14.25">
      <c r="B134" s="638" t="s">
        <v>319</v>
      </c>
      <c r="C134" s="649"/>
      <c r="D134" s="1050">
        <v>4483.2372220338984</v>
      </c>
      <c r="E134" s="1050">
        <v>6019.6636499999995</v>
      </c>
      <c r="F134" s="1050">
        <v>2599.7563500000001</v>
      </c>
      <c r="G134" s="1050">
        <v>2137.4428499999999</v>
      </c>
      <c r="H134" s="1050">
        <v>749.28030000000001</v>
      </c>
      <c r="I134" s="1050">
        <v>842.6241</v>
      </c>
      <c r="J134" s="1051">
        <v>1100.944416101695</v>
      </c>
      <c r="K134" s="1051"/>
      <c r="Q134" s="708">
        <f>SUM(D134:P134)</f>
        <v>17932.94888813559</v>
      </c>
      <c r="R134" s="708">
        <f>+'RTA 5TA VTAS'!M126</f>
        <v>12587.143290198248</v>
      </c>
    </row>
    <row r="135" spans="2:18" ht="14.25">
      <c r="B135" s="638" t="s">
        <v>320</v>
      </c>
      <c r="C135" s="649"/>
      <c r="D135" s="1051">
        <v>6098.9263499999997</v>
      </c>
      <c r="E135" s="1051">
        <v>8538.4968900000003</v>
      </c>
      <c r="F135" s="1051">
        <v>3287.0806499999999</v>
      </c>
      <c r="G135" s="1052">
        <v>1953.9544499999995</v>
      </c>
      <c r="H135" s="1052">
        <v>531.69464999999991</v>
      </c>
      <c r="I135" s="1052">
        <v>846.33224999999993</v>
      </c>
      <c r="J135" s="1052">
        <v>3369.7662</v>
      </c>
      <c r="K135" s="1052"/>
    </row>
    <row r="136" spans="2:18" ht="14.25">
      <c r="B136" s="638" t="s">
        <v>321</v>
      </c>
      <c r="C136" s="707"/>
      <c r="D136" s="1050">
        <v>9240.7809500000003</v>
      </c>
      <c r="E136" s="1051">
        <v>12937.093330000002</v>
      </c>
      <c r="F136" s="1051">
        <v>2509.8714</v>
      </c>
      <c r="G136" s="1052">
        <v>1486.9737000000002</v>
      </c>
      <c r="H136" s="1051">
        <v>2406.4389000000001</v>
      </c>
      <c r="I136" s="1051">
        <v>3286.2736500000001</v>
      </c>
      <c r="J136" s="1051">
        <v>937.36110000000019</v>
      </c>
      <c r="K136" s="1051"/>
    </row>
    <row r="137" spans="2:18" ht="14.25">
      <c r="B137" s="638" t="s">
        <v>322</v>
      </c>
      <c r="C137" s="707"/>
      <c r="D137" s="1050">
        <v>6044.9786771186446</v>
      </c>
      <c r="E137" s="1051">
        <v>8462.9701479661016</v>
      </c>
      <c r="F137" s="1051">
        <v>3359.0190000000002</v>
      </c>
      <c r="G137" s="1052">
        <v>1343.5632000000001</v>
      </c>
      <c r="H137" s="1051">
        <v>700.75905</v>
      </c>
      <c r="I137" s="1051">
        <v>1799.1558813559323</v>
      </c>
      <c r="J137" s="1051">
        <v>1449.1908000000001</v>
      </c>
      <c r="K137" s="1051"/>
    </row>
    <row r="138" spans="2:18" ht="14.25">
      <c r="B138" s="638" t="s">
        <v>323</v>
      </c>
      <c r="C138" s="707"/>
      <c r="D138" s="1050">
        <f>+[12]Resumen!$D$15</f>
        <v>6403.7056999999995</v>
      </c>
      <c r="E138" s="1051">
        <f>+[12]Resumen!$D$23</f>
        <v>8965.1879799999988</v>
      </c>
      <c r="F138" s="1051">
        <f>+[12]Resumen!$F$4</f>
        <v>4331.4262500000004</v>
      </c>
      <c r="G138" s="1052">
        <f>+[12]Resumen!$F$6</f>
        <v>1994.6995500000003</v>
      </c>
      <c r="H138" s="1051">
        <f>+[12]Resumen!$F$5</f>
        <v>1556.8993499999999</v>
      </c>
      <c r="I138" s="1051">
        <f>+[12]Resumen!$F$8</f>
        <v>662.76479999999992</v>
      </c>
      <c r="J138" s="1051">
        <f>+[12]Resumen!$F$7</f>
        <v>1482.3352499999996</v>
      </c>
      <c r="K138" s="1051">
        <f>+[12]Resumen!$F$11</f>
        <v>887.80799999999988</v>
      </c>
    </row>
    <row r="139" spans="2:18" ht="14.25">
      <c r="B139" s="638" t="s">
        <v>324</v>
      </c>
      <c r="C139" s="707"/>
      <c r="D139" s="1051">
        <f>COMISIONES!J6</f>
        <v>7965.7047500000008</v>
      </c>
      <c r="E139" s="1051">
        <f>COMISIONES!J3</f>
        <v>12745.127600000002</v>
      </c>
      <c r="F139" s="1051">
        <f>COMISIONES!J4</f>
        <v>1771.03755</v>
      </c>
      <c r="G139" s="1051">
        <f>COMISIONES!J5</f>
        <v>2048.7844500000001</v>
      </c>
      <c r="H139" s="1051">
        <f>COMISIONES!J7</f>
        <v>600.18254999999999</v>
      </c>
      <c r="I139" s="1051">
        <f>COMISIONES!J8</f>
        <v>1891.5045</v>
      </c>
      <c r="J139" s="1051">
        <f>COMISIONES!J9</f>
        <v>3142.0137</v>
      </c>
      <c r="K139" s="1051">
        <f>COMISIONES!J10</f>
        <v>1180.96785</v>
      </c>
    </row>
    <row r="140" spans="2:18" ht="14.25">
      <c r="B140" s="638" t="s">
        <v>325</v>
      </c>
      <c r="C140" s="707"/>
      <c r="D140" s="1051">
        <f>D91</f>
        <v>7240.2250805084759</v>
      </c>
      <c r="E140" s="1051">
        <f t="shared" ref="E140:J140" si="14">E91</f>
        <v>8688.2700966101711</v>
      </c>
      <c r="F140" s="1051">
        <f t="shared" si="14"/>
        <v>4452.1899999999996</v>
      </c>
      <c r="G140" s="1051">
        <f t="shared" si="14"/>
        <v>1459.82</v>
      </c>
      <c r="H140" s="1051">
        <f t="shared" si="14"/>
        <v>1091.3599999999999</v>
      </c>
      <c r="I140" s="1051">
        <f t="shared" si="14"/>
        <v>1528.25</v>
      </c>
      <c r="J140" s="1051">
        <f t="shared" si="14"/>
        <v>3375.75</v>
      </c>
      <c r="K140" s="1051">
        <f>K91</f>
        <v>1440.1</v>
      </c>
      <c r="M140" s="708"/>
    </row>
    <row r="141" spans="2:18" ht="14.25">
      <c r="B141" s="638" t="s">
        <v>326</v>
      </c>
      <c r="C141" s="707"/>
      <c r="D141" s="1051"/>
      <c r="E141" s="1051"/>
      <c r="F141" s="1051"/>
      <c r="G141" s="1051"/>
      <c r="H141" s="1051"/>
      <c r="I141" s="1051"/>
      <c r="J141" s="1051"/>
      <c r="K141" s="1051"/>
    </row>
    <row r="142" spans="2:18" ht="14.25">
      <c r="B142" s="638" t="s">
        <v>327</v>
      </c>
      <c r="C142" s="707"/>
      <c r="D142" s="1051"/>
      <c r="E142" s="1051"/>
      <c r="F142" s="1051"/>
      <c r="G142" s="1051"/>
      <c r="H142" s="1051"/>
      <c r="I142" s="1054"/>
      <c r="J142" s="1054"/>
      <c r="K142" s="1054"/>
    </row>
    <row r="143" spans="2:18" ht="14.25">
      <c r="B143" s="638" t="s">
        <v>328</v>
      </c>
      <c r="C143" s="707"/>
      <c r="D143" s="1051"/>
      <c r="E143" s="1051"/>
      <c r="F143" s="1051"/>
      <c r="G143" s="1051"/>
      <c r="H143" s="1051"/>
      <c r="I143" s="1051"/>
      <c r="J143" s="1051"/>
      <c r="K143" s="1051"/>
      <c r="M143" s="708"/>
      <c r="N143" s="708"/>
    </row>
    <row r="144" spans="2:18" ht="14.25">
      <c r="B144" s="638" t="s">
        <v>329</v>
      </c>
      <c r="C144" s="707"/>
      <c r="D144" s="1053"/>
      <c r="E144" s="1053"/>
      <c r="F144" s="1053"/>
      <c r="G144" s="1053"/>
      <c r="H144" s="1053"/>
      <c r="I144" s="1053"/>
      <c r="J144" s="1053"/>
      <c r="K144" s="1053"/>
      <c r="M144" s="708"/>
      <c r="N144" s="708"/>
    </row>
    <row r="145" spans="2:13">
      <c r="B145" s="709"/>
      <c r="C145" s="709"/>
      <c r="D145" s="709"/>
    </row>
    <row r="146" spans="2:13">
      <c r="B146" s="709" t="s">
        <v>378</v>
      </c>
      <c r="C146" s="709"/>
      <c r="D146" s="706">
        <v>13113</v>
      </c>
      <c r="E146" s="706">
        <v>4613</v>
      </c>
      <c r="F146" s="706">
        <v>3913</v>
      </c>
      <c r="G146" s="706">
        <f>2800+113</f>
        <v>2913</v>
      </c>
      <c r="H146" s="706">
        <v>2500</v>
      </c>
      <c r="I146" s="706">
        <v>2500</v>
      </c>
      <c r="J146" s="706">
        <v>2300</v>
      </c>
      <c r="K146" s="706"/>
    </row>
    <row r="147" spans="2:13">
      <c r="B147" s="709" t="s">
        <v>379</v>
      </c>
      <c r="C147" s="709"/>
      <c r="D147" s="706">
        <f>SUM(D138:D140)/3</f>
        <v>7203.2118435028251</v>
      </c>
      <c r="E147" s="706">
        <f>SUM(E138:E140)/3</f>
        <v>10132.861892203391</v>
      </c>
      <c r="F147" s="706">
        <f>SUM(F138:F140)/3</f>
        <v>3518.2179333333333</v>
      </c>
      <c r="G147" s="706">
        <f t="shared" ref="G147:J147" si="15">SUM(G138:G140)/3</f>
        <v>1834.4346666666668</v>
      </c>
      <c r="H147" s="706">
        <f t="shared" si="15"/>
        <v>1082.8139666666666</v>
      </c>
      <c r="I147" s="706">
        <f t="shared" si="15"/>
        <v>1360.8397666666667</v>
      </c>
      <c r="J147" s="706">
        <f t="shared" si="15"/>
        <v>2666.69965</v>
      </c>
      <c r="K147" s="706"/>
    </row>
    <row r="148" spans="2:13">
      <c r="B148" s="709" t="s">
        <v>380</v>
      </c>
      <c r="C148" s="709"/>
      <c r="D148" s="706">
        <f>SUM(D146:D147)</f>
        <v>20316.211843502824</v>
      </c>
      <c r="E148" s="706">
        <f t="shared" ref="E148:J148" si="16">SUM(E146:E147)</f>
        <v>14745.861892203391</v>
      </c>
      <c r="F148" s="706">
        <f t="shared" si="16"/>
        <v>7431.2179333333333</v>
      </c>
      <c r="G148" s="706">
        <f t="shared" si="16"/>
        <v>4747.434666666667</v>
      </c>
      <c r="H148" s="706">
        <f t="shared" si="16"/>
        <v>3582.8139666666666</v>
      </c>
      <c r="I148" s="706">
        <f t="shared" si="16"/>
        <v>3860.8397666666669</v>
      </c>
      <c r="J148" s="706">
        <f t="shared" si="16"/>
        <v>4966.6996500000005</v>
      </c>
      <c r="K148" s="706"/>
    </row>
    <row r="149" spans="2:13">
      <c r="B149" s="710" t="s">
        <v>381</v>
      </c>
      <c r="C149" s="710" t="s">
        <v>381</v>
      </c>
      <c r="D149" s="983">
        <f>+((D148*5+(D148*1.09*1)+D97))</f>
        <v>298842.99174718501</v>
      </c>
      <c r="E149" s="983">
        <f t="shared" ref="E149:J149" si="17">+((E148*5+(E148*1.09*1)+E97))</f>
        <v>221935.39392810117</v>
      </c>
      <c r="F149" s="983">
        <f t="shared" si="17"/>
        <v>109899.50137741669</v>
      </c>
      <c r="G149" s="983">
        <f t="shared" si="17"/>
        <v>70118.574067040958</v>
      </c>
      <c r="H149" s="983">
        <f t="shared" si="17"/>
        <v>54187.132905249993</v>
      </c>
      <c r="I149" s="983">
        <f t="shared" si="17"/>
        <v>59084.730687475996</v>
      </c>
      <c r="J149" s="983">
        <f t="shared" si="17"/>
        <v>68167.302738930797</v>
      </c>
      <c r="K149" s="983"/>
    </row>
    <row r="150" spans="2:13">
      <c r="D150" s="705"/>
      <c r="M150" s="711"/>
    </row>
    <row r="151" spans="2:13">
      <c r="D151" s="984">
        <f>+D148*5</f>
        <v>101581.05921751412</v>
      </c>
      <c r="E151" s="984">
        <f t="shared" ref="E151:J151" si="18">+E148*5</f>
        <v>73729.30946101695</v>
      </c>
      <c r="F151" s="984">
        <f t="shared" si="18"/>
        <v>37156.089666666667</v>
      </c>
      <c r="G151" s="984">
        <f t="shared" si="18"/>
        <v>23737.173333333336</v>
      </c>
      <c r="H151" s="984">
        <f t="shared" si="18"/>
        <v>17914.069833333335</v>
      </c>
      <c r="I151" s="984">
        <f t="shared" si="18"/>
        <v>19304.198833333336</v>
      </c>
      <c r="J151" s="984">
        <f t="shared" si="18"/>
        <v>24833.498250000004</v>
      </c>
      <c r="K151" s="984"/>
    </row>
    <row r="152" spans="2:13">
      <c r="D152" s="705">
        <f>(+D148*1.09)*1</f>
        <v>22144.670909418081</v>
      </c>
      <c r="E152" s="705">
        <f t="shared" ref="E152:I152" si="19">(+E148*1.09)*1</f>
        <v>16072.989462501697</v>
      </c>
      <c r="F152" s="705">
        <f t="shared" si="19"/>
        <v>8100.027547333334</v>
      </c>
      <c r="G152" s="705">
        <f t="shared" si="19"/>
        <v>5174.7037866666678</v>
      </c>
      <c r="H152" s="705">
        <f t="shared" si="19"/>
        <v>3905.2672236666667</v>
      </c>
      <c r="I152" s="705">
        <f t="shared" si="19"/>
        <v>4208.3153456666669</v>
      </c>
      <c r="J152" s="705">
        <f>(+J148*1.09)*1</f>
        <v>5413.7026185000013</v>
      </c>
      <c r="L152" s="705"/>
    </row>
    <row r="153" spans="2:13">
      <c r="D153" s="705">
        <f>+D97</f>
        <v>175117.26162025283</v>
      </c>
      <c r="E153" s="705">
        <f t="shared" ref="E153:J153" si="20">+E97</f>
        <v>132133.09500458252</v>
      </c>
      <c r="F153" s="705">
        <f t="shared" si="20"/>
        <v>64643.384163416682</v>
      </c>
      <c r="G153" s="705">
        <f t="shared" si="20"/>
        <v>41206.696947040953</v>
      </c>
      <c r="H153" s="705">
        <f t="shared" si="20"/>
        <v>32367.795848249996</v>
      </c>
      <c r="I153" s="705">
        <f t="shared" si="20"/>
        <v>35572.216508475991</v>
      </c>
      <c r="J153" s="705">
        <f t="shared" si="20"/>
        <v>37920.101870430786</v>
      </c>
    </row>
    <row r="154" spans="2:13">
      <c r="D154" s="705">
        <f>SUM(D151:D153)</f>
        <v>298842.99174718501</v>
      </c>
      <c r="E154" s="705">
        <f>SUM(E151:E153)</f>
        <v>221935.39392810117</v>
      </c>
      <c r="F154" s="705">
        <f t="shared" ref="F154:I154" si="21">SUM(F151:F153)</f>
        <v>109899.50137741669</v>
      </c>
      <c r="G154" s="705">
        <f t="shared" si="21"/>
        <v>70118.574067040958</v>
      </c>
      <c r="H154" s="705">
        <f t="shared" si="21"/>
        <v>54187.132905249993</v>
      </c>
      <c r="I154" s="705">
        <f t="shared" si="21"/>
        <v>59084.730687475996</v>
      </c>
      <c r="J154" s="705">
        <f>SUM(J151:J153)</f>
        <v>68167.302738930797</v>
      </c>
    </row>
    <row r="155" spans="2:13">
      <c r="D155" s="705">
        <f>+D154-D149</f>
        <v>0</v>
      </c>
      <c r="E155" s="705">
        <f>+E154-E149</f>
        <v>0</v>
      </c>
      <c r="F155" s="705">
        <f t="shared" ref="F155:G155" si="22">+F154-F149</f>
        <v>0</v>
      </c>
      <c r="G155" s="705">
        <f t="shared" si="22"/>
        <v>0</v>
      </c>
      <c r="H155" s="705">
        <f t="shared" ref="H155:I155" si="23">+H154-H149</f>
        <v>0</v>
      </c>
      <c r="I155" s="705">
        <f t="shared" si="23"/>
        <v>0</v>
      </c>
      <c r="J155" s="705">
        <f>+J154-J149</f>
        <v>0</v>
      </c>
    </row>
    <row r="162" spans="2:12" ht="15">
      <c r="B162" s="1151" t="s">
        <v>382</v>
      </c>
      <c r="C162" s="1149"/>
      <c r="D162" s="1150">
        <v>3863.56</v>
      </c>
      <c r="E162" s="1150">
        <v>2944.79</v>
      </c>
      <c r="F162" s="1150">
        <v>1503.58</v>
      </c>
      <c r="G162" s="1150">
        <v>697.88</v>
      </c>
      <c r="H162" s="1150">
        <v>582.95000000000005</v>
      </c>
      <c r="I162" s="1150">
        <v>540.19000000000005</v>
      </c>
      <c r="J162" s="1150">
        <v>355.57</v>
      </c>
      <c r="K162" s="1150"/>
      <c r="L162" s="649">
        <f>SUM(D162:J162)</f>
        <v>10488.52</v>
      </c>
    </row>
    <row r="183" spans="6:11">
      <c r="F183" s="712" t="s">
        <v>383</v>
      </c>
      <c r="G183" s="712"/>
      <c r="H183" s="712"/>
      <c r="I183" s="712"/>
      <c r="J183" s="712"/>
      <c r="K183" s="712"/>
    </row>
    <row r="184" spans="6:11">
      <c r="F184" s="712" t="s">
        <v>384</v>
      </c>
      <c r="G184" s="712"/>
      <c r="H184" s="712"/>
      <c r="I184" s="712"/>
      <c r="J184" s="712"/>
      <c r="K184" s="712"/>
    </row>
    <row r="185" spans="6:11">
      <c r="F185" s="712" t="s">
        <v>385</v>
      </c>
      <c r="G185" s="712"/>
      <c r="H185" s="712"/>
      <c r="I185" s="712"/>
      <c r="J185" s="712"/>
      <c r="K185" s="712"/>
    </row>
    <row r="186" spans="6:11">
      <c r="F186" s="712" t="s">
        <v>386</v>
      </c>
      <c r="G186" s="712"/>
      <c r="H186" s="712"/>
      <c r="I186" s="712"/>
      <c r="J186" s="712"/>
      <c r="K186" s="712"/>
    </row>
  </sheetData>
  <mergeCells count="3">
    <mergeCell ref="B4:B5"/>
    <mergeCell ref="C4:C5"/>
    <mergeCell ref="L4:L5"/>
  </mergeCells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5504-11B9-440B-B472-81798827911A}">
  <dimension ref="B2:AF139"/>
  <sheetViews>
    <sheetView topLeftCell="A4" zoomScale="75" zoomScaleNormal="75" workbookViewId="0">
      <pane xSplit="5" ySplit="2" topLeftCell="F30" activePane="bottomRight" state="frozen"/>
      <selection activeCell="K110" sqref="K110"/>
      <selection pane="topRight" activeCell="K110" sqref="K110"/>
      <selection pane="bottomLeft" activeCell="K110" sqref="K110"/>
      <selection pane="bottomRight" activeCell="N90" sqref="N90"/>
    </sheetView>
  </sheetViews>
  <sheetFormatPr baseColWidth="10" defaultColWidth="12.85546875" defaultRowHeight="12.75"/>
  <cols>
    <col min="1" max="1" width="2.7109375" style="638" customWidth="1"/>
    <col min="2" max="2" width="51.140625" style="638" customWidth="1"/>
    <col min="3" max="3" width="5.140625" style="638" bestFit="1" customWidth="1"/>
    <col min="4" max="4" width="13.42578125" style="709" customWidth="1"/>
    <col min="5" max="5" width="15.5703125" style="709" customWidth="1"/>
    <col min="6" max="6" width="13.7109375" style="709" customWidth="1"/>
    <col min="7" max="7" width="17" style="734" customWidth="1"/>
    <col min="8" max="21" width="13.42578125" style="734" customWidth="1"/>
    <col min="22" max="22" width="15.140625" style="638" customWidth="1"/>
    <col min="23" max="23" width="12.140625" style="638" customWidth="1"/>
    <col min="24" max="24" width="12.5703125" style="638" customWidth="1"/>
    <col min="25" max="239" width="11.42578125" style="638" customWidth="1"/>
    <col min="240" max="240" width="2.7109375" style="638" customWidth="1"/>
    <col min="241" max="241" width="31.5703125" style="638" customWidth="1"/>
    <col min="242" max="242" width="12.42578125" style="638" customWidth="1"/>
    <col min="243" max="243" width="13.42578125" style="638" bestFit="1" customWidth="1"/>
    <col min="244" max="244" width="12.140625" style="638" bestFit="1" customWidth="1"/>
    <col min="245" max="245" width="13.28515625" style="638" customWidth="1"/>
    <col min="246" max="248" width="12.140625" style="638" bestFit="1" customWidth="1"/>
    <col min="249" max="250" width="13.28515625" style="638" customWidth="1"/>
    <col min="251" max="251" width="14.42578125" style="638" customWidth="1"/>
    <col min="252" max="16384" width="12.85546875" style="638"/>
  </cols>
  <sheetData>
    <row r="2" spans="2:22" s="635" customFormat="1" ht="15.75">
      <c r="B2" s="635" t="s">
        <v>333</v>
      </c>
      <c r="G2" s="714"/>
      <c r="H2" s="714"/>
      <c r="I2" s="714"/>
      <c r="J2" s="714"/>
      <c r="K2" s="714"/>
      <c r="L2" s="714"/>
      <c r="M2" s="714"/>
      <c r="N2" s="714"/>
      <c r="O2" s="714"/>
      <c r="P2" s="714"/>
      <c r="Q2" s="714"/>
      <c r="R2" s="714"/>
      <c r="S2" s="714"/>
      <c r="T2" s="714"/>
      <c r="U2" s="714"/>
    </row>
    <row r="3" spans="2:22" ht="13.5" thickBot="1">
      <c r="D3" s="639">
        <v>1</v>
      </c>
      <c r="E3" s="639">
        <f t="shared" ref="E3:H3" si="0">+D3+1</f>
        <v>2</v>
      </c>
      <c r="F3" s="639">
        <f t="shared" si="0"/>
        <v>3</v>
      </c>
      <c r="G3" s="639">
        <f t="shared" si="0"/>
        <v>4</v>
      </c>
      <c r="H3" s="639">
        <f t="shared" si="0"/>
        <v>5</v>
      </c>
      <c r="I3" s="639"/>
      <c r="J3" s="639"/>
      <c r="K3" s="639"/>
      <c r="L3" s="639"/>
      <c r="M3" s="639"/>
      <c r="N3" s="639"/>
      <c r="O3" s="639"/>
      <c r="P3" s="639"/>
      <c r="Q3" s="639"/>
      <c r="R3" s="639"/>
      <c r="S3" s="639"/>
      <c r="T3" s="639"/>
      <c r="U3" s="639"/>
    </row>
    <row r="4" spans="2:22" ht="15">
      <c r="B4" s="715"/>
      <c r="C4" s="716"/>
      <c r="D4" s="717" t="s">
        <v>387</v>
      </c>
      <c r="E4" s="642" t="s">
        <v>388</v>
      </c>
      <c r="F4" s="717" t="s">
        <v>389</v>
      </c>
      <c r="G4" s="642" t="s">
        <v>390</v>
      </c>
      <c r="H4" s="642" t="s">
        <v>391</v>
      </c>
      <c r="I4" s="642" t="s">
        <v>392</v>
      </c>
      <c r="J4" s="642" t="s">
        <v>393</v>
      </c>
      <c r="K4" s="642" t="s">
        <v>394</v>
      </c>
      <c r="L4" s="642" t="s">
        <v>337</v>
      </c>
      <c r="M4" s="642" t="s">
        <v>395</v>
      </c>
      <c r="N4" s="642" t="s">
        <v>396</v>
      </c>
      <c r="O4" s="642" t="s">
        <v>754</v>
      </c>
      <c r="P4" s="642" t="s">
        <v>339</v>
      </c>
      <c r="Q4" s="642" t="s">
        <v>627</v>
      </c>
      <c r="R4" s="642" t="s">
        <v>934</v>
      </c>
      <c r="S4" s="642" t="s">
        <v>936</v>
      </c>
      <c r="T4" s="642" t="s">
        <v>938</v>
      </c>
      <c r="U4" s="642" t="s">
        <v>939</v>
      </c>
      <c r="V4" s="1511" t="s">
        <v>291</v>
      </c>
    </row>
    <row r="5" spans="2:22" ht="15">
      <c r="B5" s="718" t="s">
        <v>193</v>
      </c>
      <c r="C5" s="718"/>
      <c r="D5" s="719" t="s">
        <v>397</v>
      </c>
      <c r="E5" s="720" t="s">
        <v>398</v>
      </c>
      <c r="F5" s="719" t="s">
        <v>399</v>
      </c>
      <c r="G5" s="720" t="s">
        <v>400</v>
      </c>
      <c r="H5" s="720" t="s">
        <v>401</v>
      </c>
      <c r="I5" s="720" t="s">
        <v>402</v>
      </c>
      <c r="J5" s="720" t="s">
        <v>403</v>
      </c>
      <c r="K5" s="720" t="s">
        <v>404</v>
      </c>
      <c r="L5" s="720" t="s">
        <v>405</v>
      </c>
      <c r="M5" s="720" t="s">
        <v>406</v>
      </c>
      <c r="N5" s="720" t="s">
        <v>407</v>
      </c>
      <c r="O5" s="720" t="s">
        <v>755</v>
      </c>
      <c r="P5" s="1359" t="s">
        <v>932</v>
      </c>
      <c r="Q5" s="1359" t="s">
        <v>933</v>
      </c>
      <c r="R5" s="1359" t="s">
        <v>935</v>
      </c>
      <c r="S5" s="1359" t="s">
        <v>937</v>
      </c>
      <c r="T5" s="1359" t="s">
        <v>678</v>
      </c>
      <c r="U5" s="1359" t="s">
        <v>940</v>
      </c>
      <c r="V5" s="1512"/>
    </row>
    <row r="6" spans="2:22" s="648" customFormat="1" ht="15">
      <c r="B6" s="837" t="s">
        <v>318</v>
      </c>
      <c r="C6" s="657"/>
      <c r="D6" s="649"/>
      <c r="E6" s="649"/>
      <c r="F6" s="649"/>
      <c r="G6" s="649"/>
      <c r="H6" s="649"/>
      <c r="I6" s="649"/>
      <c r="J6" s="649"/>
      <c r="K6" s="653"/>
      <c r="L6" s="653"/>
      <c r="M6" s="653"/>
      <c r="N6" s="653"/>
      <c r="O6" s="653"/>
      <c r="P6" s="653"/>
      <c r="Q6" s="653"/>
      <c r="R6" s="653"/>
      <c r="S6" s="653"/>
      <c r="T6" s="653"/>
      <c r="U6" s="653"/>
      <c r="V6" s="653">
        <f t="shared" ref="V6:V37" si="1">SUM(D6:U6)</f>
        <v>0</v>
      </c>
    </row>
    <row r="7" spans="2:22" s="648" customFormat="1" ht="14.25">
      <c r="B7" s="657" t="s">
        <v>349</v>
      </c>
      <c r="C7" s="657"/>
      <c r="D7" s="649">
        <f>6000+113</f>
        <v>6113</v>
      </c>
      <c r="E7" s="649">
        <f>4000+113</f>
        <v>4113</v>
      </c>
      <c r="F7" s="649">
        <v>3360</v>
      </c>
      <c r="G7" s="649">
        <f>6000+113</f>
        <v>6113</v>
      </c>
      <c r="H7" s="649">
        <f>4000+113</f>
        <v>4113</v>
      </c>
      <c r="I7" s="649">
        <v>2500</v>
      </c>
      <c r="J7" s="649">
        <v>3000</v>
      </c>
      <c r="K7" s="653">
        <v>2800</v>
      </c>
      <c r="L7" s="653">
        <v>2800</v>
      </c>
      <c r="M7" s="653">
        <v>2100</v>
      </c>
      <c r="N7" s="653">
        <v>2500</v>
      </c>
      <c r="O7" s="653">
        <v>2500</v>
      </c>
      <c r="P7" s="653">
        <v>2500</v>
      </c>
      <c r="Q7" s="653">
        <v>2200</v>
      </c>
      <c r="R7" s="649">
        <v>2000</v>
      </c>
      <c r="S7" s="653">
        <v>2000</v>
      </c>
      <c r="T7" s="653">
        <v>2113</v>
      </c>
      <c r="U7" s="653">
        <v>2113</v>
      </c>
      <c r="V7" s="653">
        <f t="shared" si="1"/>
        <v>54938</v>
      </c>
    </row>
    <row r="8" spans="2:22" s="648" customFormat="1" ht="14.25">
      <c r="B8" s="657" t="s">
        <v>141</v>
      </c>
      <c r="C8" s="657"/>
      <c r="D8" s="649"/>
      <c r="E8" s="649"/>
      <c r="F8" s="649">
        <v>640</v>
      </c>
      <c r="G8" s="649"/>
      <c r="H8" s="649"/>
      <c r="I8" s="649"/>
      <c r="J8" s="649"/>
      <c r="K8" s="653"/>
      <c r="L8" s="653"/>
      <c r="M8" s="653">
        <v>800</v>
      </c>
      <c r="N8" s="653"/>
      <c r="O8" s="653"/>
      <c r="P8" s="653"/>
      <c r="Q8" s="653"/>
      <c r="R8" s="1364"/>
      <c r="S8" s="653"/>
      <c r="T8" s="653"/>
      <c r="U8" s="653"/>
      <c r="V8" s="653">
        <f t="shared" si="1"/>
        <v>1440</v>
      </c>
    </row>
    <row r="9" spans="2:22" s="648" customFormat="1" ht="14.25">
      <c r="B9" s="657" t="s">
        <v>19</v>
      </c>
      <c r="C9" s="657"/>
      <c r="D9" s="649">
        <v>95.238095238095241</v>
      </c>
      <c r="E9" s="649">
        <v>76.19047619047619</v>
      </c>
      <c r="F9" s="649">
        <v>53.333333333333336</v>
      </c>
      <c r="G9" s="649"/>
      <c r="H9" s="649">
        <v>66.666666666666671</v>
      </c>
      <c r="I9" s="649"/>
      <c r="J9" s="649">
        <v>90.476190476190482</v>
      </c>
      <c r="K9" s="653"/>
      <c r="L9" s="653"/>
      <c r="M9" s="653"/>
      <c r="N9" s="653"/>
      <c r="O9" s="653"/>
      <c r="P9" s="653"/>
      <c r="Q9" s="653"/>
      <c r="R9" s="653"/>
      <c r="S9" s="653"/>
      <c r="T9" s="653"/>
      <c r="U9" s="653">
        <v>90.48</v>
      </c>
      <c r="V9" s="653">
        <f t="shared" si="1"/>
        <v>472.38476190476194</v>
      </c>
    </row>
    <row r="10" spans="2:22" s="648" customFormat="1" ht="14.25">
      <c r="B10" s="657" t="s">
        <v>307</v>
      </c>
      <c r="C10" s="657"/>
      <c r="D10" s="649"/>
      <c r="E10" s="649">
        <v>290.48062500000003</v>
      </c>
      <c r="F10" s="649"/>
      <c r="G10" s="649"/>
      <c r="H10" s="649">
        <v>1311.0187500000002</v>
      </c>
      <c r="I10" s="649"/>
      <c r="J10" s="649"/>
      <c r="K10" s="653">
        <f>+'[5]PLANILLA MENSUAL'!U27</f>
        <v>197.75</v>
      </c>
      <c r="L10" s="653"/>
      <c r="M10" s="653"/>
      <c r="N10" s="653">
        <v>786.97916666666663</v>
      </c>
      <c r="O10" s="653"/>
      <c r="P10" s="653"/>
      <c r="Q10" s="653"/>
      <c r="R10" s="653">
        <v>267.29166666666669</v>
      </c>
      <c r="S10" s="653">
        <v>802.91666666666674</v>
      </c>
      <c r="T10" s="653"/>
      <c r="U10" s="653"/>
      <c r="V10" s="653">
        <f t="shared" si="1"/>
        <v>3656.4368750000003</v>
      </c>
    </row>
    <row r="11" spans="2:22" s="648" customFormat="1" ht="14.25">
      <c r="B11" s="657"/>
      <c r="C11" s="657"/>
      <c r="D11" s="649"/>
      <c r="E11" s="649"/>
      <c r="F11" s="649"/>
      <c r="G11" s="649"/>
      <c r="H11" s="649"/>
      <c r="I11" s="649"/>
      <c r="J11" s="649"/>
      <c r="K11" s="653"/>
      <c r="L11" s="653"/>
      <c r="M11" s="653"/>
      <c r="N11" s="653"/>
      <c r="O11" s="653"/>
      <c r="P11" s="653"/>
      <c r="Q11" s="653"/>
      <c r="R11" s="653"/>
      <c r="S11" s="653"/>
      <c r="T11" s="653"/>
      <c r="U11" s="653"/>
      <c r="V11" s="653">
        <f t="shared" si="1"/>
        <v>0</v>
      </c>
    </row>
    <row r="12" spans="2:22" s="648" customFormat="1" ht="15">
      <c r="B12" s="837" t="s">
        <v>319</v>
      </c>
      <c r="C12" s="657"/>
      <c r="D12" s="649"/>
      <c r="E12" s="649"/>
      <c r="F12" s="649"/>
      <c r="G12" s="649"/>
      <c r="H12" s="649"/>
      <c r="I12" s="649"/>
      <c r="J12" s="649"/>
      <c r="K12" s="653"/>
      <c r="L12" s="653"/>
      <c r="M12" s="653"/>
      <c r="N12" s="653"/>
      <c r="O12" s="653"/>
      <c r="P12" s="653"/>
      <c r="Q12" s="653"/>
      <c r="R12" s="653"/>
      <c r="S12" s="653"/>
      <c r="T12" s="653"/>
      <c r="U12" s="653"/>
      <c r="V12" s="653">
        <f t="shared" si="1"/>
        <v>0</v>
      </c>
    </row>
    <row r="13" spans="2:22" s="648" customFormat="1" ht="14.25">
      <c r="B13" s="657" t="s">
        <v>349</v>
      </c>
      <c r="C13" s="657"/>
      <c r="D13" s="649">
        <f>6000+113</f>
        <v>6113</v>
      </c>
      <c r="E13" s="649">
        <f>4000+113</f>
        <v>4113</v>
      </c>
      <c r="F13" s="649">
        <v>3360</v>
      </c>
      <c r="G13" s="649">
        <f>6000+113</f>
        <v>6113</v>
      </c>
      <c r="H13" s="649">
        <f>4000+113</f>
        <v>4113</v>
      </c>
      <c r="I13" s="649">
        <v>2500</v>
      </c>
      <c r="J13" s="649">
        <v>3000</v>
      </c>
      <c r="K13" s="653">
        <v>2800</v>
      </c>
      <c r="L13" s="653">
        <v>2800</v>
      </c>
      <c r="M13" s="653">
        <v>2100</v>
      </c>
      <c r="N13" s="653">
        <v>2500</v>
      </c>
      <c r="O13" s="653">
        <v>2500</v>
      </c>
      <c r="P13" s="653">
        <v>2500</v>
      </c>
      <c r="Q13" s="653">
        <v>2200</v>
      </c>
      <c r="R13" s="649">
        <v>2000</v>
      </c>
      <c r="S13" s="653">
        <v>2000</v>
      </c>
      <c r="T13" s="653">
        <v>2113</v>
      </c>
      <c r="U13" s="653">
        <v>2113</v>
      </c>
      <c r="V13" s="653">
        <f t="shared" si="1"/>
        <v>54938</v>
      </c>
    </row>
    <row r="14" spans="2:22" s="648" customFormat="1" ht="14.25">
      <c r="B14" s="657" t="s">
        <v>141</v>
      </c>
      <c r="C14" s="657"/>
      <c r="D14" s="649"/>
      <c r="E14" s="649"/>
      <c r="F14" s="649">
        <v>640</v>
      </c>
      <c r="G14" s="649"/>
      <c r="H14" s="649"/>
      <c r="I14" s="649"/>
      <c r="J14" s="649"/>
      <c r="K14" s="653"/>
      <c r="L14" s="653"/>
      <c r="M14" s="653">
        <v>800</v>
      </c>
      <c r="N14" s="653"/>
      <c r="O14" s="653"/>
      <c r="P14" s="653"/>
      <c r="Q14" s="653"/>
      <c r="R14" s="653"/>
      <c r="S14" s="653"/>
      <c r="T14" s="653"/>
      <c r="U14" s="653"/>
      <c r="V14" s="653">
        <f t="shared" si="1"/>
        <v>1440</v>
      </c>
    </row>
    <row r="15" spans="2:22" s="648" customFormat="1" ht="14.25">
      <c r="B15" s="657" t="s">
        <v>19</v>
      </c>
      <c r="C15" s="657"/>
      <c r="D15" s="649">
        <v>100</v>
      </c>
      <c r="E15" s="649">
        <v>100</v>
      </c>
      <c r="F15" s="649">
        <v>100</v>
      </c>
      <c r="G15" s="649"/>
      <c r="H15" s="649">
        <v>65</v>
      </c>
      <c r="I15" s="649"/>
      <c r="J15" s="649">
        <v>60</v>
      </c>
      <c r="K15" s="653"/>
      <c r="L15" s="653"/>
      <c r="M15" s="653"/>
      <c r="N15" s="653"/>
      <c r="O15" s="653"/>
      <c r="P15" s="653"/>
      <c r="Q15" s="653"/>
      <c r="R15" s="653"/>
      <c r="S15" s="653"/>
      <c r="T15" s="653"/>
      <c r="U15" s="653">
        <v>100</v>
      </c>
      <c r="V15" s="653">
        <f t="shared" si="1"/>
        <v>525</v>
      </c>
    </row>
    <row r="16" spans="2:22" s="648" customFormat="1" ht="14.25">
      <c r="B16" s="657"/>
      <c r="C16" s="657"/>
      <c r="D16" s="649"/>
      <c r="E16" s="649"/>
      <c r="F16" s="649"/>
      <c r="G16" s="649"/>
      <c r="H16" s="649"/>
      <c r="I16" s="649"/>
      <c r="J16" s="649"/>
      <c r="K16" s="653"/>
      <c r="L16" s="653"/>
      <c r="M16" s="653"/>
      <c r="N16" s="653"/>
      <c r="O16" s="653"/>
      <c r="P16" s="653"/>
      <c r="Q16" s="653"/>
      <c r="R16" s="653"/>
      <c r="S16" s="653"/>
      <c r="T16" s="653"/>
      <c r="U16" s="653"/>
      <c r="V16" s="653">
        <f t="shared" si="1"/>
        <v>0</v>
      </c>
    </row>
    <row r="17" spans="2:23" s="648" customFormat="1" ht="15">
      <c r="B17" s="837" t="s">
        <v>320</v>
      </c>
      <c r="C17" s="657"/>
      <c r="D17" s="649"/>
      <c r="E17" s="649"/>
      <c r="F17" s="649"/>
      <c r="G17" s="649"/>
      <c r="H17" s="649"/>
      <c r="I17" s="649"/>
      <c r="J17" s="649"/>
      <c r="K17" s="653"/>
      <c r="L17" s="653"/>
      <c r="M17" s="653"/>
      <c r="N17" s="653"/>
      <c r="O17" s="653"/>
      <c r="P17" s="653"/>
      <c r="Q17" s="653"/>
      <c r="R17" s="653"/>
      <c r="S17" s="653"/>
      <c r="T17" s="653"/>
      <c r="U17" s="653"/>
      <c r="V17" s="653">
        <f t="shared" si="1"/>
        <v>0</v>
      </c>
    </row>
    <row r="18" spans="2:23" s="648" customFormat="1" ht="14.25">
      <c r="B18" s="657" t="s">
        <v>349</v>
      </c>
      <c r="C18" s="657"/>
      <c r="D18" s="649">
        <f>6000+113</f>
        <v>6113</v>
      </c>
      <c r="E18" s="649">
        <f>4000+113</f>
        <v>4113</v>
      </c>
      <c r="F18" s="649">
        <v>3360</v>
      </c>
      <c r="G18" s="649">
        <f>6000+113</f>
        <v>6113</v>
      </c>
      <c r="H18" s="649">
        <f>4000+113</f>
        <v>4113</v>
      </c>
      <c r="I18" s="649">
        <v>2500</v>
      </c>
      <c r="J18" s="649">
        <v>3000</v>
      </c>
      <c r="K18" s="653">
        <v>2800</v>
      </c>
      <c r="L18" s="653">
        <v>2800</v>
      </c>
      <c r="M18" s="653">
        <v>2100</v>
      </c>
      <c r="N18" s="653">
        <v>2500</v>
      </c>
      <c r="O18" s="653">
        <v>2500</v>
      </c>
      <c r="P18" s="653">
        <v>2500</v>
      </c>
      <c r="Q18" s="653">
        <v>2200</v>
      </c>
      <c r="R18" s="649">
        <v>2000</v>
      </c>
      <c r="S18" s="653">
        <v>2000</v>
      </c>
      <c r="T18" s="653">
        <v>2113</v>
      </c>
      <c r="U18" s="653">
        <v>2113</v>
      </c>
      <c r="V18" s="653">
        <f t="shared" si="1"/>
        <v>54938</v>
      </c>
    </row>
    <row r="19" spans="2:23" s="648" customFormat="1" ht="14.25">
      <c r="B19" s="657" t="s">
        <v>141</v>
      </c>
      <c r="C19" s="657"/>
      <c r="D19" s="649"/>
      <c r="E19" s="649"/>
      <c r="F19" s="649">
        <v>640</v>
      </c>
      <c r="G19" s="649"/>
      <c r="H19" s="649"/>
      <c r="I19" s="649"/>
      <c r="J19" s="649"/>
      <c r="K19" s="653"/>
      <c r="L19" s="653"/>
      <c r="M19" s="653">
        <v>800</v>
      </c>
      <c r="N19" s="653"/>
      <c r="O19" s="653"/>
      <c r="P19" s="653"/>
      <c r="Q19" s="653"/>
      <c r="R19" s="653"/>
      <c r="S19" s="653"/>
      <c r="T19" s="653"/>
      <c r="U19" s="653"/>
      <c r="V19" s="653">
        <f t="shared" si="1"/>
        <v>1440</v>
      </c>
    </row>
    <row r="20" spans="2:23" s="648" customFormat="1" ht="14.25">
      <c r="B20" s="657" t="s">
        <v>19</v>
      </c>
      <c r="C20" s="657"/>
      <c r="D20" s="649">
        <v>100</v>
      </c>
      <c r="E20" s="649">
        <v>100</v>
      </c>
      <c r="F20" s="655">
        <v>90</v>
      </c>
      <c r="G20" s="655"/>
      <c r="H20" s="655">
        <v>75</v>
      </c>
      <c r="I20" s="649"/>
      <c r="J20" s="649">
        <v>100</v>
      </c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>
        <v>100</v>
      </c>
      <c r="V20" s="653">
        <f t="shared" si="1"/>
        <v>565</v>
      </c>
    </row>
    <row r="21" spans="2:23" s="648" customFormat="1" ht="14.25">
      <c r="B21" s="657" t="s">
        <v>307</v>
      </c>
      <c r="C21" s="657"/>
      <c r="D21" s="649">
        <v>407.53</v>
      </c>
      <c r="E21" s="649"/>
      <c r="F21" s="649"/>
      <c r="G21" s="649"/>
      <c r="H21" s="649"/>
      <c r="I21" s="649"/>
      <c r="J21" s="655">
        <v>331.14</v>
      </c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>
        <f t="shared" si="1"/>
        <v>738.67</v>
      </c>
    </row>
    <row r="22" spans="2:23" s="1140" customFormat="1" ht="14.25">
      <c r="B22" s="1139" t="s">
        <v>352</v>
      </c>
      <c r="C22" s="1139"/>
      <c r="D22" s="1137">
        <v>10984.79</v>
      </c>
      <c r="E22" s="1137">
        <v>8491.98</v>
      </c>
      <c r="F22" s="1137">
        <v>7025.49</v>
      </c>
      <c r="G22" s="1137">
        <v>10355.57</v>
      </c>
      <c r="H22" s="1137">
        <v>7080.15</v>
      </c>
      <c r="I22" s="1137">
        <v>5958.32</v>
      </c>
      <c r="J22" s="1137">
        <v>7005.9</v>
      </c>
      <c r="K22" s="1138">
        <v>6432.12</v>
      </c>
      <c r="L22" s="1138">
        <v>5954.52</v>
      </c>
      <c r="M22" s="1138">
        <v>5918.4</v>
      </c>
      <c r="N22" s="1173">
        <v>6391.45</v>
      </c>
      <c r="O22" s="1173">
        <v>6304.7383779869197</v>
      </c>
      <c r="P22" s="1173">
        <v>6982.897745538784</v>
      </c>
      <c r="Q22" s="1173">
        <v>6452.0209411989426</v>
      </c>
      <c r="R22" s="1173">
        <v>6227.3592687465934</v>
      </c>
      <c r="S22" s="1173">
        <v>5939.7148879564857</v>
      </c>
      <c r="T22" s="1173">
        <v>5529.58</v>
      </c>
      <c r="U22" s="1173">
        <v>5929.2</v>
      </c>
      <c r="V22" s="653">
        <f t="shared" si="1"/>
        <v>124964.20122142772</v>
      </c>
      <c r="W22" s="1140" t="s">
        <v>408</v>
      </c>
    </row>
    <row r="23" spans="2:23" s="648" customFormat="1" ht="14.25">
      <c r="B23" s="657"/>
      <c r="C23" s="657"/>
      <c r="D23" s="649"/>
      <c r="E23" s="649"/>
      <c r="F23" s="649"/>
      <c r="G23" s="649"/>
      <c r="H23" s="649"/>
      <c r="I23" s="649"/>
      <c r="J23" s="649"/>
      <c r="K23" s="653"/>
      <c r="L23" s="653"/>
      <c r="M23" s="653"/>
      <c r="N23" s="653"/>
      <c r="O23" s="653"/>
      <c r="P23" s="653"/>
      <c r="Q23" s="653"/>
      <c r="R23" s="653"/>
      <c r="S23" s="653"/>
      <c r="T23" s="653"/>
      <c r="U23" s="653"/>
      <c r="V23" s="653">
        <f t="shared" si="1"/>
        <v>0</v>
      </c>
    </row>
    <row r="24" spans="2:23" s="648" customFormat="1" ht="15">
      <c r="B24" s="837" t="s">
        <v>321</v>
      </c>
      <c r="C24" s="657"/>
      <c r="D24" s="649"/>
      <c r="E24" s="649"/>
      <c r="F24" s="649"/>
      <c r="G24" s="649"/>
      <c r="H24" s="649"/>
      <c r="I24" s="649"/>
      <c r="J24" s="649"/>
      <c r="K24" s="653"/>
      <c r="L24" s="653"/>
      <c r="M24" s="653"/>
      <c r="N24" s="653"/>
      <c r="O24" s="653"/>
      <c r="P24" s="653"/>
      <c r="Q24" s="653"/>
      <c r="R24" s="653"/>
      <c r="S24" s="653"/>
      <c r="T24" s="653"/>
      <c r="U24" s="653"/>
      <c r="V24" s="653">
        <f t="shared" si="1"/>
        <v>0</v>
      </c>
    </row>
    <row r="25" spans="2:23" s="648" customFormat="1" ht="14.25">
      <c r="B25" s="657" t="s">
        <v>349</v>
      </c>
      <c r="C25" s="657"/>
      <c r="D25" s="649">
        <f>6000+113</f>
        <v>6113</v>
      </c>
      <c r="E25" s="649">
        <f>4000+113</f>
        <v>4113</v>
      </c>
      <c r="F25" s="649">
        <v>3360</v>
      </c>
      <c r="G25" s="649">
        <f>6000+113</f>
        <v>6113</v>
      </c>
      <c r="H25" s="649">
        <f>4000+113</f>
        <v>4113</v>
      </c>
      <c r="I25" s="649">
        <v>2500</v>
      </c>
      <c r="J25" s="649">
        <v>3000</v>
      </c>
      <c r="K25" s="653">
        <v>2800</v>
      </c>
      <c r="L25" s="653">
        <v>2800</v>
      </c>
      <c r="M25" s="653">
        <v>2100</v>
      </c>
      <c r="N25" s="653">
        <v>2500</v>
      </c>
      <c r="O25" s="653">
        <v>2500</v>
      </c>
      <c r="P25" s="653">
        <v>2500</v>
      </c>
      <c r="Q25" s="653">
        <v>2200</v>
      </c>
      <c r="R25" s="649">
        <v>2000</v>
      </c>
      <c r="S25" s="653">
        <v>2000</v>
      </c>
      <c r="T25" s="653">
        <v>2613</v>
      </c>
      <c r="U25" s="653">
        <v>2313</v>
      </c>
      <c r="V25" s="653">
        <f t="shared" si="1"/>
        <v>55638</v>
      </c>
    </row>
    <row r="26" spans="2:23" s="648" customFormat="1" ht="14.25">
      <c r="B26" s="657" t="s">
        <v>141</v>
      </c>
      <c r="C26" s="657"/>
      <c r="D26" s="649"/>
      <c r="E26" s="649"/>
      <c r="F26" s="649">
        <v>640</v>
      </c>
      <c r="G26" s="649"/>
      <c r="H26" s="649"/>
      <c r="I26" s="649"/>
      <c r="J26" s="649"/>
      <c r="K26" s="653"/>
      <c r="L26" s="653"/>
      <c r="M26" s="653">
        <v>800</v>
      </c>
      <c r="N26" s="653"/>
      <c r="O26" s="653"/>
      <c r="P26" s="653"/>
      <c r="Q26" s="653"/>
      <c r="R26" s="653"/>
      <c r="S26" s="653"/>
      <c r="T26" s="653"/>
      <c r="U26" s="653"/>
      <c r="V26" s="653">
        <f t="shared" si="1"/>
        <v>1440</v>
      </c>
    </row>
    <row r="27" spans="2:23" s="648" customFormat="1" ht="14.25">
      <c r="B27" s="657" t="s">
        <v>19</v>
      </c>
      <c r="C27" s="657"/>
      <c r="D27" s="649">
        <v>55</v>
      </c>
      <c r="E27" s="649">
        <v>45</v>
      </c>
      <c r="F27" s="649">
        <v>90</v>
      </c>
      <c r="G27" s="649"/>
      <c r="H27" s="649">
        <v>90</v>
      </c>
      <c r="I27" s="649"/>
      <c r="J27" s="649">
        <v>90</v>
      </c>
      <c r="K27" s="653"/>
      <c r="L27" s="653"/>
      <c r="M27" s="653"/>
      <c r="N27" s="653"/>
      <c r="O27" s="653"/>
      <c r="P27" s="653"/>
      <c r="Q27" s="653"/>
      <c r="R27" s="653"/>
      <c r="S27" s="653"/>
      <c r="T27" s="653"/>
      <c r="U27" s="653">
        <v>100</v>
      </c>
      <c r="V27" s="653">
        <f t="shared" si="1"/>
        <v>470</v>
      </c>
    </row>
    <row r="28" spans="2:23" s="648" customFormat="1" ht="14.25">
      <c r="B28" s="657"/>
      <c r="C28" s="657"/>
      <c r="D28" s="649"/>
      <c r="E28" s="649"/>
      <c r="F28" s="649"/>
      <c r="G28" s="649"/>
      <c r="H28" s="649"/>
      <c r="I28" s="649"/>
      <c r="J28" s="649"/>
      <c r="K28" s="653"/>
      <c r="L28" s="653"/>
      <c r="M28" s="653"/>
      <c r="N28" s="653"/>
      <c r="O28" s="653"/>
      <c r="P28" s="653"/>
      <c r="Q28" s="653"/>
      <c r="R28" s="653"/>
      <c r="S28" s="653"/>
      <c r="T28" s="653"/>
      <c r="U28" s="653"/>
      <c r="V28" s="653">
        <f t="shared" si="1"/>
        <v>0</v>
      </c>
    </row>
    <row r="29" spans="2:23" s="648" customFormat="1" ht="15">
      <c r="B29" s="837" t="s">
        <v>322</v>
      </c>
      <c r="C29" s="657"/>
      <c r="D29" s="649"/>
      <c r="E29" s="649"/>
      <c r="F29" s="649"/>
      <c r="G29" s="649"/>
      <c r="H29" s="649"/>
      <c r="I29" s="649"/>
      <c r="J29" s="649"/>
      <c r="K29" s="653"/>
      <c r="L29" s="653"/>
      <c r="M29" s="653"/>
      <c r="N29" s="653"/>
      <c r="O29" s="653"/>
      <c r="P29" s="653"/>
      <c r="Q29" s="653"/>
      <c r="R29" s="653"/>
      <c r="S29" s="653"/>
      <c r="T29" s="653"/>
      <c r="U29" s="653"/>
      <c r="V29" s="653">
        <f t="shared" si="1"/>
        <v>0</v>
      </c>
    </row>
    <row r="30" spans="2:23" s="648" customFormat="1" ht="14.25">
      <c r="B30" s="657" t="s">
        <v>349</v>
      </c>
      <c r="C30" s="657"/>
      <c r="D30" s="649">
        <v>6613</v>
      </c>
      <c r="E30" s="649">
        <v>4113</v>
      </c>
      <c r="F30" s="649">
        <v>3600</v>
      </c>
      <c r="G30" s="649">
        <v>6613</v>
      </c>
      <c r="H30" s="649">
        <v>4113</v>
      </c>
      <c r="I30" s="649">
        <v>2600</v>
      </c>
      <c r="J30" s="649">
        <v>3000</v>
      </c>
      <c r="K30" s="653">
        <v>3200</v>
      </c>
      <c r="L30" s="653">
        <v>2800</v>
      </c>
      <c r="M30" s="653">
        <v>2800</v>
      </c>
      <c r="N30" s="653">
        <v>2800</v>
      </c>
      <c r="O30" s="653">
        <v>2800</v>
      </c>
      <c r="P30" s="653">
        <v>2500</v>
      </c>
      <c r="Q30" s="653">
        <v>2500</v>
      </c>
      <c r="R30" s="653">
        <v>2500</v>
      </c>
      <c r="S30" s="653">
        <v>2500</v>
      </c>
      <c r="T30" s="653">
        <v>2613</v>
      </c>
      <c r="U30" s="653">
        <v>2313</v>
      </c>
      <c r="V30" s="653">
        <f t="shared" si="1"/>
        <v>59978</v>
      </c>
    </row>
    <row r="31" spans="2:23" s="648" customFormat="1" ht="14.25">
      <c r="B31" s="657" t="s">
        <v>141</v>
      </c>
      <c r="C31" s="657"/>
      <c r="D31" s="649"/>
      <c r="E31" s="649"/>
      <c r="F31" s="649">
        <v>640</v>
      </c>
      <c r="G31" s="649"/>
      <c r="H31" s="649"/>
      <c r="I31" s="649"/>
      <c r="J31" s="649"/>
      <c r="K31" s="653"/>
      <c r="L31" s="653"/>
      <c r="M31" s="653">
        <v>800</v>
      </c>
      <c r="N31" s="653"/>
      <c r="O31" s="653"/>
      <c r="P31" s="653"/>
      <c r="Q31" s="653"/>
      <c r="R31" s="653"/>
      <c r="S31" s="653"/>
      <c r="T31" s="653"/>
      <c r="U31" s="653"/>
      <c r="V31" s="653">
        <f t="shared" si="1"/>
        <v>1440</v>
      </c>
    </row>
    <row r="32" spans="2:23" s="648" customFormat="1" ht="14.25">
      <c r="B32" s="657" t="s">
        <v>19</v>
      </c>
      <c r="C32" s="657"/>
      <c r="D32" s="649">
        <v>100</v>
      </c>
      <c r="E32" s="649">
        <v>100</v>
      </c>
      <c r="F32" s="649">
        <v>76.190476190476161</v>
      </c>
      <c r="G32" s="649"/>
      <c r="H32" s="649"/>
      <c r="I32" s="649"/>
      <c r="J32" s="649">
        <v>100</v>
      </c>
      <c r="K32" s="653"/>
      <c r="L32" s="653"/>
      <c r="M32" s="653"/>
      <c r="N32" s="653"/>
      <c r="O32" s="653"/>
      <c r="P32" s="653"/>
      <c r="Q32" s="653"/>
      <c r="R32" s="653"/>
      <c r="S32" s="653"/>
      <c r="T32" s="653"/>
      <c r="U32" s="653">
        <v>85.61</v>
      </c>
      <c r="V32" s="653">
        <f t="shared" si="1"/>
        <v>461.80047619047616</v>
      </c>
    </row>
    <row r="33" spans="2:30" s="648" customFormat="1" ht="14.25">
      <c r="B33" s="657" t="s">
        <v>307</v>
      </c>
      <c r="C33" s="657"/>
      <c r="D33" s="649"/>
      <c r="E33" s="649"/>
      <c r="F33" s="649"/>
      <c r="G33" s="649"/>
      <c r="H33" s="649"/>
      <c r="I33" s="649"/>
      <c r="J33" s="649"/>
      <c r="K33" s="653"/>
      <c r="L33" s="653"/>
      <c r="M33" s="653"/>
      <c r="N33" s="653"/>
      <c r="O33" s="653"/>
      <c r="P33" s="653"/>
      <c r="Q33" s="653"/>
      <c r="R33" s="653"/>
      <c r="S33" s="653"/>
      <c r="T33" s="653"/>
      <c r="U33" s="653"/>
      <c r="V33" s="653">
        <f t="shared" si="1"/>
        <v>0</v>
      </c>
    </row>
    <row r="34" spans="2:30" s="648" customFormat="1" ht="14.25">
      <c r="B34" s="657"/>
      <c r="C34" s="657"/>
      <c r="D34" s="649"/>
      <c r="E34" s="649"/>
      <c r="F34" s="649"/>
      <c r="G34" s="649"/>
      <c r="H34" s="649"/>
      <c r="I34" s="649"/>
      <c r="J34" s="649"/>
      <c r="K34" s="653"/>
      <c r="L34" s="653"/>
      <c r="M34" s="653"/>
      <c r="N34" s="653"/>
      <c r="O34" s="653"/>
      <c r="P34" s="653"/>
      <c r="Q34" s="653"/>
      <c r="R34" s="653"/>
      <c r="S34" s="653"/>
      <c r="T34" s="653"/>
      <c r="U34" s="653"/>
      <c r="V34" s="653">
        <f t="shared" si="1"/>
        <v>0</v>
      </c>
    </row>
    <row r="35" spans="2:30" s="648" customFormat="1" ht="15">
      <c r="B35" s="837" t="s">
        <v>323</v>
      </c>
      <c r="C35" s="657"/>
      <c r="D35" s="649"/>
      <c r="E35" s="649"/>
      <c r="F35" s="649"/>
      <c r="G35" s="649"/>
      <c r="H35" s="649"/>
      <c r="I35" s="649"/>
      <c r="J35" s="649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653">
        <f t="shared" si="1"/>
        <v>0</v>
      </c>
    </row>
    <row r="36" spans="2:30" s="648" customFormat="1" ht="14.25">
      <c r="B36" s="657" t="s">
        <v>349</v>
      </c>
      <c r="C36" s="657"/>
      <c r="D36" s="649">
        <v>6613</v>
      </c>
      <c r="E36" s="649">
        <v>4113</v>
      </c>
      <c r="F36" s="649">
        <v>3600</v>
      </c>
      <c r="G36" s="649">
        <v>6613</v>
      </c>
      <c r="H36" s="649">
        <v>4113</v>
      </c>
      <c r="I36" s="649">
        <v>2600</v>
      </c>
      <c r="J36" s="649">
        <v>3000</v>
      </c>
      <c r="K36" s="653">
        <v>3200</v>
      </c>
      <c r="L36" s="653">
        <v>2800</v>
      </c>
      <c r="M36" s="653">
        <v>2800</v>
      </c>
      <c r="N36" s="653">
        <v>2800</v>
      </c>
      <c r="O36" s="653">
        <v>2800</v>
      </c>
      <c r="P36" s="653">
        <v>2500</v>
      </c>
      <c r="Q36" s="653">
        <v>2500</v>
      </c>
      <c r="R36" s="653">
        <v>2500</v>
      </c>
      <c r="S36" s="653">
        <v>2500</v>
      </c>
      <c r="T36" s="653">
        <v>2613</v>
      </c>
      <c r="U36" s="653">
        <v>2313</v>
      </c>
      <c r="V36" s="653">
        <f t="shared" si="1"/>
        <v>59978</v>
      </c>
    </row>
    <row r="37" spans="2:30" s="648" customFormat="1" ht="14.25">
      <c r="B37" s="657" t="s">
        <v>141</v>
      </c>
      <c r="C37" s="657"/>
      <c r="D37" s="649"/>
      <c r="E37" s="649"/>
      <c r="F37" s="649">
        <v>640</v>
      </c>
      <c r="G37" s="649"/>
      <c r="H37" s="649"/>
      <c r="I37" s="649"/>
      <c r="J37" s="649"/>
      <c r="K37" s="653"/>
      <c r="L37" s="653"/>
      <c r="M37" s="653">
        <v>800</v>
      </c>
      <c r="N37" s="653"/>
      <c r="O37" s="653"/>
      <c r="P37" s="653"/>
      <c r="Q37" s="653"/>
      <c r="R37" s="653"/>
      <c r="S37" s="653"/>
      <c r="T37" s="653"/>
      <c r="U37" s="653"/>
      <c r="V37" s="653">
        <f t="shared" si="1"/>
        <v>1440</v>
      </c>
    </row>
    <row r="38" spans="2:30" s="648" customFormat="1" ht="14.25">
      <c r="B38" s="657" t="s">
        <v>19</v>
      </c>
      <c r="C38" s="657"/>
      <c r="D38" s="649">
        <v>100</v>
      </c>
      <c r="E38" s="649">
        <v>100</v>
      </c>
      <c r="F38" s="649">
        <v>100</v>
      </c>
      <c r="G38" s="649"/>
      <c r="H38" s="655"/>
      <c r="I38" s="649"/>
      <c r="J38" s="649">
        <v>100</v>
      </c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>
        <v>100</v>
      </c>
      <c r="V38" s="653">
        <f t="shared" ref="V38:V69" si="2">SUM(D38:U38)</f>
        <v>500</v>
      </c>
    </row>
    <row r="39" spans="2:30" s="648" customFormat="1" ht="14.25">
      <c r="B39" s="657" t="s">
        <v>307</v>
      </c>
      <c r="C39" s="657"/>
      <c r="D39" s="649"/>
      <c r="E39" s="649"/>
      <c r="F39" s="649"/>
      <c r="G39" s="649"/>
      <c r="H39" s="649">
        <f>HH.EE!I3</f>
        <v>1406.5603125</v>
      </c>
      <c r="I39" s="649"/>
      <c r="J39" s="649"/>
      <c r="K39" s="653"/>
      <c r="L39" s="653"/>
      <c r="M39" s="653"/>
      <c r="N39" s="653">
        <f>HH.EE!I8</f>
        <v>1102.5</v>
      </c>
      <c r="O39" s="653"/>
      <c r="P39" s="653"/>
      <c r="Q39" s="653"/>
      <c r="R39" s="653">
        <v>792.06</v>
      </c>
      <c r="S39" s="653">
        <v>1278.1300000000001</v>
      </c>
      <c r="T39" s="653"/>
      <c r="U39" s="653"/>
      <c r="V39" s="653">
        <f t="shared" si="2"/>
        <v>4579.2503125000003</v>
      </c>
    </row>
    <row r="40" spans="2:30" s="648" customFormat="1" ht="14.25">
      <c r="B40" s="657"/>
      <c r="C40" s="657"/>
      <c r="D40" s="649"/>
      <c r="E40" s="649"/>
      <c r="F40" s="649"/>
      <c r="G40" s="649"/>
      <c r="H40" s="649"/>
      <c r="I40" s="649"/>
      <c r="J40" s="649"/>
      <c r="K40" s="653"/>
      <c r="L40" s="653"/>
      <c r="M40" s="653"/>
      <c r="N40" s="653"/>
      <c r="O40" s="653"/>
      <c r="P40" s="653"/>
      <c r="Q40" s="653"/>
      <c r="R40" s="653"/>
      <c r="S40" s="653"/>
      <c r="T40" s="653"/>
      <c r="U40" s="653"/>
      <c r="V40" s="653">
        <f t="shared" si="2"/>
        <v>0</v>
      </c>
    </row>
    <row r="41" spans="2:30" s="648" customFormat="1" ht="15" hidden="1">
      <c r="B41" s="837" t="s">
        <v>324</v>
      </c>
      <c r="C41" s="657"/>
      <c r="D41" s="649"/>
      <c r="E41" s="649"/>
      <c r="F41" s="649"/>
      <c r="G41" s="649"/>
      <c r="H41" s="649"/>
      <c r="I41" s="649"/>
      <c r="J41" s="649"/>
      <c r="K41" s="653"/>
      <c r="L41" s="653"/>
      <c r="M41" s="653"/>
      <c r="N41" s="653"/>
      <c r="O41" s="653"/>
      <c r="P41" s="653"/>
      <c r="Q41" s="653"/>
      <c r="R41" s="653"/>
      <c r="S41" s="653"/>
      <c r="T41" s="653"/>
      <c r="U41" s="653"/>
      <c r="V41" s="653">
        <f t="shared" si="2"/>
        <v>0</v>
      </c>
    </row>
    <row r="42" spans="2:30" s="648" customFormat="1" ht="14.25" hidden="1">
      <c r="B42" s="657" t="s">
        <v>349</v>
      </c>
      <c r="C42" s="657"/>
      <c r="D42" s="649"/>
      <c r="E42" s="649"/>
      <c r="F42" s="649"/>
      <c r="G42" s="649"/>
      <c r="H42" s="649"/>
      <c r="I42" s="649"/>
      <c r="J42" s="649"/>
      <c r="K42" s="653"/>
      <c r="L42" s="653"/>
      <c r="M42" s="653"/>
      <c r="N42" s="653"/>
      <c r="O42" s="653"/>
      <c r="P42" s="653"/>
      <c r="Q42" s="653"/>
      <c r="R42" s="653"/>
      <c r="S42" s="653"/>
      <c r="T42" s="653"/>
      <c r="U42" s="653"/>
      <c r="V42" s="653">
        <f t="shared" si="2"/>
        <v>0</v>
      </c>
    </row>
    <row r="43" spans="2:30" s="648" customFormat="1" ht="14.25" hidden="1">
      <c r="B43" s="657" t="s">
        <v>19</v>
      </c>
      <c r="C43" s="657"/>
      <c r="D43" s="649"/>
      <c r="E43" s="649"/>
      <c r="F43" s="649"/>
      <c r="G43" s="649"/>
      <c r="H43" s="649"/>
      <c r="I43" s="649"/>
      <c r="J43" s="649"/>
      <c r="K43" s="653"/>
      <c r="L43" s="653"/>
      <c r="M43" s="653"/>
      <c r="N43" s="653"/>
      <c r="O43" s="653"/>
      <c r="P43" s="653"/>
      <c r="Q43" s="653"/>
      <c r="R43" s="653"/>
      <c r="S43" s="653"/>
      <c r="T43" s="653"/>
      <c r="U43" s="653"/>
      <c r="V43" s="653">
        <f t="shared" si="2"/>
        <v>0</v>
      </c>
    </row>
    <row r="44" spans="2:30" s="652" customFormat="1" ht="14.25" hidden="1">
      <c r="B44" s="657" t="s">
        <v>355</v>
      </c>
      <c r="C44" s="657"/>
      <c r="D44" s="649"/>
      <c r="E44" s="649"/>
      <c r="F44" s="649"/>
      <c r="G44" s="707"/>
      <c r="H44" s="649"/>
      <c r="I44" s="649"/>
      <c r="J44" s="649"/>
      <c r="K44" s="653"/>
      <c r="L44" s="653"/>
      <c r="M44" s="653"/>
      <c r="N44" s="653"/>
      <c r="O44" s="653"/>
      <c r="P44" s="653"/>
      <c r="Q44" s="653"/>
      <c r="R44" s="653"/>
      <c r="S44" s="653"/>
      <c r="T44" s="653"/>
      <c r="U44" s="653"/>
      <c r="V44" s="653">
        <f t="shared" si="2"/>
        <v>0</v>
      </c>
      <c r="AB44" s="648"/>
      <c r="AC44" s="648"/>
      <c r="AD44" s="648"/>
    </row>
    <row r="45" spans="2:30" s="652" customFormat="1" ht="14.25" hidden="1">
      <c r="B45" s="657"/>
      <c r="C45" s="657"/>
      <c r="D45" s="649"/>
      <c r="E45" s="649"/>
      <c r="F45" s="649"/>
      <c r="G45" s="649"/>
      <c r="H45" s="649"/>
      <c r="I45" s="649"/>
      <c r="J45" s="649"/>
      <c r="K45" s="653"/>
      <c r="L45" s="653"/>
      <c r="M45" s="653"/>
      <c r="N45" s="653"/>
      <c r="O45" s="653"/>
      <c r="P45" s="653"/>
      <c r="Q45" s="653"/>
      <c r="R45" s="653"/>
      <c r="S45" s="653"/>
      <c r="T45" s="653"/>
      <c r="U45" s="653"/>
      <c r="V45" s="653">
        <f t="shared" si="2"/>
        <v>0</v>
      </c>
      <c r="AB45" s="648"/>
      <c r="AC45" s="648"/>
      <c r="AD45" s="648"/>
    </row>
    <row r="46" spans="2:30" s="648" customFormat="1" ht="14.25" hidden="1">
      <c r="B46" s="657" t="s">
        <v>325</v>
      </c>
      <c r="C46" s="657"/>
      <c r="D46" s="649"/>
      <c r="E46" s="649"/>
      <c r="F46" s="649"/>
      <c r="G46" s="649"/>
      <c r="H46" s="649"/>
      <c r="I46" s="649"/>
      <c r="J46" s="649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>
        <f t="shared" si="2"/>
        <v>0</v>
      </c>
    </row>
    <row r="47" spans="2:30" s="648" customFormat="1" ht="14.25" hidden="1">
      <c r="B47" s="657" t="s">
        <v>349</v>
      </c>
      <c r="C47" s="657"/>
      <c r="D47" s="649"/>
      <c r="E47" s="649"/>
      <c r="F47" s="649"/>
      <c r="G47" s="649"/>
      <c r="H47" s="649"/>
      <c r="I47" s="649"/>
      <c r="J47" s="649"/>
      <c r="K47" s="653"/>
      <c r="L47" s="653"/>
      <c r="M47" s="653"/>
      <c r="N47" s="653"/>
      <c r="O47" s="653"/>
      <c r="P47" s="653"/>
      <c r="Q47" s="653"/>
      <c r="R47" s="653"/>
      <c r="S47" s="653"/>
      <c r="T47" s="653"/>
      <c r="U47" s="653"/>
      <c r="V47" s="653">
        <f t="shared" si="2"/>
        <v>0</v>
      </c>
    </row>
    <row r="48" spans="2:30" s="648" customFormat="1" ht="14.25" hidden="1">
      <c r="B48" s="657" t="s">
        <v>19</v>
      </c>
      <c r="C48" s="657"/>
      <c r="D48" s="649"/>
      <c r="E48" s="649"/>
      <c r="F48" s="649"/>
      <c r="G48" s="649"/>
      <c r="H48" s="649"/>
      <c r="I48" s="649"/>
      <c r="J48" s="649"/>
      <c r="K48" s="653"/>
      <c r="L48" s="653"/>
      <c r="M48" s="653"/>
      <c r="N48" s="653"/>
      <c r="O48" s="653"/>
      <c r="P48" s="653"/>
      <c r="Q48" s="653"/>
      <c r="R48" s="653"/>
      <c r="S48" s="653"/>
      <c r="T48" s="653"/>
      <c r="U48" s="653"/>
      <c r="V48" s="653">
        <f t="shared" si="2"/>
        <v>0</v>
      </c>
    </row>
    <row r="49" spans="2:22" s="648" customFormat="1" ht="14.25" hidden="1">
      <c r="B49" s="657"/>
      <c r="C49" s="657"/>
      <c r="D49" s="649"/>
      <c r="E49" s="649"/>
      <c r="F49" s="649"/>
      <c r="G49" s="649"/>
      <c r="H49" s="649"/>
      <c r="I49" s="649"/>
      <c r="J49" s="649"/>
      <c r="K49" s="653"/>
      <c r="L49" s="653"/>
      <c r="M49" s="653"/>
      <c r="N49" s="653"/>
      <c r="O49" s="653"/>
      <c r="P49" s="653"/>
      <c r="Q49" s="653"/>
      <c r="R49" s="653"/>
      <c r="S49" s="653"/>
      <c r="T49" s="653"/>
      <c r="U49" s="653"/>
      <c r="V49" s="653">
        <f t="shared" si="2"/>
        <v>0</v>
      </c>
    </row>
    <row r="50" spans="2:22" s="648" customFormat="1" ht="14.25" hidden="1">
      <c r="B50" s="657" t="s">
        <v>356</v>
      </c>
      <c r="C50" s="657"/>
      <c r="D50" s="649"/>
      <c r="E50" s="649"/>
      <c r="F50" s="649"/>
      <c r="G50" s="649"/>
      <c r="H50" s="649"/>
      <c r="I50" s="649"/>
      <c r="J50" s="649"/>
      <c r="K50" s="653"/>
      <c r="L50" s="653"/>
      <c r="M50" s="653"/>
      <c r="N50" s="653"/>
      <c r="O50" s="653"/>
      <c r="P50" s="653"/>
      <c r="Q50" s="653"/>
      <c r="R50" s="653"/>
      <c r="S50" s="653"/>
      <c r="T50" s="653"/>
      <c r="U50" s="653"/>
      <c r="V50" s="653">
        <f t="shared" si="2"/>
        <v>0</v>
      </c>
    </row>
    <row r="51" spans="2:22" s="648" customFormat="1" ht="14.25" hidden="1">
      <c r="B51" s="657" t="s">
        <v>349</v>
      </c>
      <c r="C51" s="657"/>
      <c r="D51" s="649"/>
      <c r="E51" s="649"/>
      <c r="F51" s="649"/>
      <c r="G51" s="649"/>
      <c r="H51" s="649"/>
      <c r="I51" s="649"/>
      <c r="J51" s="649"/>
      <c r="K51" s="653"/>
      <c r="L51" s="653"/>
      <c r="M51" s="653"/>
      <c r="N51" s="653"/>
      <c r="O51" s="653"/>
      <c r="P51" s="653"/>
      <c r="Q51" s="653"/>
      <c r="R51" s="653"/>
      <c r="S51" s="653"/>
      <c r="T51" s="653"/>
      <c r="U51" s="653"/>
      <c r="V51" s="653">
        <f t="shared" si="2"/>
        <v>0</v>
      </c>
    </row>
    <row r="52" spans="2:22" s="648" customFormat="1" ht="14.25" hidden="1">
      <c r="B52" s="657" t="s">
        <v>19</v>
      </c>
      <c r="C52" s="657"/>
      <c r="D52" s="649"/>
      <c r="E52" s="649"/>
      <c r="F52" s="649"/>
      <c r="G52" s="649"/>
      <c r="H52" s="649"/>
      <c r="I52" s="649"/>
      <c r="J52" s="649"/>
      <c r="K52" s="653"/>
      <c r="L52" s="653"/>
      <c r="M52" s="653"/>
      <c r="N52" s="653"/>
      <c r="O52" s="653"/>
      <c r="P52" s="653"/>
      <c r="Q52" s="653"/>
      <c r="R52" s="653"/>
      <c r="S52" s="653"/>
      <c r="T52" s="653"/>
      <c r="U52" s="653"/>
      <c r="V52" s="653">
        <f t="shared" si="2"/>
        <v>0</v>
      </c>
    </row>
    <row r="53" spans="2:22" s="648" customFormat="1" ht="14.25" hidden="1">
      <c r="B53" s="657" t="s">
        <v>141</v>
      </c>
      <c r="C53" s="657"/>
      <c r="D53" s="649"/>
      <c r="E53" s="649"/>
      <c r="F53" s="707"/>
      <c r="G53" s="649"/>
      <c r="H53" s="649"/>
      <c r="I53" s="649"/>
      <c r="J53" s="649"/>
      <c r="K53" s="653"/>
      <c r="L53" s="653"/>
      <c r="M53" s="653"/>
      <c r="N53" s="653"/>
      <c r="O53" s="653"/>
      <c r="P53" s="653"/>
      <c r="Q53" s="653"/>
      <c r="R53" s="653"/>
      <c r="S53" s="653"/>
      <c r="T53" s="653"/>
      <c r="U53" s="653"/>
      <c r="V53" s="653">
        <f t="shared" si="2"/>
        <v>0</v>
      </c>
    </row>
    <row r="54" spans="2:22" s="648" customFormat="1" ht="14.25" hidden="1">
      <c r="B54" s="657" t="s">
        <v>409</v>
      </c>
      <c r="C54" s="657"/>
      <c r="D54" s="649"/>
      <c r="E54" s="649"/>
      <c r="F54" s="649"/>
      <c r="G54" s="649"/>
      <c r="H54" s="649"/>
      <c r="I54" s="649"/>
      <c r="J54" s="649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>
        <f t="shared" si="2"/>
        <v>0</v>
      </c>
    </row>
    <row r="55" spans="2:22" s="648" customFormat="1" ht="14.25" hidden="1">
      <c r="B55" s="657"/>
      <c r="C55" s="657"/>
      <c r="D55" s="649"/>
      <c r="E55" s="649"/>
      <c r="F55" s="649"/>
      <c r="G55" s="649"/>
      <c r="H55" s="649"/>
      <c r="I55" s="649"/>
      <c r="J55" s="649"/>
      <c r="K55" s="653"/>
      <c r="L55" s="653"/>
      <c r="M55" s="653"/>
      <c r="N55" s="653"/>
      <c r="O55" s="653"/>
      <c r="P55" s="653"/>
      <c r="Q55" s="653"/>
      <c r="R55" s="653"/>
      <c r="S55" s="653"/>
      <c r="T55" s="653"/>
      <c r="U55" s="653"/>
      <c r="V55" s="653">
        <f t="shared" si="2"/>
        <v>0</v>
      </c>
    </row>
    <row r="56" spans="2:22" s="648" customFormat="1" ht="14.25" hidden="1">
      <c r="B56" s="657" t="s">
        <v>327</v>
      </c>
      <c r="C56" s="657"/>
      <c r="D56" s="649"/>
      <c r="E56" s="649"/>
      <c r="F56" s="649"/>
      <c r="G56" s="649"/>
      <c r="H56" s="649"/>
      <c r="I56" s="649"/>
      <c r="J56" s="649"/>
      <c r="K56" s="653"/>
      <c r="L56" s="653"/>
      <c r="M56" s="653"/>
      <c r="N56" s="653"/>
      <c r="O56" s="653"/>
      <c r="P56" s="653"/>
      <c r="Q56" s="653"/>
      <c r="R56" s="653"/>
      <c r="S56" s="653"/>
      <c r="T56" s="653"/>
      <c r="U56" s="653"/>
      <c r="V56" s="653">
        <f t="shared" si="2"/>
        <v>0</v>
      </c>
    </row>
    <row r="57" spans="2:22" s="648" customFormat="1" ht="14.25" hidden="1">
      <c r="B57" s="657" t="s">
        <v>349</v>
      </c>
      <c r="C57" s="657"/>
      <c r="D57" s="649"/>
      <c r="E57" s="649"/>
      <c r="F57" s="649"/>
      <c r="G57" s="649"/>
      <c r="H57" s="649"/>
      <c r="I57" s="649"/>
      <c r="J57" s="649"/>
      <c r="K57" s="653"/>
      <c r="L57" s="653"/>
      <c r="M57" s="653"/>
      <c r="N57" s="653"/>
      <c r="O57" s="653"/>
      <c r="P57" s="653"/>
      <c r="Q57" s="653"/>
      <c r="R57" s="653"/>
      <c r="S57" s="653"/>
      <c r="T57" s="653"/>
      <c r="U57" s="653"/>
      <c r="V57" s="653">
        <f t="shared" si="2"/>
        <v>0</v>
      </c>
    </row>
    <row r="58" spans="2:22" s="648" customFormat="1" ht="14.25" hidden="1">
      <c r="B58" s="657" t="s">
        <v>19</v>
      </c>
      <c r="C58" s="657"/>
      <c r="D58" s="649"/>
      <c r="E58" s="649"/>
      <c r="F58" s="649"/>
      <c r="G58" s="649"/>
      <c r="H58" s="649"/>
      <c r="I58" s="649"/>
      <c r="J58" s="649"/>
      <c r="K58" s="653"/>
      <c r="L58" s="653"/>
      <c r="M58" s="653"/>
      <c r="N58" s="653"/>
      <c r="O58" s="653"/>
      <c r="P58" s="653"/>
      <c r="Q58" s="653"/>
      <c r="R58" s="653"/>
      <c r="S58" s="653"/>
      <c r="T58" s="653"/>
      <c r="U58" s="653"/>
      <c r="V58" s="653">
        <f t="shared" si="2"/>
        <v>0</v>
      </c>
    </row>
    <row r="59" spans="2:22" s="648" customFormat="1" ht="14.25" hidden="1">
      <c r="B59" s="657" t="s">
        <v>141</v>
      </c>
      <c r="C59" s="657"/>
      <c r="D59" s="649"/>
      <c r="E59" s="649"/>
      <c r="F59" s="707"/>
      <c r="G59" s="649"/>
      <c r="H59" s="649"/>
      <c r="I59" s="649"/>
      <c r="J59" s="649"/>
      <c r="K59" s="653"/>
      <c r="L59" s="653"/>
      <c r="M59" s="653"/>
      <c r="N59" s="653"/>
      <c r="O59" s="653"/>
      <c r="P59" s="653"/>
      <c r="Q59" s="653"/>
      <c r="R59" s="653"/>
      <c r="S59" s="653"/>
      <c r="T59" s="653"/>
      <c r="U59" s="653"/>
      <c r="V59" s="653">
        <f t="shared" si="2"/>
        <v>0</v>
      </c>
    </row>
    <row r="60" spans="2:22" s="648" customFormat="1" ht="14.25" hidden="1">
      <c r="B60" s="657"/>
      <c r="C60" s="657"/>
      <c r="D60" s="649"/>
      <c r="E60" s="649"/>
      <c r="F60" s="649"/>
      <c r="G60" s="649"/>
      <c r="H60" s="649"/>
      <c r="I60" s="649"/>
      <c r="J60" s="649"/>
      <c r="K60" s="653"/>
      <c r="L60" s="653"/>
      <c r="M60" s="653"/>
      <c r="N60" s="653"/>
      <c r="O60" s="653"/>
      <c r="P60" s="653"/>
      <c r="Q60" s="653"/>
      <c r="R60" s="653"/>
      <c r="S60" s="653"/>
      <c r="T60" s="653"/>
      <c r="U60" s="653"/>
      <c r="V60" s="653">
        <f t="shared" si="2"/>
        <v>0</v>
      </c>
    </row>
    <row r="61" spans="2:22" s="648" customFormat="1" ht="14.25" hidden="1">
      <c r="B61" s="657" t="s">
        <v>328</v>
      </c>
      <c r="C61" s="657"/>
      <c r="D61" s="649"/>
      <c r="E61" s="649"/>
      <c r="F61" s="649"/>
      <c r="G61" s="649"/>
      <c r="H61" s="649"/>
      <c r="I61" s="649"/>
      <c r="J61" s="649"/>
      <c r="K61" s="653"/>
      <c r="L61" s="653"/>
      <c r="M61" s="653"/>
      <c r="N61" s="653"/>
      <c r="O61" s="653"/>
      <c r="P61" s="653"/>
      <c r="Q61" s="653"/>
      <c r="R61" s="653"/>
      <c r="S61" s="653"/>
      <c r="T61" s="653"/>
      <c r="U61" s="653"/>
      <c r="V61" s="653">
        <f t="shared" si="2"/>
        <v>0</v>
      </c>
    </row>
    <row r="62" spans="2:22" s="648" customFormat="1" ht="14.25" hidden="1">
      <c r="B62" s="657" t="s">
        <v>349</v>
      </c>
      <c r="C62" s="657"/>
      <c r="D62" s="649"/>
      <c r="E62" s="649"/>
      <c r="F62" s="649"/>
      <c r="G62" s="649"/>
      <c r="H62" s="649"/>
      <c r="I62" s="649"/>
      <c r="J62" s="649"/>
      <c r="K62" s="653"/>
      <c r="L62" s="653"/>
      <c r="M62" s="653"/>
      <c r="N62" s="653"/>
      <c r="O62" s="653"/>
      <c r="P62" s="653"/>
      <c r="Q62" s="653"/>
      <c r="R62" s="653"/>
      <c r="S62" s="653"/>
      <c r="T62" s="653"/>
      <c r="U62" s="653"/>
      <c r="V62" s="653">
        <f t="shared" si="2"/>
        <v>0</v>
      </c>
    </row>
    <row r="63" spans="2:22" s="648" customFormat="1" ht="14.25" hidden="1">
      <c r="B63" s="657" t="s">
        <v>19</v>
      </c>
      <c r="C63" s="657"/>
      <c r="D63" s="649"/>
      <c r="E63" s="649"/>
      <c r="F63" s="649"/>
      <c r="G63" s="649"/>
      <c r="H63" s="649"/>
      <c r="I63" s="649"/>
      <c r="J63" s="649"/>
      <c r="K63" s="653"/>
      <c r="L63" s="653"/>
      <c r="M63" s="653"/>
      <c r="N63" s="649"/>
      <c r="O63" s="653"/>
      <c r="P63" s="653"/>
      <c r="Q63" s="653"/>
      <c r="R63" s="653"/>
      <c r="S63" s="653"/>
      <c r="T63" s="653"/>
      <c r="U63" s="653"/>
      <c r="V63" s="653">
        <f t="shared" si="2"/>
        <v>0</v>
      </c>
    </row>
    <row r="64" spans="2:22" s="648" customFormat="1" ht="14.25" hidden="1">
      <c r="B64" s="657" t="s">
        <v>141</v>
      </c>
      <c r="C64" s="657"/>
      <c r="D64" s="649"/>
      <c r="E64" s="649"/>
      <c r="F64" s="707"/>
      <c r="G64" s="649"/>
      <c r="H64" s="649"/>
      <c r="I64" s="649"/>
      <c r="J64" s="649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>
        <f t="shared" si="2"/>
        <v>0</v>
      </c>
    </row>
    <row r="65" spans="2:32" s="648" customFormat="1" ht="14.25" hidden="1">
      <c r="B65" s="657" t="s">
        <v>307</v>
      </c>
      <c r="C65" s="657"/>
      <c r="D65" s="649"/>
      <c r="E65" s="649"/>
      <c r="F65" s="649"/>
      <c r="G65" s="649"/>
      <c r="H65" s="649"/>
      <c r="I65" s="649"/>
      <c r="J65" s="653"/>
      <c r="K65" s="653"/>
      <c r="L65" s="653"/>
      <c r="M65" s="653"/>
      <c r="N65" s="653"/>
      <c r="O65" s="653"/>
      <c r="P65" s="653"/>
      <c r="Q65" s="653"/>
      <c r="R65" s="653"/>
      <c r="S65" s="653"/>
      <c r="T65" s="653"/>
      <c r="U65" s="653"/>
      <c r="V65" s="653">
        <f t="shared" si="2"/>
        <v>0</v>
      </c>
    </row>
    <row r="66" spans="2:32" s="648" customFormat="1" ht="14.25" hidden="1">
      <c r="B66" s="657"/>
      <c r="C66" s="657"/>
      <c r="D66" s="649"/>
      <c r="E66" s="649"/>
      <c r="F66" s="649"/>
      <c r="G66" s="649"/>
      <c r="H66" s="649"/>
      <c r="I66" s="649"/>
      <c r="J66" s="649"/>
      <c r="K66" s="653"/>
      <c r="L66" s="653"/>
      <c r="M66" s="653"/>
      <c r="N66" s="653"/>
      <c r="O66" s="653"/>
      <c r="P66" s="653"/>
      <c r="Q66" s="653"/>
      <c r="R66" s="653"/>
      <c r="S66" s="653"/>
      <c r="T66" s="653"/>
      <c r="U66" s="653"/>
      <c r="V66" s="653">
        <f t="shared" si="2"/>
        <v>0</v>
      </c>
    </row>
    <row r="67" spans="2:32" s="648" customFormat="1" ht="14.25" hidden="1">
      <c r="B67" s="657" t="s">
        <v>329</v>
      </c>
      <c r="C67" s="657"/>
      <c r="D67" s="649"/>
      <c r="E67" s="649"/>
      <c r="F67" s="707"/>
      <c r="G67" s="649"/>
      <c r="H67" s="649"/>
      <c r="I67" s="649"/>
      <c r="J67" s="649"/>
      <c r="K67" s="653"/>
      <c r="L67" s="653"/>
      <c r="M67" s="653"/>
      <c r="N67" s="653"/>
      <c r="O67" s="653"/>
      <c r="P67" s="653"/>
      <c r="Q67" s="653"/>
      <c r="R67" s="653"/>
      <c r="S67" s="653"/>
      <c r="T67" s="653"/>
      <c r="U67" s="653"/>
      <c r="V67" s="653">
        <f t="shared" si="2"/>
        <v>0</v>
      </c>
    </row>
    <row r="68" spans="2:32" s="648" customFormat="1" ht="14.25" hidden="1">
      <c r="B68" s="657" t="s">
        <v>349</v>
      </c>
      <c r="C68" s="657"/>
      <c r="D68" s="649"/>
      <c r="E68" s="649"/>
      <c r="F68" s="649"/>
      <c r="G68" s="649"/>
      <c r="H68" s="649"/>
      <c r="I68" s="649"/>
      <c r="J68" s="649"/>
      <c r="K68" s="653"/>
      <c r="L68" s="653"/>
      <c r="M68" s="653"/>
      <c r="N68" s="653"/>
      <c r="O68" s="653"/>
      <c r="P68" s="653"/>
      <c r="Q68" s="653"/>
      <c r="R68" s="653"/>
      <c r="S68" s="653"/>
      <c r="T68" s="653"/>
      <c r="U68" s="653"/>
      <c r="V68" s="653">
        <f t="shared" si="2"/>
        <v>0</v>
      </c>
    </row>
    <row r="69" spans="2:32" s="648" customFormat="1" ht="14.25" hidden="1">
      <c r="B69" s="657" t="s">
        <v>358</v>
      </c>
      <c r="C69" s="657"/>
      <c r="D69" s="649"/>
      <c r="E69" s="649"/>
      <c r="F69" s="649"/>
      <c r="G69" s="649"/>
      <c r="H69" s="649"/>
      <c r="I69" s="649"/>
      <c r="J69" s="649"/>
      <c r="K69" s="653"/>
      <c r="L69" s="653"/>
      <c r="M69" s="653"/>
      <c r="N69" s="653"/>
      <c r="O69" s="653"/>
      <c r="P69" s="653"/>
      <c r="Q69" s="653"/>
      <c r="R69" s="653"/>
      <c r="S69" s="653"/>
      <c r="T69" s="653"/>
      <c r="U69" s="653"/>
      <c r="V69" s="653">
        <f t="shared" si="2"/>
        <v>0</v>
      </c>
    </row>
    <row r="70" spans="2:32" s="648" customFormat="1" ht="14.25" hidden="1">
      <c r="B70" s="657" t="s">
        <v>307</v>
      </c>
      <c r="C70" s="657"/>
      <c r="D70" s="649"/>
      <c r="E70" s="649"/>
      <c r="F70" s="649"/>
      <c r="G70" s="649"/>
      <c r="H70" s="649"/>
      <c r="I70" s="649"/>
      <c r="J70" s="649"/>
      <c r="K70" s="653"/>
      <c r="L70" s="653"/>
      <c r="M70" s="653"/>
      <c r="N70" s="653"/>
      <c r="O70" s="653"/>
      <c r="P70" s="653"/>
      <c r="Q70" s="653"/>
      <c r="R70" s="653"/>
      <c r="S70" s="653"/>
      <c r="T70" s="653"/>
      <c r="U70" s="653"/>
      <c r="V70" s="653">
        <f t="shared" ref="V70:V93" si="3">SUM(D70:U70)</f>
        <v>0</v>
      </c>
    </row>
    <row r="71" spans="2:32" s="648" customFormat="1" ht="14.25" hidden="1">
      <c r="B71" s="657" t="s">
        <v>141</v>
      </c>
      <c r="C71" s="657"/>
      <c r="D71" s="649"/>
      <c r="E71" s="649"/>
      <c r="F71" s="649"/>
      <c r="G71" s="649"/>
      <c r="H71" s="649"/>
      <c r="I71" s="649"/>
      <c r="J71" s="649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>
        <f t="shared" si="3"/>
        <v>0</v>
      </c>
    </row>
    <row r="72" spans="2:32" s="648" customFormat="1" ht="14.25" hidden="1">
      <c r="B72" s="657" t="s">
        <v>19</v>
      </c>
      <c r="C72" s="657"/>
      <c r="D72" s="649"/>
      <c r="E72" s="649"/>
      <c r="F72" s="649"/>
      <c r="G72" s="649"/>
      <c r="H72" s="649"/>
      <c r="I72" s="649"/>
      <c r="J72" s="649"/>
      <c r="K72" s="653"/>
      <c r="L72" s="653"/>
      <c r="M72" s="653"/>
      <c r="N72" s="653"/>
      <c r="O72" s="653"/>
      <c r="P72" s="653"/>
      <c r="Q72" s="653"/>
      <c r="R72" s="653"/>
      <c r="S72" s="653"/>
      <c r="T72" s="653"/>
      <c r="U72" s="653"/>
      <c r="V72" s="653">
        <f t="shared" si="3"/>
        <v>0</v>
      </c>
      <c r="AB72" s="648" t="s">
        <v>410</v>
      </c>
    </row>
    <row r="73" spans="2:32" s="648" customFormat="1" ht="14.25" hidden="1">
      <c r="B73" s="657" t="s">
        <v>411</v>
      </c>
      <c r="C73" s="657"/>
      <c r="D73" s="649"/>
      <c r="E73" s="649"/>
      <c r="F73" s="649"/>
      <c r="G73" s="649"/>
      <c r="H73" s="649"/>
      <c r="I73" s="649"/>
      <c r="J73" s="649"/>
      <c r="K73" s="649"/>
      <c r="L73" s="649"/>
      <c r="M73" s="649"/>
      <c r="N73" s="649"/>
      <c r="O73" s="653"/>
      <c r="P73" s="653"/>
      <c r="Q73" s="653"/>
      <c r="R73" s="653"/>
      <c r="S73" s="653"/>
      <c r="T73" s="653"/>
      <c r="U73" s="653"/>
      <c r="V73" s="653">
        <f t="shared" si="3"/>
        <v>0</v>
      </c>
    </row>
    <row r="74" spans="2:32" s="652" customFormat="1" ht="14.25" hidden="1">
      <c r="B74" s="657"/>
      <c r="C74" s="657"/>
      <c r="D74" s="649"/>
      <c r="E74" s="649"/>
      <c r="F74" s="649"/>
      <c r="G74" s="649"/>
      <c r="H74" s="649"/>
      <c r="I74" s="649"/>
      <c r="J74" s="649"/>
      <c r="K74" s="653"/>
      <c r="L74" s="653"/>
      <c r="M74" s="653"/>
      <c r="N74" s="653"/>
      <c r="O74" s="653"/>
      <c r="P74" s="653"/>
      <c r="Q74" s="653"/>
      <c r="R74" s="653"/>
      <c r="S74" s="653"/>
      <c r="T74" s="653"/>
      <c r="U74" s="653"/>
      <c r="V74" s="653">
        <f t="shared" si="3"/>
        <v>0</v>
      </c>
      <c r="AA74" s="648"/>
      <c r="AB74" s="648" t="s">
        <v>412</v>
      </c>
      <c r="AC74" s="650">
        <f>+(1130+113)*12</f>
        <v>14916</v>
      </c>
      <c r="AD74" s="648" t="s">
        <v>413</v>
      </c>
      <c r="AE74" s="648"/>
      <c r="AF74" s="648"/>
    </row>
    <row r="75" spans="2:32" s="652" customFormat="1" ht="14.25" hidden="1">
      <c r="B75" s="657" t="s">
        <v>414</v>
      </c>
      <c r="C75" s="657"/>
      <c r="D75" s="649"/>
      <c r="E75" s="649"/>
      <c r="F75" s="649"/>
      <c r="G75" s="707"/>
      <c r="H75" s="649"/>
      <c r="I75" s="649"/>
      <c r="J75" s="649"/>
      <c r="K75" s="653"/>
      <c r="L75" s="653"/>
      <c r="M75" s="653"/>
      <c r="N75" s="653"/>
      <c r="O75" s="653"/>
      <c r="P75" s="653"/>
      <c r="Q75" s="653"/>
      <c r="R75" s="653"/>
      <c r="S75" s="653"/>
      <c r="T75" s="653"/>
      <c r="U75" s="653"/>
      <c r="V75" s="653">
        <f t="shared" si="3"/>
        <v>0</v>
      </c>
      <c r="AA75" s="648"/>
      <c r="AB75" s="648"/>
      <c r="AC75" s="650">
        <f>+(1243*1.09)*2</f>
        <v>2709.7400000000002</v>
      </c>
      <c r="AD75" s="648" t="s">
        <v>415</v>
      </c>
      <c r="AE75" s="648"/>
      <c r="AF75" s="648"/>
    </row>
    <row r="76" spans="2:32" s="721" customFormat="1" ht="15" hidden="1" thickBot="1">
      <c r="B76" s="657"/>
      <c r="C76" s="657"/>
      <c r="D76" s="649"/>
      <c r="E76" s="649"/>
      <c r="F76" s="649"/>
      <c r="G76" s="652"/>
      <c r="H76" s="649"/>
      <c r="I76" s="649"/>
      <c r="J76" s="649"/>
      <c r="K76" s="649"/>
      <c r="L76" s="649"/>
      <c r="M76" s="649"/>
      <c r="N76" s="649"/>
      <c r="O76" s="653"/>
      <c r="P76" s="653"/>
      <c r="Q76" s="653"/>
      <c r="R76" s="653"/>
      <c r="S76" s="653"/>
      <c r="T76" s="653"/>
      <c r="U76" s="653"/>
      <c r="V76" s="653">
        <f t="shared" si="3"/>
        <v>0</v>
      </c>
      <c r="W76" s="652"/>
      <c r="X76" s="652"/>
      <c r="Y76" s="652"/>
      <c r="Z76" s="652"/>
      <c r="AA76" s="648"/>
      <c r="AB76" s="648"/>
      <c r="AC76" s="1059">
        <f>SUM(AC74:AC75)</f>
        <v>17625.740000000002</v>
      </c>
      <c r="AD76" s="664"/>
      <c r="AE76" s="664"/>
      <c r="AF76" s="664"/>
    </row>
    <row r="77" spans="2:32" s="648" customFormat="1" ht="15">
      <c r="B77" s="837" t="s">
        <v>324</v>
      </c>
      <c r="C77" s="657"/>
      <c r="D77" s="649"/>
      <c r="E77" s="649"/>
      <c r="F77" s="649"/>
      <c r="G77" s="649"/>
      <c r="H77" s="649"/>
      <c r="I77" s="649"/>
      <c r="J77" s="649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>
        <f t="shared" si="3"/>
        <v>0</v>
      </c>
      <c r="AC77" s="650"/>
    </row>
    <row r="78" spans="2:32" s="648" customFormat="1" ht="14.25">
      <c r="B78" s="657" t="s">
        <v>349</v>
      </c>
      <c r="C78" s="657"/>
      <c r="D78" s="649">
        <v>6613</v>
      </c>
      <c r="E78" s="649">
        <v>4113</v>
      </c>
      <c r="F78" s="649">
        <v>3600</v>
      </c>
      <c r="G78" s="649">
        <v>6613</v>
      </c>
      <c r="H78" s="649">
        <v>4113</v>
      </c>
      <c r="I78" s="649">
        <v>2600</v>
      </c>
      <c r="J78" s="649">
        <v>3000</v>
      </c>
      <c r="K78" s="653">
        <v>3200</v>
      </c>
      <c r="L78" s="653">
        <v>2800</v>
      </c>
      <c r="M78" s="653">
        <v>2800</v>
      </c>
      <c r="N78" s="653">
        <v>2800</v>
      </c>
      <c r="O78" s="653">
        <v>2800</v>
      </c>
      <c r="P78" s="653">
        <v>2800</v>
      </c>
      <c r="Q78" s="653">
        <v>2500</v>
      </c>
      <c r="R78" s="653">
        <v>2500</v>
      </c>
      <c r="S78" s="653">
        <v>2500</v>
      </c>
      <c r="T78" s="653">
        <v>2613</v>
      </c>
      <c r="U78" s="653">
        <v>2313</v>
      </c>
      <c r="V78" s="653">
        <f t="shared" si="3"/>
        <v>60278</v>
      </c>
      <c r="AB78" s="648" t="s">
        <v>303</v>
      </c>
      <c r="AC78" s="650">
        <f>+(3113*12)</f>
        <v>37356</v>
      </c>
      <c r="AD78" s="648" t="s">
        <v>413</v>
      </c>
    </row>
    <row r="79" spans="2:32" s="648" customFormat="1" ht="14.25">
      <c r="B79" s="657" t="s">
        <v>141</v>
      </c>
      <c r="C79" s="657"/>
      <c r="D79" s="649"/>
      <c r="E79" s="649"/>
      <c r="F79" s="649">
        <v>640</v>
      </c>
      <c r="G79" s="649"/>
      <c r="H79" s="649"/>
      <c r="I79" s="649"/>
      <c r="J79" s="649"/>
      <c r="K79" s="653"/>
      <c r="L79" s="653"/>
      <c r="M79" s="653">
        <v>800</v>
      </c>
      <c r="N79" s="653"/>
      <c r="O79" s="653"/>
      <c r="P79" s="653"/>
      <c r="Q79" s="653"/>
      <c r="R79" s="653"/>
      <c r="S79" s="653"/>
      <c r="T79" s="653"/>
      <c r="U79" s="653"/>
      <c r="V79" s="653">
        <f t="shared" si="3"/>
        <v>1440</v>
      </c>
      <c r="AC79" s="650">
        <f>+(3113*1.09)*2</f>
        <v>6786.34</v>
      </c>
      <c r="AD79" s="648" t="s">
        <v>415</v>
      </c>
    </row>
    <row r="80" spans="2:32" s="648" customFormat="1" ht="15" thickBot="1">
      <c r="B80" s="657" t="s">
        <v>19</v>
      </c>
      <c r="C80" s="657"/>
      <c r="D80" s="649">
        <v>100</v>
      </c>
      <c r="E80" s="649">
        <v>100</v>
      </c>
      <c r="F80" s="649">
        <f>'PLANILLA MENSUAL'!AA16</f>
        <v>89.473684210526329</v>
      </c>
      <c r="G80" s="649"/>
      <c r="H80" s="655">
        <v>100</v>
      </c>
      <c r="I80" s="649"/>
      <c r="J80" s="649">
        <v>100</v>
      </c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>
        <v>100</v>
      </c>
      <c r="V80" s="653">
        <f t="shared" si="3"/>
        <v>589.47368421052636</v>
      </c>
      <c r="AC80" s="1059">
        <f>SUM(AC78:AC79)</f>
        <v>44142.34</v>
      </c>
    </row>
    <row r="81" spans="2:29" s="648" customFormat="1" ht="15" thickTop="1">
      <c r="B81" s="657" t="s">
        <v>307</v>
      </c>
      <c r="C81" s="657"/>
      <c r="D81" s="649"/>
      <c r="E81" s="649"/>
      <c r="F81" s="649">
        <v>240</v>
      </c>
      <c r="G81" s="649"/>
      <c r="H81" s="649">
        <f>HH.EE!I45</f>
        <v>0</v>
      </c>
      <c r="I81" s="649"/>
      <c r="J81" s="649"/>
      <c r="K81" s="653"/>
      <c r="L81" s="653"/>
      <c r="M81" s="653"/>
      <c r="N81" s="653">
        <f>HH.EE!I50</f>
        <v>0</v>
      </c>
      <c r="O81" s="653"/>
      <c r="P81" s="653"/>
      <c r="Q81" s="653"/>
      <c r="R81" s="653"/>
      <c r="S81" s="653"/>
      <c r="T81" s="653">
        <v>327.17</v>
      </c>
      <c r="U81" s="653">
        <v>406.22</v>
      </c>
      <c r="V81" s="653">
        <f t="shared" si="3"/>
        <v>973.3900000000001</v>
      </c>
    </row>
    <row r="82" spans="2:29" s="664" customFormat="1" ht="15.75" customHeight="1" thickBot="1">
      <c r="B82" s="661"/>
      <c r="C82" s="661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4"/>
      <c r="P82" s="654"/>
      <c r="Q82" s="654"/>
      <c r="R82" s="654"/>
      <c r="S82" s="654"/>
      <c r="T82" s="654"/>
      <c r="U82" s="654"/>
      <c r="V82" s="653">
        <f t="shared" si="3"/>
        <v>0</v>
      </c>
      <c r="W82" s="648"/>
      <c r="X82" s="648"/>
      <c r="Y82" s="648"/>
      <c r="Z82" s="648"/>
      <c r="AA82" s="648"/>
      <c r="AB82" s="648"/>
      <c r="AC82" s="1058">
        <f>+AC80+AC76</f>
        <v>61768.08</v>
      </c>
    </row>
    <row r="83" spans="2:29" s="664" customFormat="1" ht="15.75" customHeight="1" thickTop="1">
      <c r="B83" s="837" t="s">
        <v>325</v>
      </c>
      <c r="C83" s="657"/>
      <c r="D83" s="649"/>
      <c r="E83" s="649"/>
      <c r="F83" s="649"/>
      <c r="G83" s="649"/>
      <c r="H83" s="649"/>
      <c r="I83" s="649"/>
      <c r="J83" s="649"/>
      <c r="K83" s="653"/>
      <c r="L83" s="653"/>
      <c r="M83" s="653"/>
      <c r="N83" s="653"/>
      <c r="O83" s="653"/>
      <c r="P83" s="653"/>
      <c r="Q83" s="653"/>
      <c r="R83" s="653"/>
      <c r="S83" s="653"/>
      <c r="T83" s="653"/>
      <c r="U83" s="653"/>
      <c r="V83" s="653">
        <f t="shared" si="3"/>
        <v>0</v>
      </c>
      <c r="W83" s="648"/>
      <c r="X83" s="648"/>
      <c r="Y83" s="648"/>
      <c r="Z83" s="648"/>
      <c r="AA83" s="648"/>
      <c r="AB83" s="648"/>
      <c r="AC83" s="1361"/>
    </row>
    <row r="84" spans="2:29" s="664" customFormat="1" ht="15.75" customHeight="1">
      <c r="B84" s="657" t="s">
        <v>349</v>
      </c>
      <c r="C84" s="657"/>
      <c r="D84" s="649">
        <v>6613</v>
      </c>
      <c r="E84" s="649">
        <v>4113</v>
      </c>
      <c r="F84" s="649">
        <v>3600</v>
      </c>
      <c r="G84" s="649">
        <v>6613</v>
      </c>
      <c r="H84" s="649">
        <v>4113</v>
      </c>
      <c r="I84" s="649">
        <v>2600</v>
      </c>
      <c r="J84" s="649">
        <v>3000</v>
      </c>
      <c r="K84" s="653">
        <v>3200</v>
      </c>
      <c r="L84" s="653">
        <v>2800</v>
      </c>
      <c r="M84" s="653">
        <v>2800</v>
      </c>
      <c r="N84" s="653">
        <v>2800</v>
      </c>
      <c r="O84" s="653">
        <v>2800</v>
      </c>
      <c r="P84" s="653">
        <v>2800</v>
      </c>
      <c r="Q84" s="653">
        <v>2500</v>
      </c>
      <c r="R84" s="653">
        <v>2500</v>
      </c>
      <c r="S84" s="653">
        <v>2500</v>
      </c>
      <c r="T84" s="653">
        <v>2613</v>
      </c>
      <c r="U84" s="653">
        <v>2313</v>
      </c>
      <c r="V84" s="653">
        <f t="shared" si="3"/>
        <v>60278</v>
      </c>
      <c r="W84" s="648"/>
      <c r="X84" s="648"/>
      <c r="Y84" s="648"/>
      <c r="Z84" s="648"/>
      <c r="AA84" s="648"/>
      <c r="AB84" s="648"/>
      <c r="AC84" s="1361"/>
    </row>
    <row r="85" spans="2:29" s="664" customFormat="1" ht="15.75" customHeight="1">
      <c r="B85" s="657" t="s">
        <v>141</v>
      </c>
      <c r="C85" s="657"/>
      <c r="D85" s="649"/>
      <c r="E85" s="649"/>
      <c r="F85" s="649">
        <v>640</v>
      </c>
      <c r="G85" s="649"/>
      <c r="H85" s="649"/>
      <c r="I85" s="649"/>
      <c r="J85" s="649"/>
      <c r="K85" s="653"/>
      <c r="L85" s="653"/>
      <c r="M85" s="653">
        <v>800</v>
      </c>
      <c r="N85" s="653"/>
      <c r="O85" s="653"/>
      <c r="P85" s="653"/>
      <c r="Q85" s="653"/>
      <c r="R85" s="653"/>
      <c r="S85" s="653"/>
      <c r="T85" s="653"/>
      <c r="U85" s="653"/>
      <c r="V85" s="653">
        <f t="shared" si="3"/>
        <v>1440</v>
      </c>
      <c r="W85" s="648"/>
      <c r="X85" s="648"/>
      <c r="Y85" s="648"/>
      <c r="Z85" s="648"/>
      <c r="AA85" s="648"/>
      <c r="AB85" s="648"/>
      <c r="AC85" s="1361"/>
    </row>
    <row r="86" spans="2:29" s="648" customFormat="1" ht="14.25">
      <c r="B86" s="657" t="s">
        <v>19</v>
      </c>
      <c r="C86" s="657"/>
      <c r="D86" s="649"/>
      <c r="E86" s="649"/>
      <c r="F86" s="649"/>
      <c r="G86" s="649"/>
      <c r="H86" s="655"/>
      <c r="I86" s="649"/>
      <c r="J86" s="649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>
        <v>100</v>
      </c>
      <c r="V86" s="653">
        <f t="shared" si="3"/>
        <v>100</v>
      </c>
    </row>
    <row r="87" spans="2:29" s="648" customFormat="1" ht="14.25">
      <c r="B87" s="657" t="s">
        <v>307</v>
      </c>
      <c r="C87" s="657"/>
      <c r="D87" s="649"/>
      <c r="E87" s="649"/>
      <c r="F87" s="649"/>
      <c r="G87" s="649"/>
      <c r="H87" s="649"/>
      <c r="I87" s="649"/>
      <c r="J87" s="649">
        <v>3824.88</v>
      </c>
      <c r="K87" s="653"/>
      <c r="L87" s="653"/>
      <c r="M87" s="653"/>
      <c r="N87" s="653">
        <f>HH.EE!I57</f>
        <v>0</v>
      </c>
      <c r="O87" s="653"/>
      <c r="P87" s="653"/>
      <c r="Q87" s="653"/>
      <c r="R87" s="653"/>
      <c r="S87" s="653"/>
      <c r="T87" s="653"/>
      <c r="U87" s="653"/>
      <c r="V87" s="653">
        <f t="shared" si="3"/>
        <v>3824.88</v>
      </c>
    </row>
    <row r="88" spans="2:29" s="648" customFormat="1" ht="14.25">
      <c r="B88" s="657"/>
      <c r="C88" s="657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3"/>
      <c r="P88" s="653"/>
      <c r="Q88" s="653"/>
      <c r="R88" s="653"/>
      <c r="S88" s="653"/>
      <c r="T88" s="653"/>
      <c r="U88" s="653"/>
      <c r="V88" s="653">
        <f t="shared" si="3"/>
        <v>0</v>
      </c>
    </row>
    <row r="89" spans="2:29" s="648" customFormat="1" ht="14.25">
      <c r="B89" s="657"/>
      <c r="C89" s="657"/>
      <c r="D89" s="649"/>
      <c r="E89" s="655"/>
      <c r="F89" s="655"/>
      <c r="G89" s="655"/>
      <c r="H89" s="655"/>
      <c r="I89" s="649"/>
      <c r="J89" s="649"/>
      <c r="K89" s="649"/>
      <c r="L89" s="649"/>
      <c r="M89" s="649"/>
      <c r="N89" s="649"/>
      <c r="O89" s="649"/>
      <c r="P89" s="649"/>
      <c r="Q89" s="653"/>
      <c r="R89" s="653"/>
      <c r="S89" s="653"/>
      <c r="T89" s="653"/>
      <c r="U89" s="653"/>
      <c r="V89" s="653">
        <f t="shared" si="3"/>
        <v>0</v>
      </c>
    </row>
    <row r="90" spans="2:29" s="648" customFormat="1" ht="15" thickBot="1">
      <c r="B90" s="646"/>
      <c r="C90" s="722"/>
      <c r="D90" s="723"/>
      <c r="E90" s="724"/>
      <c r="F90" s="724"/>
      <c r="G90" s="724"/>
      <c r="H90" s="724"/>
      <c r="I90" s="723"/>
      <c r="J90" s="723"/>
      <c r="K90" s="723"/>
      <c r="L90" s="723"/>
      <c r="M90" s="723"/>
      <c r="N90" s="723"/>
      <c r="O90" s="653"/>
      <c r="P90" s="653"/>
      <c r="Q90" s="653"/>
      <c r="R90" s="653"/>
      <c r="S90" s="653"/>
      <c r="T90" s="653"/>
      <c r="U90" s="653"/>
      <c r="V90" s="653">
        <f t="shared" si="3"/>
        <v>0</v>
      </c>
    </row>
    <row r="91" spans="2:29" s="648" customFormat="1" ht="15.75" thickBot="1">
      <c r="B91" s="657" t="s">
        <v>364</v>
      </c>
      <c r="C91" s="725"/>
      <c r="D91" s="658">
        <f>+(6113*4)+(6613*8)+7208.17+7208.17+D9+D15+D20+D21+D27+D32+D38+D80+D86</f>
        <v>92830.108095238087</v>
      </c>
      <c r="E91" s="658">
        <f>+(4113*12)+4483.17+4483.17+E10+E15+E8+E9+E20+E27+E32+E38+E80+E86</f>
        <v>59234.011101190466</v>
      </c>
      <c r="F91" s="658">
        <f>+((3360*4)+(640*12)+(3600*8))+4621.6+4621.6+F9+F15+F20+F27+F32+F38+F80+F81+F86</f>
        <v>60002.197493734333</v>
      </c>
      <c r="G91" s="658">
        <f>+((6113*4)+(6613*8))+7208.17+7208.17+$AC$82</f>
        <v>153540.41999999998</v>
      </c>
      <c r="H91" s="658">
        <f>+(4113*12)+4483.17+4483.17+H10+H9+H15+H20+H27+H39+H32+H37+H80+H86</f>
        <v>61436.585729166662</v>
      </c>
      <c r="I91" s="1136">
        <f>+((2500*4)+(2600*8))+2834+2834+I22</f>
        <v>42426.32</v>
      </c>
      <c r="J91" s="658">
        <f>+(3000*12)+3270+3270+J9+J15+J20+J21+J27+J32+J38+J80+J86+J87</f>
        <v>47336.496190476188</v>
      </c>
      <c r="K91" s="658">
        <f>+((2800*4)+(3200*8))+3488+3488+K10</f>
        <v>43973.75</v>
      </c>
      <c r="L91" s="658">
        <f>+(2800*12)+3052+3052</f>
        <v>39704</v>
      </c>
      <c r="M91" s="658">
        <f>+((2100*4)+(2800*8))+3052+3052+M8+M14+M19+M26+M31+M37+M79+M85</f>
        <v>43304</v>
      </c>
      <c r="N91" s="1136">
        <f>+((2500*4)+(2800*8))+3052+3052+N10+N39+N22</f>
        <v>46784.929166666661</v>
      </c>
      <c r="O91" s="1136">
        <f>+((2500*4)+(2800*8))+3052+3052+O22</f>
        <v>44808.73837798692</v>
      </c>
      <c r="P91" s="1363">
        <f>+((2500*6)+(2800*6))+3052+3052+P22</f>
        <v>44886.897745538787</v>
      </c>
      <c r="Q91" s="1363">
        <f>+((2200*4)+(2500*8))+2725+2725+Q22</f>
        <v>40702.020941198942</v>
      </c>
      <c r="R91" s="1363">
        <f>+((2000*4)+(2500*8))+2725+2725+R10+R22+R39</f>
        <v>40736.710935413255</v>
      </c>
      <c r="S91" s="1363">
        <f>+((2000*4)+(2500*8))+2725+2725+S10+S22+S39</f>
        <v>41470.761554623146</v>
      </c>
      <c r="T91" s="1363">
        <f>+((2000*4)+(2500*8))+2848.17+2848.17+T22+T81</f>
        <v>39553.089999999997</v>
      </c>
      <c r="U91" s="1363">
        <f>+((2113*4)+(2313*8))+2521.17+2521.17+U9+U15+U20+U22+U27+U32+U38+U81+U80+U86</f>
        <v>39109.85</v>
      </c>
      <c r="V91" s="653">
        <f t="shared" si="3"/>
        <v>981840.88733123336</v>
      </c>
      <c r="X91" s="648">
        <f>2850*6+2850*1.09</f>
        <v>20206.5</v>
      </c>
      <c r="Z91" s="1180"/>
    </row>
    <row r="92" spans="2:29" s="648" customFormat="1" ht="15" thickBot="1">
      <c r="B92" s="657" t="s">
        <v>365</v>
      </c>
      <c r="C92" s="725"/>
      <c r="D92" s="659">
        <f>5500*7</f>
        <v>38500</v>
      </c>
      <c r="E92" s="659">
        <f t="shared" ref="E92:U92" si="4">5500*7</f>
        <v>38500</v>
      </c>
      <c r="F92" s="659">
        <f t="shared" si="4"/>
        <v>38500</v>
      </c>
      <c r="G92" s="659">
        <f t="shared" si="4"/>
        <v>38500</v>
      </c>
      <c r="H92" s="659">
        <f t="shared" si="4"/>
        <v>38500</v>
      </c>
      <c r="I92" s="1144">
        <f>5500*7</f>
        <v>38500</v>
      </c>
      <c r="J92" s="659">
        <f t="shared" si="4"/>
        <v>38500</v>
      </c>
      <c r="K92" s="659">
        <f t="shared" si="4"/>
        <v>38500</v>
      </c>
      <c r="L92" s="659">
        <f t="shared" si="4"/>
        <v>38500</v>
      </c>
      <c r="M92" s="659">
        <f t="shared" si="4"/>
        <v>38500</v>
      </c>
      <c r="N92" s="1144">
        <f t="shared" si="4"/>
        <v>38500</v>
      </c>
      <c r="O92" s="1362">
        <f t="shared" si="4"/>
        <v>38500</v>
      </c>
      <c r="P92" s="1362">
        <f t="shared" si="4"/>
        <v>38500</v>
      </c>
      <c r="Q92" s="1362">
        <f t="shared" si="4"/>
        <v>38500</v>
      </c>
      <c r="R92" s="1362">
        <f t="shared" si="4"/>
        <v>38500</v>
      </c>
      <c r="S92" s="1362">
        <f t="shared" si="4"/>
        <v>38500</v>
      </c>
      <c r="T92" s="1362">
        <f t="shared" si="4"/>
        <v>38500</v>
      </c>
      <c r="U92" s="1362">
        <f t="shared" si="4"/>
        <v>38500</v>
      </c>
      <c r="V92" s="653">
        <f t="shared" si="3"/>
        <v>693000</v>
      </c>
    </row>
    <row r="93" spans="2:29" s="664" customFormat="1" ht="15" thickBot="1">
      <c r="B93" s="661" t="s">
        <v>366</v>
      </c>
      <c r="C93" s="726"/>
      <c r="D93" s="663">
        <f>+D91-D92</f>
        <v>54330.108095238087</v>
      </c>
      <c r="E93" s="663">
        <f t="shared" ref="E93:I93" si="5">+E91-E92</f>
        <v>20734.011101190466</v>
      </c>
      <c r="F93" s="663">
        <f t="shared" si="5"/>
        <v>21502.197493734333</v>
      </c>
      <c r="G93" s="663">
        <f t="shared" si="5"/>
        <v>115040.41999999998</v>
      </c>
      <c r="H93" s="663">
        <f t="shared" si="5"/>
        <v>22936.585729166662</v>
      </c>
      <c r="I93" s="1145">
        <f t="shared" si="5"/>
        <v>3926.3199999999997</v>
      </c>
      <c r="J93" s="663">
        <f>+J91-J92</f>
        <v>8836.4961904761876</v>
      </c>
      <c r="K93" s="660">
        <f t="shared" ref="K93:L93" si="6">+K91-K92</f>
        <v>5473.75</v>
      </c>
      <c r="L93" s="660">
        <f t="shared" si="6"/>
        <v>1204</v>
      </c>
      <c r="M93" s="660">
        <f t="shared" ref="M93" si="7">+M91-M92</f>
        <v>4804</v>
      </c>
      <c r="N93" s="1145">
        <f>+N91-N92</f>
        <v>8284.9291666666613</v>
      </c>
      <c r="O93" s="1145">
        <f>+O91-O92</f>
        <v>6308.7383779869197</v>
      </c>
      <c r="P93" s="1145">
        <f>+P91-P92</f>
        <v>6386.8977455387867</v>
      </c>
      <c r="Q93" s="1145">
        <f t="shared" ref="Q93:S93" si="8">+Q91-Q92</f>
        <v>2202.0209411989417</v>
      </c>
      <c r="R93" s="1145">
        <f t="shared" si="8"/>
        <v>2236.7109354132554</v>
      </c>
      <c r="S93" s="1145">
        <f t="shared" si="8"/>
        <v>2970.7615546231464</v>
      </c>
      <c r="T93" s="1145">
        <f t="shared" ref="T93" si="9">+T91-T92</f>
        <v>1053.0899999999965</v>
      </c>
      <c r="U93" s="1145">
        <f t="shared" ref="U93" si="10">+U91-U92</f>
        <v>609.84999999999854</v>
      </c>
      <c r="V93" s="653">
        <f t="shared" si="3"/>
        <v>288840.88733123336</v>
      </c>
      <c r="W93" s="648"/>
      <c r="X93" s="648"/>
      <c r="Y93" s="648"/>
      <c r="Z93" s="648"/>
      <c r="AA93" s="648"/>
      <c r="AB93" s="648"/>
      <c r="AC93" s="648"/>
    </row>
    <row r="94" spans="2:29" s="648" customFormat="1" ht="14.25" customHeight="1">
      <c r="B94" s="666"/>
      <c r="C94" s="666"/>
      <c r="D94" s="671"/>
      <c r="E94" s="671"/>
      <c r="F94" s="671"/>
      <c r="G94" s="671"/>
      <c r="H94" s="671"/>
      <c r="I94" s="671"/>
      <c r="J94" s="671"/>
      <c r="K94" s="671"/>
      <c r="L94" s="671"/>
      <c r="M94" s="671"/>
      <c r="N94" s="671"/>
      <c r="O94" s="671"/>
      <c r="P94" s="671"/>
      <c r="Q94" s="671"/>
      <c r="R94" s="671"/>
      <c r="S94" s="671"/>
      <c r="T94" s="671"/>
      <c r="U94" s="671"/>
      <c r="V94" s="672"/>
    </row>
    <row r="95" spans="2:29" s="648" customFormat="1" ht="14.25" customHeight="1">
      <c r="C95" s="666"/>
      <c r="D95" s="666"/>
      <c r="E95" s="666"/>
      <c r="F95" s="666"/>
      <c r="G95" s="666"/>
      <c r="H95" s="666"/>
      <c r="V95" s="672"/>
    </row>
    <row r="96" spans="2:29" s="679" customFormat="1" ht="15">
      <c r="B96" s="673" t="s">
        <v>367</v>
      </c>
      <c r="C96" s="674"/>
      <c r="D96" s="676"/>
      <c r="E96" s="676"/>
      <c r="F96" s="676"/>
      <c r="G96" s="676"/>
      <c r="H96" s="676"/>
      <c r="I96" s="676"/>
      <c r="J96" s="676"/>
      <c r="K96" s="676"/>
      <c r="L96" s="676"/>
      <c r="M96" s="676"/>
      <c r="N96" s="676"/>
      <c r="O96" s="676"/>
      <c r="P96" s="1360"/>
      <c r="Q96" s="1360"/>
      <c r="R96" s="1360"/>
      <c r="S96" s="1360"/>
      <c r="T96" s="1360"/>
      <c r="U96" s="1360"/>
      <c r="V96" s="677"/>
    </row>
    <row r="97" spans="2:22" s="648" customFormat="1" ht="15">
      <c r="B97" s="680" t="s">
        <v>368</v>
      </c>
      <c r="C97" s="681">
        <v>0.08</v>
      </c>
      <c r="D97" s="682">
        <f>+(5500*5)*$C$97</f>
        <v>2200</v>
      </c>
      <c r="E97" s="683">
        <f>+(E93)*$C$97</f>
        <v>1658.7208880952373</v>
      </c>
      <c r="F97" s="683">
        <f>+(F93)*$C$97</f>
        <v>1720.1757994987468</v>
      </c>
      <c r="G97" s="682">
        <f>+(5500*5)*$C$97</f>
        <v>2200</v>
      </c>
      <c r="H97" s="683">
        <f>+(H93)*$C$97</f>
        <v>1834.926858333333</v>
      </c>
      <c r="I97" s="683"/>
      <c r="J97" s="683">
        <f t="shared" ref="J97:N97" si="11">+(J93)*$C$97</f>
        <v>706.91969523809507</v>
      </c>
      <c r="K97" s="683">
        <f t="shared" si="11"/>
        <v>437.90000000000003</v>
      </c>
      <c r="L97" s="683">
        <f t="shared" si="11"/>
        <v>96.320000000000007</v>
      </c>
      <c r="M97" s="683">
        <f t="shared" si="11"/>
        <v>384.32</v>
      </c>
      <c r="N97" s="683">
        <f t="shared" si="11"/>
        <v>662.79433333333293</v>
      </c>
      <c r="O97" s="683">
        <f>+(O93)*$C$97</f>
        <v>504.6990702389536</v>
      </c>
      <c r="P97" s="683">
        <f>+(P93)*$C$97</f>
        <v>510.95181964310297</v>
      </c>
      <c r="Q97" s="683">
        <f t="shared" ref="Q97:U97" si="12">+(Q93)*$C$97</f>
        <v>176.16167529591533</v>
      </c>
      <c r="R97" s="683">
        <f t="shared" si="12"/>
        <v>178.93687483306044</v>
      </c>
      <c r="S97" s="683">
        <f t="shared" si="12"/>
        <v>237.66092436985173</v>
      </c>
      <c r="T97" s="683">
        <f t="shared" si="12"/>
        <v>84.247199999999722</v>
      </c>
      <c r="U97" s="683">
        <f t="shared" si="12"/>
        <v>48.787999999999883</v>
      </c>
      <c r="V97" s="653">
        <f>SUM(D97:N97)</f>
        <v>11902.077574498744</v>
      </c>
    </row>
    <row r="98" spans="2:22" s="648" customFormat="1" ht="15">
      <c r="B98" s="684" t="s">
        <v>369</v>
      </c>
      <c r="C98" s="685">
        <v>0.14000000000000001</v>
      </c>
      <c r="D98" s="687">
        <f>+(+D93-27500)*$C$98</f>
        <v>3756.2151333333327</v>
      </c>
      <c r="E98" s="686"/>
      <c r="F98" s="686"/>
      <c r="G98" s="686">
        <f>+(+G93-27500)*$C$98</f>
        <v>12255.658799999999</v>
      </c>
      <c r="H98" s="698"/>
      <c r="I98" s="698"/>
      <c r="J98" s="698"/>
      <c r="K98" s="698"/>
      <c r="L98" s="698"/>
      <c r="M98" s="698"/>
      <c r="N98" s="698"/>
      <c r="O98" s="698"/>
      <c r="P98" s="698"/>
      <c r="Q98" s="698"/>
      <c r="R98" s="698"/>
      <c r="S98" s="698"/>
      <c r="T98" s="698"/>
      <c r="U98" s="698"/>
      <c r="V98" s="653">
        <f>SUM(D98:N98)</f>
        <v>16011.873933333332</v>
      </c>
    </row>
    <row r="99" spans="2:22" s="648" customFormat="1" ht="15">
      <c r="B99" s="684" t="s">
        <v>370</v>
      </c>
      <c r="C99" s="688">
        <v>0.17</v>
      </c>
      <c r="D99" s="686"/>
      <c r="E99" s="686"/>
      <c r="F99" s="686"/>
      <c r="G99" s="686">
        <f>+(+G93-110000)*$C$99</f>
        <v>856.87139999999727</v>
      </c>
      <c r="H99" s="727"/>
      <c r="I99" s="686"/>
      <c r="J99" s="686"/>
      <c r="K99" s="686"/>
      <c r="L99" s="686"/>
      <c r="M99" s="686"/>
      <c r="N99" s="686"/>
      <c r="O99" s="686"/>
      <c r="P99" s="686"/>
      <c r="Q99" s="686"/>
      <c r="R99" s="686"/>
      <c r="S99" s="686"/>
      <c r="T99" s="686"/>
      <c r="U99" s="686"/>
      <c r="V99" s="653">
        <f>SUM(D99:N99)</f>
        <v>856.87139999999727</v>
      </c>
    </row>
    <row r="100" spans="2:22" s="648" customFormat="1" ht="15">
      <c r="B100" s="684"/>
      <c r="C100" s="684"/>
      <c r="D100" s="689">
        <f>SUM(D97:D99)</f>
        <v>5956.2151333333331</v>
      </c>
      <c r="E100" s="689">
        <f>SUM(E97:E99)</f>
        <v>1658.7208880952373</v>
      </c>
      <c r="F100" s="689">
        <f>SUM(F97:F99)</f>
        <v>1720.1757994987468</v>
      </c>
      <c r="G100" s="689">
        <f t="shared" ref="G100:J100" si="13">SUM(G97:G99)</f>
        <v>15312.530199999997</v>
      </c>
      <c r="H100" s="689">
        <f t="shared" si="13"/>
        <v>1834.926858333333</v>
      </c>
      <c r="I100" s="689"/>
      <c r="J100" s="689">
        <f t="shared" si="13"/>
        <v>706.91969523809507</v>
      </c>
      <c r="K100" s="689">
        <f t="shared" ref="K100:L100" si="14">SUM(K97:K99)</f>
        <v>437.90000000000003</v>
      </c>
      <c r="L100" s="689">
        <f t="shared" si="14"/>
        <v>96.320000000000007</v>
      </c>
      <c r="M100" s="689">
        <f t="shared" ref="M100:P100" si="15">SUM(M97:M99)</f>
        <v>384.32</v>
      </c>
      <c r="N100" s="689">
        <f t="shared" si="15"/>
        <v>662.79433333333293</v>
      </c>
      <c r="O100" s="689">
        <f t="shared" si="15"/>
        <v>504.6990702389536</v>
      </c>
      <c r="P100" s="689">
        <f t="shared" si="15"/>
        <v>510.95181964310297</v>
      </c>
      <c r="Q100" s="689">
        <f t="shared" ref="Q100" si="16">SUM(Q97:Q99)</f>
        <v>176.16167529591533</v>
      </c>
      <c r="R100" s="689">
        <f t="shared" ref="R100" si="17">SUM(R97:R99)</f>
        <v>178.93687483306044</v>
      </c>
      <c r="S100" s="689">
        <f t="shared" ref="S100" si="18">SUM(S97:S99)</f>
        <v>237.66092436985173</v>
      </c>
      <c r="T100" s="689">
        <f t="shared" ref="T100" si="19">SUM(T97:T99)</f>
        <v>84.247199999999722</v>
      </c>
      <c r="U100" s="689">
        <f t="shared" ref="U100" si="20">SUM(U97:U99)</f>
        <v>48.787999999999883</v>
      </c>
      <c r="V100" s="653">
        <f>SUM(V97:V99)</f>
        <v>28770.822907832073</v>
      </c>
    </row>
    <row r="101" spans="2:22" s="648" customFormat="1" ht="15">
      <c r="B101" s="690" t="s">
        <v>372</v>
      </c>
      <c r="C101" s="684"/>
      <c r="D101" s="691"/>
      <c r="E101" s="691"/>
      <c r="F101" s="691"/>
      <c r="G101" s="728"/>
      <c r="H101" s="692"/>
      <c r="I101" s="692"/>
      <c r="J101" s="692"/>
      <c r="K101" s="692"/>
      <c r="L101" s="692"/>
      <c r="M101" s="692"/>
      <c r="N101" s="692"/>
      <c r="O101" s="692"/>
      <c r="P101" s="692"/>
      <c r="Q101" s="692"/>
      <c r="R101" s="692"/>
      <c r="S101" s="692"/>
      <c r="T101" s="692"/>
      <c r="U101" s="692"/>
      <c r="V101" s="653">
        <f t="shared" ref="V101:V106" si="21">SUM(D101:N101)</f>
        <v>0</v>
      </c>
    </row>
    <row r="102" spans="2:22" s="648" customFormat="1" ht="15">
      <c r="B102" s="693" t="s">
        <v>318</v>
      </c>
      <c r="C102" s="684"/>
      <c r="D102" s="994">
        <v>428.01624062499997</v>
      </c>
      <c r="E102" s="691">
        <v>134.08547083333329</v>
      </c>
      <c r="F102" s="691">
        <v>125.73333333333333</v>
      </c>
      <c r="G102" s="691">
        <v>1145.2548999999999</v>
      </c>
      <c r="H102" s="692">
        <v>140.88905833333334</v>
      </c>
      <c r="I102" s="692">
        <v>0</v>
      </c>
      <c r="J102" s="692">
        <v>26.933333333333334</v>
      </c>
      <c r="K102" s="692">
        <v>9.3450000000000006</v>
      </c>
      <c r="L102" s="692">
        <v>8.0266666666666673</v>
      </c>
      <c r="M102" s="692">
        <v>0</v>
      </c>
      <c r="N102" s="692">
        <v>0</v>
      </c>
      <c r="O102" s="692">
        <v>0</v>
      </c>
      <c r="P102" s="692"/>
      <c r="Q102" s="692"/>
      <c r="R102" s="692"/>
      <c r="S102" s="692"/>
      <c r="T102" s="692"/>
      <c r="U102" s="692"/>
      <c r="V102" s="653">
        <f t="shared" si="21"/>
        <v>2018.284003125</v>
      </c>
    </row>
    <row r="103" spans="2:22" s="648" customFormat="1" ht="15">
      <c r="B103" s="684" t="s">
        <v>319</v>
      </c>
      <c r="C103" s="684"/>
      <c r="D103" s="994">
        <v>426.80406297348475</v>
      </c>
      <c r="E103" s="994">
        <v>135.36685611471856</v>
      </c>
      <c r="F103" s="994">
        <v>131.50303030303033</v>
      </c>
      <c r="G103" s="994">
        <v>1145.2548999999999</v>
      </c>
      <c r="H103" s="994">
        <v>141.84663409090905</v>
      </c>
      <c r="I103" s="692">
        <v>0</v>
      </c>
      <c r="J103" s="692">
        <v>28.027705627705632</v>
      </c>
      <c r="K103" s="692">
        <v>9.3450000000000006</v>
      </c>
      <c r="L103" s="692">
        <v>8.0266666666666673</v>
      </c>
      <c r="M103" s="692">
        <v>19.069090909090907</v>
      </c>
      <c r="N103" s="692"/>
      <c r="O103" s="692"/>
      <c r="P103" s="692"/>
      <c r="Q103" s="692"/>
      <c r="R103" s="692"/>
      <c r="S103" s="692"/>
      <c r="T103" s="692"/>
      <c r="U103" s="692"/>
      <c r="V103" s="653">
        <f t="shared" si="21"/>
        <v>2045.2439466856058</v>
      </c>
    </row>
    <row r="104" spans="2:22" s="648" customFormat="1" ht="15">
      <c r="B104" s="684" t="s">
        <v>320</v>
      </c>
      <c r="C104" s="684"/>
      <c r="D104" s="691">
        <v>433.90948297348478</v>
      </c>
      <c r="E104" s="691">
        <v>136.16685611471854</v>
      </c>
      <c r="F104" s="691">
        <v>137.34303030303033</v>
      </c>
      <c r="G104" s="691">
        <v>1145.2548999999999</v>
      </c>
      <c r="H104" s="692">
        <v>142.44663409090907</v>
      </c>
      <c r="I104" s="692">
        <v>0</v>
      </c>
      <c r="J104" s="692">
        <v>31.476825627705626</v>
      </c>
      <c r="K104" s="692">
        <v>9.3450000000000006</v>
      </c>
      <c r="L104" s="692">
        <v>8.0266666666666673</v>
      </c>
      <c r="M104" s="692">
        <v>38.269090909090906</v>
      </c>
      <c r="N104" s="692"/>
      <c r="O104" s="692"/>
      <c r="P104" s="692"/>
      <c r="Q104" s="692"/>
      <c r="R104" s="692"/>
      <c r="S104" s="692"/>
      <c r="T104" s="692"/>
      <c r="U104" s="692"/>
      <c r="V104" s="653">
        <f t="shared" si="21"/>
        <v>2082.2384866856059</v>
      </c>
    </row>
    <row r="105" spans="2:22" s="648" customFormat="1" ht="15">
      <c r="B105" s="684" t="s">
        <v>416</v>
      </c>
      <c r="C105" s="684"/>
      <c r="D105" s="1141"/>
      <c r="E105" s="1141"/>
      <c r="F105" s="1141"/>
      <c r="G105" s="1141"/>
      <c r="H105" s="1142"/>
      <c r="I105" s="1142"/>
      <c r="J105" s="1142"/>
      <c r="K105" s="1142"/>
      <c r="L105" s="1142"/>
      <c r="M105" s="1142"/>
      <c r="N105" s="1142">
        <v>0</v>
      </c>
      <c r="O105" s="1142">
        <v>0</v>
      </c>
      <c r="P105" s="1142"/>
      <c r="Q105" s="1142"/>
      <c r="R105" s="1142"/>
      <c r="S105" s="1142"/>
      <c r="T105" s="1142"/>
      <c r="U105" s="1142"/>
      <c r="V105" s="1143">
        <f t="shared" si="21"/>
        <v>0</v>
      </c>
    </row>
    <row r="106" spans="2:22" s="648" customFormat="1" ht="15">
      <c r="B106" s="684" t="s">
        <v>321</v>
      </c>
      <c r="C106" s="684"/>
      <c r="D106" s="691">
        <v>433.90948297348473</v>
      </c>
      <c r="E106" s="691">
        <v>136.16685611471857</v>
      </c>
      <c r="F106" s="691">
        <v>137.34303030303033</v>
      </c>
      <c r="G106" s="691">
        <v>1145.2548999999999</v>
      </c>
      <c r="H106" s="692">
        <v>142.44663409090904</v>
      </c>
      <c r="I106" s="692">
        <v>0</v>
      </c>
      <c r="J106" s="692">
        <v>31.47682562770563</v>
      </c>
      <c r="K106" s="692">
        <v>9.3449999999999989</v>
      </c>
      <c r="L106" s="692">
        <v>8.0266666666666673</v>
      </c>
      <c r="M106" s="692">
        <v>38.269090909090913</v>
      </c>
      <c r="N106" s="692">
        <v>0</v>
      </c>
      <c r="O106" s="692">
        <v>0</v>
      </c>
      <c r="P106" s="692"/>
      <c r="Q106" s="692"/>
      <c r="R106" s="692"/>
      <c r="S106" s="692"/>
      <c r="T106" s="692"/>
      <c r="U106" s="692"/>
      <c r="V106" s="653">
        <f t="shared" si="21"/>
        <v>2082.2384866856059</v>
      </c>
    </row>
    <row r="107" spans="2:22" s="648" customFormat="1" ht="15">
      <c r="B107" s="684" t="s">
        <v>373</v>
      </c>
      <c r="C107" s="684"/>
      <c r="D107" s="691">
        <v>525.69698297348486</v>
      </c>
      <c r="E107" s="691">
        <v>137.61685611471853</v>
      </c>
      <c r="F107" s="691">
        <v>144.23693506493504</v>
      </c>
      <c r="G107" s="691">
        <v>1341.4388249999997</v>
      </c>
      <c r="H107" s="692">
        <v>143.34663409090905</v>
      </c>
      <c r="I107" s="692">
        <v>0</v>
      </c>
      <c r="J107" s="692">
        <v>33.376825627705628</v>
      </c>
      <c r="K107" s="692">
        <v>50.065000000000005</v>
      </c>
      <c r="L107" s="692">
        <v>8.0266666666666673</v>
      </c>
      <c r="M107" s="692">
        <v>12.08909090909091</v>
      </c>
      <c r="N107" s="692">
        <v>7.909791666666643</v>
      </c>
      <c r="O107" s="692">
        <v>0.04</v>
      </c>
      <c r="P107" s="692"/>
      <c r="Q107" s="692"/>
      <c r="R107" s="692"/>
      <c r="S107" s="692"/>
      <c r="T107" s="692"/>
      <c r="U107" s="692"/>
      <c r="V107" s="653">
        <f>SUM(D107:O107)</f>
        <v>2403.8436081141772</v>
      </c>
    </row>
    <row r="108" spans="2:22" s="648" customFormat="1" ht="15">
      <c r="B108" s="684" t="s">
        <v>323</v>
      </c>
      <c r="C108" s="684"/>
      <c r="D108" s="691">
        <v>527.69698297348486</v>
      </c>
      <c r="E108" s="691">
        <v>138.7597132575757</v>
      </c>
      <c r="F108" s="691">
        <v>145.37979220779218</v>
      </c>
      <c r="G108" s="691">
        <v>1341.4388249999997</v>
      </c>
      <c r="H108" s="692">
        <v>159.42160909090904</v>
      </c>
      <c r="I108" s="692">
        <v>0</v>
      </c>
      <c r="J108" s="692">
        <v>34.519682770562767</v>
      </c>
      <c r="K108" s="692">
        <v>50.065000000000005</v>
      </c>
      <c r="L108" s="692">
        <v>8.0266666666666673</v>
      </c>
      <c r="M108" s="692">
        <v>21.231948051948052</v>
      </c>
      <c r="N108" s="692">
        <v>20.509791666666644</v>
      </c>
      <c r="O108" s="692">
        <v>0.04</v>
      </c>
      <c r="P108" s="692"/>
      <c r="Q108" s="692"/>
      <c r="R108" s="692"/>
      <c r="S108" s="692"/>
      <c r="T108" s="692"/>
      <c r="U108" s="692"/>
      <c r="V108" s="653">
        <f t="shared" ref="V108:V114" si="22">SUM(D108:N108)</f>
        <v>2447.0500116856056</v>
      </c>
    </row>
    <row r="109" spans="2:22" s="648" customFormat="1" ht="15">
      <c r="B109" s="684" t="s">
        <v>324</v>
      </c>
      <c r="C109" s="684"/>
      <c r="D109" s="691">
        <v>530.03031630681824</v>
      </c>
      <c r="E109" s="691">
        <v>140.09304659090901</v>
      </c>
      <c r="F109" s="691">
        <v>149.56529945416901</v>
      </c>
      <c r="G109" s="691">
        <v>1341.438825</v>
      </c>
      <c r="H109" s="692">
        <v>160.75494242424239</v>
      </c>
      <c r="I109" s="692">
        <v>0</v>
      </c>
      <c r="J109" s="692">
        <v>35.853016103896096</v>
      </c>
      <c r="K109" s="692">
        <v>50.064999999999998</v>
      </c>
      <c r="L109" s="692">
        <v>8.0266666666666655</v>
      </c>
      <c r="M109" s="692">
        <v>31.89861471861472</v>
      </c>
      <c r="N109" s="692">
        <v>20.509791666666601</v>
      </c>
      <c r="O109" s="692">
        <v>0.04</v>
      </c>
      <c r="P109" s="692"/>
      <c r="Q109" s="692"/>
      <c r="R109" s="692"/>
      <c r="S109" s="692"/>
      <c r="T109" s="692"/>
      <c r="U109" s="692"/>
      <c r="V109" s="653">
        <f t="shared" si="22"/>
        <v>2468.2355189319824</v>
      </c>
    </row>
    <row r="110" spans="2:22" s="648" customFormat="1" ht="15">
      <c r="B110" s="684" t="s">
        <v>325</v>
      </c>
      <c r="C110" s="684"/>
      <c r="D110" s="691"/>
      <c r="E110" s="691"/>
      <c r="F110" s="691"/>
      <c r="G110" s="691"/>
      <c r="H110" s="692"/>
      <c r="I110" s="692"/>
      <c r="J110" s="692"/>
      <c r="K110" s="692"/>
      <c r="L110" s="692"/>
      <c r="M110" s="692"/>
      <c r="N110" s="692"/>
      <c r="O110" s="692"/>
      <c r="P110" s="692"/>
      <c r="Q110" s="692"/>
      <c r="R110" s="692"/>
      <c r="S110" s="692"/>
      <c r="T110" s="692"/>
      <c r="U110" s="692"/>
      <c r="V110" s="653">
        <f t="shared" si="22"/>
        <v>0</v>
      </c>
    </row>
    <row r="111" spans="2:22" s="648" customFormat="1" ht="15">
      <c r="B111" s="684" t="s">
        <v>326</v>
      </c>
      <c r="C111" s="684"/>
      <c r="D111" s="691"/>
      <c r="E111" s="691"/>
      <c r="F111" s="691"/>
      <c r="G111" s="691"/>
      <c r="H111" s="692"/>
      <c r="I111" s="692"/>
      <c r="J111" s="692"/>
      <c r="K111" s="692"/>
      <c r="L111" s="692"/>
      <c r="M111" s="692"/>
      <c r="N111" s="692"/>
      <c r="O111" s="692"/>
      <c r="P111" s="692"/>
      <c r="Q111" s="692"/>
      <c r="R111" s="692"/>
      <c r="S111" s="692"/>
      <c r="T111" s="692"/>
      <c r="U111" s="692"/>
      <c r="V111" s="653">
        <f t="shared" si="22"/>
        <v>0</v>
      </c>
    </row>
    <row r="112" spans="2:22" s="648" customFormat="1" ht="15">
      <c r="B112" s="684" t="s">
        <v>327</v>
      </c>
      <c r="C112" s="684"/>
      <c r="D112" s="691"/>
      <c r="E112" s="691"/>
      <c r="F112" s="691"/>
      <c r="G112" s="691"/>
      <c r="H112" s="692"/>
      <c r="I112" s="692"/>
      <c r="J112" s="692"/>
      <c r="K112" s="692"/>
      <c r="L112" s="692"/>
      <c r="M112" s="692"/>
      <c r="N112" s="692"/>
      <c r="O112" s="692"/>
      <c r="P112" s="692"/>
      <c r="Q112" s="692"/>
      <c r="R112" s="692"/>
      <c r="S112" s="692"/>
      <c r="T112" s="692"/>
      <c r="U112" s="692"/>
      <c r="V112" s="653">
        <f t="shared" si="22"/>
        <v>0</v>
      </c>
    </row>
    <row r="113" spans="2:24" s="648" customFormat="1" ht="15">
      <c r="B113" s="684" t="s">
        <v>328</v>
      </c>
      <c r="C113" s="684"/>
      <c r="D113" s="691"/>
      <c r="E113" s="691"/>
      <c r="F113" s="691"/>
      <c r="G113" s="691"/>
      <c r="H113" s="692"/>
      <c r="I113" s="692"/>
      <c r="J113" s="692"/>
      <c r="K113" s="692"/>
      <c r="L113" s="692"/>
      <c r="M113" s="692"/>
      <c r="N113" s="692"/>
      <c r="O113" s="692"/>
      <c r="P113" s="692"/>
      <c r="Q113" s="692"/>
      <c r="R113" s="692"/>
      <c r="S113" s="692"/>
      <c r="T113" s="692"/>
      <c r="U113" s="692"/>
      <c r="V113" s="653">
        <f t="shared" si="22"/>
        <v>0</v>
      </c>
    </row>
    <row r="114" spans="2:24" s="648" customFormat="1" ht="15">
      <c r="B114" s="684" t="s">
        <v>329</v>
      </c>
      <c r="C114" s="684"/>
      <c r="D114" s="686"/>
      <c r="E114" s="686"/>
      <c r="F114" s="686"/>
      <c r="G114" s="729"/>
      <c r="H114" s="730"/>
      <c r="I114" s="730"/>
      <c r="J114" s="730"/>
      <c r="K114" s="730"/>
      <c r="L114" s="730"/>
      <c r="M114" s="730"/>
      <c r="N114" s="730"/>
      <c r="O114" s="730"/>
      <c r="P114" s="730"/>
      <c r="Q114" s="730"/>
      <c r="R114" s="730"/>
      <c r="S114" s="730"/>
      <c r="T114" s="730"/>
      <c r="U114" s="730"/>
      <c r="V114" s="653">
        <f t="shared" si="22"/>
        <v>0</v>
      </c>
    </row>
    <row r="115" spans="2:24" ht="15">
      <c r="B115" s="699" t="s">
        <v>374</v>
      </c>
      <c r="C115" s="699"/>
      <c r="D115" s="700">
        <f>SUM(D102:D114)</f>
        <v>3306.0635517992423</v>
      </c>
      <c r="E115" s="700">
        <f t="shared" ref="E115:L115" si="23">SUM(E102:E114)</f>
        <v>958.25565514069228</v>
      </c>
      <c r="F115" s="700">
        <f t="shared" si="23"/>
        <v>971.10445096932062</v>
      </c>
      <c r="G115" s="700">
        <f t="shared" si="23"/>
        <v>8605.3360749999974</v>
      </c>
      <c r="H115" s="700">
        <f t="shared" si="23"/>
        <v>1031.1521462121211</v>
      </c>
      <c r="I115" s="700">
        <f t="shared" si="23"/>
        <v>0</v>
      </c>
      <c r="J115" s="700">
        <f t="shared" si="23"/>
        <v>221.66421471861474</v>
      </c>
      <c r="K115" s="700">
        <f t="shared" si="23"/>
        <v>187.57500000000002</v>
      </c>
      <c r="L115" s="700">
        <f t="shared" si="23"/>
        <v>56.186666666666675</v>
      </c>
      <c r="M115" s="700">
        <f t="shared" ref="M115:P115" si="24">SUM(M102:M114)</f>
        <v>160.82692640692639</v>
      </c>
      <c r="N115" s="700">
        <f t="shared" si="24"/>
        <v>48.929374999999887</v>
      </c>
      <c r="O115" s="700">
        <f t="shared" si="24"/>
        <v>0.12</v>
      </c>
      <c r="P115" s="700">
        <f t="shared" si="24"/>
        <v>0</v>
      </c>
      <c r="Q115" s="700">
        <f t="shared" ref="Q115" si="25">SUM(Q102:Q114)</f>
        <v>0</v>
      </c>
      <c r="R115" s="700">
        <f t="shared" ref="R115" si="26">SUM(R102:R114)</f>
        <v>0</v>
      </c>
      <c r="S115" s="700">
        <f t="shared" ref="S115" si="27">SUM(S102:S114)</f>
        <v>0</v>
      </c>
      <c r="T115" s="700">
        <f t="shared" ref="T115" si="28">SUM(T102:T114)</f>
        <v>0</v>
      </c>
      <c r="U115" s="700">
        <f t="shared" ref="U115" si="29">SUM(U102:U114)</f>
        <v>0</v>
      </c>
      <c r="V115" s="700">
        <f>SUM(V102:V114)</f>
        <v>15547.134061913583</v>
      </c>
    </row>
    <row r="116" spans="2:24" ht="15">
      <c r="B116" s="699" t="s">
        <v>375</v>
      </c>
      <c r="C116" s="699"/>
      <c r="D116" s="700"/>
      <c r="E116" s="700"/>
      <c r="F116" s="700"/>
      <c r="G116" s="700"/>
      <c r="H116" s="700"/>
      <c r="I116" s="700"/>
      <c r="J116" s="705"/>
      <c r="K116" s="705"/>
      <c r="L116" s="705"/>
      <c r="M116" s="705"/>
      <c r="N116" s="705"/>
      <c r="O116" s="705"/>
      <c r="P116" s="705"/>
      <c r="Q116" s="705"/>
      <c r="R116" s="705"/>
      <c r="S116" s="705"/>
      <c r="T116" s="705"/>
      <c r="U116" s="705"/>
      <c r="V116" s="653"/>
    </row>
    <row r="117" spans="2:24" ht="15">
      <c r="B117" s="699" t="s">
        <v>376</v>
      </c>
      <c r="C117" s="699"/>
      <c r="D117" s="703">
        <f>+D100-D115</f>
        <v>2650.1515815340908</v>
      </c>
      <c r="E117" s="703">
        <f t="shared" ref="E117:N117" si="30">+E100-E115</f>
        <v>700.46523295454506</v>
      </c>
      <c r="F117" s="703">
        <f t="shared" si="30"/>
        <v>749.07134852942613</v>
      </c>
      <c r="G117" s="703">
        <f t="shared" si="30"/>
        <v>6707.194125</v>
      </c>
      <c r="H117" s="703">
        <f t="shared" si="30"/>
        <v>803.77471212121191</v>
      </c>
      <c r="I117" s="703">
        <f t="shared" si="30"/>
        <v>0</v>
      </c>
      <c r="J117" s="703">
        <f t="shared" si="30"/>
        <v>485.25548051948033</v>
      </c>
      <c r="K117" s="703">
        <f t="shared" si="30"/>
        <v>250.32500000000002</v>
      </c>
      <c r="L117" s="703">
        <f t="shared" si="30"/>
        <v>40.133333333333333</v>
      </c>
      <c r="M117" s="703">
        <f>+M100-M115</f>
        <v>223.4930735930736</v>
      </c>
      <c r="N117" s="703">
        <f t="shared" si="30"/>
        <v>613.86495833333299</v>
      </c>
      <c r="O117" s="703">
        <f t="shared" ref="O117" si="31">+O100-O115</f>
        <v>504.57907023895359</v>
      </c>
      <c r="P117" s="703">
        <f>+P100-P115</f>
        <v>510.95181964310297</v>
      </c>
      <c r="Q117" s="703">
        <f t="shared" ref="Q117:T117" si="32">+Q100-Q115</f>
        <v>176.16167529591533</v>
      </c>
      <c r="R117" s="703">
        <f t="shared" si="32"/>
        <v>178.93687483306044</v>
      </c>
      <c r="S117" s="703">
        <f t="shared" si="32"/>
        <v>237.66092436985173</v>
      </c>
      <c r="T117" s="703">
        <f t="shared" si="32"/>
        <v>84.247199999999722</v>
      </c>
      <c r="U117" s="703">
        <f>+U100-U115</f>
        <v>48.787999999999883</v>
      </c>
      <c r="V117" s="996">
        <f>SUM(D117:U117)</f>
        <v>14965.054410299381</v>
      </c>
    </row>
    <row r="118" spans="2:24" ht="15">
      <c r="B118" s="699" t="s">
        <v>377</v>
      </c>
      <c r="C118" s="699"/>
      <c r="D118" s="985">
        <f>+D117/5</f>
        <v>530.03031630681812</v>
      </c>
      <c r="E118" s="985">
        <f t="shared" ref="E118:Q118" si="33">+E117/5</f>
        <v>140.09304659090901</v>
      </c>
      <c r="F118" s="985">
        <f t="shared" si="33"/>
        <v>149.81426970588524</v>
      </c>
      <c r="G118" s="985">
        <f t="shared" si="33"/>
        <v>1341.438825</v>
      </c>
      <c r="H118" s="985">
        <f t="shared" si="33"/>
        <v>160.75494242424239</v>
      </c>
      <c r="I118" s="985">
        <f t="shared" si="33"/>
        <v>0</v>
      </c>
      <c r="J118" s="985"/>
      <c r="K118" s="985">
        <f t="shared" si="33"/>
        <v>50.065000000000005</v>
      </c>
      <c r="L118" s="985">
        <f t="shared" si="33"/>
        <v>8.0266666666666673</v>
      </c>
      <c r="M118" s="985">
        <f t="shared" si="33"/>
        <v>44.698614718614721</v>
      </c>
      <c r="N118" s="985">
        <f t="shared" si="33"/>
        <v>122.7729916666666</v>
      </c>
      <c r="O118" s="985">
        <f>+O117/5</f>
        <v>100.91581404779072</v>
      </c>
      <c r="P118" s="985">
        <f>+P117/5</f>
        <v>102.1903639286206</v>
      </c>
      <c r="Q118" s="985">
        <f t="shared" si="33"/>
        <v>35.232335059183065</v>
      </c>
      <c r="R118" s="985">
        <f>+R117/5</f>
        <v>35.787374966612091</v>
      </c>
      <c r="S118" s="985">
        <f>+S117/5</f>
        <v>47.532184873970344</v>
      </c>
      <c r="T118" s="985">
        <f>+T117/5</f>
        <v>16.849439999999944</v>
      </c>
      <c r="U118" s="985">
        <f>+U117/5</f>
        <v>9.757599999999977</v>
      </c>
      <c r="V118" s="996">
        <f>SUM(D118:U118)</f>
        <v>2895.9597859559799</v>
      </c>
      <c r="W118" s="997">
        <f>+'RTA 5TA VTAS'!M126</f>
        <v>12587.143290198248</v>
      </c>
      <c r="X118" s="997">
        <f>+V118+W118</f>
        <v>15483.103076154228</v>
      </c>
    </row>
    <row r="119" spans="2:24" ht="14.25">
      <c r="B119" s="699"/>
      <c r="C119" s="699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1"/>
      <c r="P119" s="731"/>
      <c r="Q119" s="731"/>
      <c r="R119" s="731"/>
      <c r="S119" s="731"/>
      <c r="T119" s="731"/>
      <c r="U119" s="731"/>
      <c r="V119" s="649"/>
    </row>
    <row r="120" spans="2:24">
      <c r="D120" s="732"/>
      <c r="E120" s="710"/>
      <c r="G120" s="733"/>
      <c r="H120" s="733"/>
      <c r="I120" s="733"/>
      <c r="J120" s="733"/>
      <c r="K120" s="733"/>
      <c r="L120" s="733"/>
      <c r="M120" s="733"/>
      <c r="N120" s="733"/>
      <c r="O120" s="733"/>
      <c r="P120" s="733"/>
      <c r="Q120" s="733"/>
      <c r="R120" s="733"/>
      <c r="S120" s="733"/>
      <c r="T120" s="733"/>
      <c r="U120" s="733"/>
      <c r="V120" s="708">
        <f>SUM(D118:N118)-I118</f>
        <v>2547.6946730798031</v>
      </c>
    </row>
    <row r="121" spans="2:24">
      <c r="D121" s="641"/>
      <c r="E121" s="641"/>
      <c r="F121" s="641"/>
      <c r="G121" s="641"/>
      <c r="H121" s="641"/>
      <c r="I121" s="641"/>
      <c r="J121" s="641"/>
      <c r="K121" s="641"/>
      <c r="L121" s="641"/>
      <c r="M121" s="641"/>
      <c r="N121" s="641"/>
      <c r="O121" s="641"/>
      <c r="P121" s="641"/>
      <c r="Q121" s="641"/>
      <c r="R121" s="641"/>
      <c r="S121" s="641"/>
      <c r="T121" s="641"/>
      <c r="U121" s="641"/>
    </row>
    <row r="122" spans="2:24" ht="15">
      <c r="B122" s="699" t="s">
        <v>382</v>
      </c>
      <c r="C122" s="699"/>
      <c r="D122" s="1146">
        <v>1537.87</v>
      </c>
      <c r="E122" s="1146">
        <v>679.36</v>
      </c>
      <c r="F122" s="1146">
        <v>562.04</v>
      </c>
      <c r="G122" s="1146">
        <v>1449.78</v>
      </c>
      <c r="H122" s="1146">
        <v>566.41</v>
      </c>
      <c r="I122" s="1146">
        <v>476.67</v>
      </c>
      <c r="J122" s="1146">
        <v>560.47</v>
      </c>
      <c r="K122" s="1146">
        <v>514.57000000000005</v>
      </c>
      <c r="L122" s="1146">
        <v>476.36</v>
      </c>
      <c r="M122" s="1146">
        <v>473.47</v>
      </c>
      <c r="N122" s="1147"/>
      <c r="O122" s="1147"/>
      <c r="P122" s="1147"/>
      <c r="Q122" s="1147"/>
      <c r="R122" s="1147"/>
      <c r="S122" s="1147"/>
      <c r="T122" s="1147"/>
      <c r="U122" s="1147"/>
      <c r="V122" s="1148">
        <f>SUM(D122:N122)</f>
        <v>7297</v>
      </c>
      <c r="W122" s="708">
        <f>+'RTA 5TA VTAS'!L162</f>
        <v>10488.52</v>
      </c>
      <c r="X122" s="997">
        <f>+V122+W122</f>
        <v>17785.52</v>
      </c>
    </row>
    <row r="123" spans="2:24">
      <c r="E123" s="641"/>
      <c r="F123" s="641"/>
      <c r="G123" s="641"/>
      <c r="H123" s="641"/>
    </row>
    <row r="124" spans="2:24" ht="15.75" thickBot="1">
      <c r="E124" s="641"/>
      <c r="F124" s="641"/>
      <c r="G124" s="641"/>
      <c r="H124" s="641"/>
      <c r="J124" s="735"/>
      <c r="K124" s="735"/>
      <c r="L124" s="735"/>
      <c r="M124" s="735"/>
      <c r="N124" s="735"/>
      <c r="O124" s="735"/>
      <c r="P124" s="735"/>
      <c r="Q124" s="735"/>
      <c r="R124" s="735"/>
      <c r="S124" s="735"/>
      <c r="T124" s="735"/>
      <c r="U124" s="735"/>
      <c r="X124" s="1159">
        <f>+X118+X122</f>
        <v>33268.623076154225</v>
      </c>
    </row>
    <row r="125" spans="2:24" ht="13.5" thickTop="1">
      <c r="E125" s="641"/>
      <c r="F125" s="641"/>
      <c r="G125" s="641"/>
      <c r="H125" s="641"/>
    </row>
    <row r="126" spans="2:24">
      <c r="D126" s="706"/>
      <c r="E126" s="641"/>
      <c r="F126" s="641"/>
      <c r="G126" s="641"/>
      <c r="H126" s="641"/>
      <c r="J126" s="705"/>
      <c r="K126" s="705"/>
      <c r="L126" s="705"/>
      <c r="M126" s="705"/>
      <c r="N126" s="705"/>
      <c r="O126" s="705"/>
      <c r="P126" s="705"/>
      <c r="Q126" s="705"/>
      <c r="R126" s="705"/>
      <c r="S126" s="705"/>
      <c r="T126" s="705"/>
      <c r="U126" s="705"/>
      <c r="V126" s="641"/>
    </row>
    <row r="127" spans="2:24">
      <c r="D127" s="736"/>
      <c r="E127" s="641"/>
      <c r="F127" s="641"/>
      <c r="G127" s="641"/>
      <c r="H127" s="641"/>
    </row>
    <row r="128" spans="2:24">
      <c r="E128" s="641"/>
      <c r="F128" s="641"/>
      <c r="G128" s="641"/>
      <c r="H128" s="641"/>
    </row>
    <row r="129" spans="5:8">
      <c r="E129" s="641"/>
      <c r="F129" s="641"/>
      <c r="G129" s="641"/>
      <c r="H129" s="641"/>
    </row>
    <row r="130" spans="5:8">
      <c r="E130" s="641"/>
      <c r="F130" s="641"/>
      <c r="G130" s="641"/>
      <c r="H130" s="641"/>
    </row>
    <row r="131" spans="5:8">
      <c r="E131" s="641"/>
      <c r="F131" s="641"/>
      <c r="G131" s="641"/>
      <c r="H131" s="641"/>
    </row>
    <row r="132" spans="5:8">
      <c r="E132" s="641"/>
      <c r="F132" s="641"/>
      <c r="G132" s="641"/>
      <c r="H132" s="641"/>
    </row>
    <row r="133" spans="5:8">
      <c r="E133" s="641"/>
      <c r="F133" s="641"/>
      <c r="G133" s="641"/>
      <c r="H133" s="641"/>
    </row>
    <row r="134" spans="5:8">
      <c r="E134" s="641"/>
      <c r="F134" s="641"/>
      <c r="G134" s="641"/>
      <c r="H134" s="641"/>
    </row>
    <row r="135" spans="5:8">
      <c r="E135" s="641"/>
      <c r="F135" s="641"/>
      <c r="G135" s="641"/>
      <c r="H135" s="641"/>
    </row>
    <row r="136" spans="5:8">
      <c r="E136" s="641"/>
      <c r="F136" s="641"/>
      <c r="G136" s="641"/>
      <c r="H136" s="641"/>
    </row>
    <row r="137" spans="5:8">
      <c r="E137" s="641"/>
      <c r="F137" s="641"/>
      <c r="G137" s="641"/>
      <c r="H137" s="641"/>
    </row>
    <row r="138" spans="5:8">
      <c r="E138" s="641"/>
      <c r="F138" s="641"/>
      <c r="G138" s="641"/>
      <c r="H138" s="641"/>
    </row>
    <row r="139" spans="5:8">
      <c r="E139" s="641"/>
      <c r="F139" s="641"/>
      <c r="G139" s="641"/>
      <c r="H139" s="641"/>
    </row>
  </sheetData>
  <mergeCells count="1">
    <mergeCell ref="V4:V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D4CF-5D42-4F03-BAFB-4F060A47B36C}">
  <dimension ref="B1:Q60"/>
  <sheetViews>
    <sheetView topLeftCell="A17" workbookViewId="0">
      <selection activeCell="L35" sqref="L35"/>
    </sheetView>
  </sheetViews>
  <sheetFormatPr baseColWidth="10" defaultColWidth="11.42578125" defaultRowHeight="12"/>
  <cols>
    <col min="1" max="1" width="11.42578125" style="597"/>
    <col min="2" max="2" width="5.28515625" style="597" customWidth="1"/>
    <col min="3" max="3" width="33.7109375" style="927" customWidth="1"/>
    <col min="4" max="5" width="10.42578125" style="924" customWidth="1"/>
    <col min="6" max="6" width="13.140625" style="925" customWidth="1"/>
    <col min="7" max="7" width="10.42578125" style="926" customWidth="1"/>
    <col min="8" max="8" width="12.42578125" style="926" hidden="1" customWidth="1"/>
    <col min="9" max="9" width="9.85546875" style="597" customWidth="1"/>
    <col min="10" max="12" width="10.5703125" style="597" customWidth="1"/>
    <col min="13" max="13" width="13.28515625" style="597" customWidth="1"/>
    <col min="14" max="14" width="8" style="597" customWidth="1"/>
    <col min="15" max="17" width="10" style="597" customWidth="1"/>
    <col min="18" max="16384" width="11.42578125" style="597"/>
  </cols>
  <sheetData>
    <row r="1" spans="2:17" hidden="1">
      <c r="C1" s="923" t="s">
        <v>417</v>
      </c>
    </row>
    <row r="2" spans="2:17" hidden="1"/>
    <row r="3" spans="2:17" hidden="1">
      <c r="C3" s="923" t="s">
        <v>418</v>
      </c>
    </row>
    <row r="4" spans="2:17" hidden="1">
      <c r="C4" s="927" t="s">
        <v>419</v>
      </c>
      <c r="D4" s="928">
        <v>327</v>
      </c>
      <c r="E4" s="929" t="s">
        <v>420</v>
      </c>
      <c r="F4" s="928"/>
    </row>
    <row r="5" spans="2:17" hidden="1">
      <c r="C5" s="927" t="s">
        <v>421</v>
      </c>
      <c r="D5" s="928">
        <v>213</v>
      </c>
      <c r="E5" s="928"/>
      <c r="F5" s="928"/>
    </row>
    <row r="6" spans="2:17" hidden="1"/>
    <row r="7" spans="2:17" hidden="1"/>
    <row r="8" spans="2:17" ht="12.75" hidden="1" thickBot="1">
      <c r="B8" s="968"/>
      <c r="C8" s="930"/>
      <c r="D8" s="931"/>
      <c r="E8" s="931"/>
      <c r="F8" s="932"/>
      <c r="G8" s="933"/>
      <c r="H8" s="933"/>
      <c r="I8" s="1513" t="s">
        <v>422</v>
      </c>
      <c r="J8" s="1514"/>
      <c r="K8" s="1515" t="s">
        <v>423</v>
      </c>
      <c r="L8" s="1515" t="s">
        <v>424</v>
      </c>
    </row>
    <row r="9" spans="2:17" ht="12.75" hidden="1" thickBot="1">
      <c r="B9" s="969"/>
      <c r="C9" s="926"/>
      <c r="D9" s="926"/>
      <c r="E9" s="926"/>
      <c r="F9" s="926"/>
      <c r="I9" s="970">
        <v>0.3</v>
      </c>
      <c r="J9" s="971">
        <v>0.5</v>
      </c>
      <c r="K9" s="1516"/>
      <c r="L9" s="1516"/>
    </row>
    <row r="10" spans="2:17" ht="24.75" hidden="1" thickBot="1">
      <c r="B10" s="935" t="s">
        <v>425</v>
      </c>
      <c r="C10" s="936" t="s">
        <v>317</v>
      </c>
      <c r="D10" s="935" t="s">
        <v>426</v>
      </c>
      <c r="E10" s="935" t="s">
        <v>427</v>
      </c>
      <c r="F10" s="937" t="s">
        <v>428</v>
      </c>
      <c r="G10" s="938" t="s">
        <v>429</v>
      </c>
      <c r="H10" s="938" t="s">
        <v>430</v>
      </c>
      <c r="I10" s="972" t="s">
        <v>431</v>
      </c>
      <c r="J10" s="972" t="s">
        <v>432</v>
      </c>
      <c r="K10" s="1517"/>
      <c r="L10" s="1517"/>
      <c r="O10" s="597" t="s">
        <v>433</v>
      </c>
    </row>
    <row r="11" spans="2:17" hidden="1">
      <c r="B11" s="934"/>
      <c r="C11" s="940"/>
      <c r="D11" s="941"/>
      <c r="E11" s="941"/>
      <c r="F11" s="942"/>
      <c r="G11" s="943"/>
      <c r="H11" s="944"/>
      <c r="I11" s="973"/>
      <c r="J11" s="973"/>
      <c r="K11" s="973"/>
      <c r="L11" s="973"/>
      <c r="M11" s="974">
        <f>+L11</f>
        <v>0</v>
      </c>
      <c r="N11" s="778">
        <f>+M11*0.18</f>
        <v>0</v>
      </c>
      <c r="O11" s="974">
        <f>+N11+M11</f>
        <v>0</v>
      </c>
      <c r="P11" s="974">
        <f>+K11+K13+K14</f>
        <v>0</v>
      </c>
      <c r="Q11" s="974">
        <f>+P11+O11</f>
        <v>0</v>
      </c>
    </row>
    <row r="12" spans="2:17" hidden="1">
      <c r="B12" s="934">
        <v>1</v>
      </c>
      <c r="C12" s="940" t="s">
        <v>434</v>
      </c>
      <c r="D12" s="941">
        <v>9594953</v>
      </c>
      <c r="E12" s="941">
        <v>611220200</v>
      </c>
      <c r="F12" s="942">
        <v>26364</v>
      </c>
      <c r="G12" s="943">
        <v>41548</v>
      </c>
      <c r="H12" s="944">
        <v>5085</v>
      </c>
      <c r="I12" s="975"/>
      <c r="J12" s="973">
        <f>+$D$4*$J$9</f>
        <v>163.5</v>
      </c>
      <c r="K12" s="973">
        <f>+$D$4-J12</f>
        <v>163.5</v>
      </c>
      <c r="L12" s="973">
        <f>+J12/1.18</f>
        <v>138.55932203389833</v>
      </c>
      <c r="M12" s="974">
        <f>+L12</f>
        <v>138.55932203389833</v>
      </c>
      <c r="N12" s="778">
        <f>+M12*0.18</f>
        <v>24.940677966101699</v>
      </c>
      <c r="O12" s="974">
        <f>+N12+M12</f>
        <v>163.50000000000003</v>
      </c>
      <c r="P12" s="974">
        <f>+K12</f>
        <v>163.5</v>
      </c>
      <c r="Q12" s="974">
        <f>+P12+O12</f>
        <v>327</v>
      </c>
    </row>
    <row r="13" spans="2:17" hidden="1">
      <c r="B13" s="934"/>
      <c r="C13" s="940"/>
      <c r="D13" s="941"/>
      <c r="E13" s="941"/>
      <c r="F13" s="942"/>
      <c r="G13" s="943"/>
      <c r="H13" s="944"/>
      <c r="I13" s="973"/>
      <c r="J13" s="973"/>
      <c r="K13" s="973"/>
      <c r="L13" s="973"/>
    </row>
    <row r="14" spans="2:17" ht="12.75" hidden="1" thickBot="1">
      <c r="B14" s="939"/>
      <c r="C14" s="945"/>
      <c r="D14" s="946"/>
      <c r="E14" s="946"/>
      <c r="F14" s="947"/>
      <c r="G14" s="948"/>
      <c r="H14" s="949"/>
      <c r="I14" s="976"/>
      <c r="J14" s="976"/>
      <c r="K14" s="976"/>
      <c r="L14" s="976"/>
      <c r="M14" s="974"/>
      <c r="N14" s="778"/>
      <c r="O14" s="974"/>
      <c r="P14" s="974"/>
      <c r="Q14" s="974"/>
    </row>
    <row r="15" spans="2:17" s="951" customFormat="1" hidden="1">
      <c r="B15" s="950"/>
      <c r="D15" s="952"/>
      <c r="E15" s="952"/>
      <c r="F15" s="953"/>
      <c r="G15" s="954"/>
      <c r="H15" s="954"/>
      <c r="I15" s="977" t="e">
        <f ca="1">SUMA(I11:I13)</f>
        <v>#NAME?</v>
      </c>
      <c r="J15" s="977" t="e">
        <f ca="1">SUMA(J11:J14)</f>
        <v>#NAME?</v>
      </c>
      <c r="K15" s="977" t="e">
        <f ca="1">SUMA(K11:K14)</f>
        <v>#NAME?</v>
      </c>
      <c r="L15" s="977" t="e">
        <f ca="1">SUMA(L11:L14)</f>
        <v>#NAME?</v>
      </c>
      <c r="O15" s="978" t="e">
        <f ca="1">SUMA(O11:O12)</f>
        <v>#NAME?</v>
      </c>
      <c r="Q15" s="978" t="e">
        <f ca="1">SUMA(Q11:Q12)</f>
        <v>#NAME?</v>
      </c>
    </row>
    <row r="16" spans="2:17" hidden="1">
      <c r="L16" s="974"/>
    </row>
    <row r="18" spans="2:17">
      <c r="C18" s="923" t="s">
        <v>435</v>
      </c>
      <c r="Q18" s="974"/>
    </row>
    <row r="19" spans="2:17">
      <c r="D19" s="955"/>
      <c r="E19" s="955"/>
      <c r="F19" s="955"/>
      <c r="G19" s="955"/>
      <c r="I19" s="955"/>
      <c r="J19" s="955"/>
    </row>
    <row r="20" spans="2:17">
      <c r="C20" s="923" t="s">
        <v>418</v>
      </c>
      <c r="D20" s="597"/>
      <c r="E20" s="925"/>
      <c r="G20" s="925"/>
      <c r="I20" s="925"/>
      <c r="J20" s="925"/>
    </row>
    <row r="21" spans="2:17">
      <c r="C21" s="951" t="s">
        <v>201</v>
      </c>
      <c r="D21" s="778">
        <v>660.34</v>
      </c>
      <c r="E21" s="778"/>
      <c r="F21" s="778"/>
      <c r="G21" s="925"/>
      <c r="I21" s="925"/>
      <c r="J21" s="925"/>
    </row>
    <row r="22" spans="2:17">
      <c r="C22" s="951" t="s">
        <v>217</v>
      </c>
      <c r="D22" s="778">
        <v>612.04</v>
      </c>
      <c r="E22" s="778"/>
      <c r="F22" s="778"/>
      <c r="G22" s="925"/>
      <c r="I22" s="925"/>
      <c r="J22" s="925"/>
    </row>
    <row r="23" spans="2:17">
      <c r="C23" s="951" t="s">
        <v>436</v>
      </c>
      <c r="D23" s="778">
        <v>561.73</v>
      </c>
      <c r="E23" s="778"/>
      <c r="F23" s="778"/>
      <c r="G23" s="925"/>
      <c r="I23" s="778"/>
      <c r="J23" s="925"/>
    </row>
    <row r="24" spans="2:17">
      <c r="C24" s="951" t="s">
        <v>437</v>
      </c>
      <c r="D24" s="956">
        <v>351.5</v>
      </c>
      <c r="E24" s="778"/>
      <c r="F24" s="778"/>
      <c r="G24" s="925"/>
      <c r="I24" s="925"/>
      <c r="J24" s="925"/>
    </row>
    <row r="25" spans="2:17" hidden="1">
      <c r="C25" s="951" t="s">
        <v>438</v>
      </c>
      <c r="D25" s="957"/>
      <c r="E25" s="925"/>
      <c r="G25" s="925"/>
      <c r="I25" s="925"/>
      <c r="J25" s="925"/>
      <c r="K25" s="778"/>
    </row>
    <row r="26" spans="2:17" ht="12.75" thickBot="1">
      <c r="C26" s="958"/>
      <c r="D26" s="928"/>
      <c r="E26" s="925"/>
      <c r="G26" s="925"/>
      <c r="I26" s="925"/>
      <c r="J26" s="925"/>
    </row>
    <row r="27" spans="2:17" ht="12.75" thickBot="1">
      <c r="B27" s="968"/>
      <c r="C27" s="930"/>
      <c r="D27" s="931"/>
      <c r="E27" s="931"/>
      <c r="F27" s="932"/>
      <c r="G27" s="933"/>
      <c r="H27" s="933"/>
      <c r="I27" s="1513" t="s">
        <v>422</v>
      </c>
      <c r="J27" s="1514"/>
      <c r="K27" s="1515" t="s">
        <v>423</v>
      </c>
      <c r="L27" s="1515" t="s">
        <v>424</v>
      </c>
    </row>
    <row r="28" spans="2:17" ht="12.75" thickBot="1">
      <c r="B28" s="969"/>
      <c r="C28" s="926"/>
      <c r="D28" s="926"/>
      <c r="E28" s="926"/>
      <c r="F28" s="926"/>
      <c r="I28" s="970">
        <v>0.2</v>
      </c>
      <c r="J28" s="971">
        <v>0.5</v>
      </c>
      <c r="K28" s="1516"/>
      <c r="L28" s="1516"/>
    </row>
    <row r="29" spans="2:17" ht="24.75" thickBot="1">
      <c r="B29" s="935" t="s">
        <v>425</v>
      </c>
      <c r="C29" s="936" t="s">
        <v>317</v>
      </c>
      <c r="D29" s="935" t="s">
        <v>426</v>
      </c>
      <c r="E29" s="935" t="s">
        <v>427</v>
      </c>
      <c r="F29" s="937" t="s">
        <v>428</v>
      </c>
      <c r="G29" s="938" t="s">
        <v>429</v>
      </c>
      <c r="H29" s="938" t="s">
        <v>430</v>
      </c>
      <c r="I29" s="980" t="s">
        <v>431</v>
      </c>
      <c r="J29" s="980" t="s">
        <v>432</v>
      </c>
      <c r="K29" s="1517"/>
      <c r="L29" s="1517"/>
      <c r="O29" s="597" t="s">
        <v>433</v>
      </c>
    </row>
    <row r="30" spans="2:17">
      <c r="B30" s="934">
        <v>1</v>
      </c>
      <c r="C30" s="959" t="s">
        <v>201</v>
      </c>
      <c r="D30" s="960">
        <v>10305226</v>
      </c>
      <c r="E30" s="960">
        <v>13481668</v>
      </c>
      <c r="F30" s="961">
        <v>27747</v>
      </c>
      <c r="G30" s="943">
        <v>35462</v>
      </c>
      <c r="H30" s="944">
        <v>10000</v>
      </c>
      <c r="I30" s="973"/>
      <c r="J30" s="973">
        <f>+D21/2</f>
        <v>330.17</v>
      </c>
      <c r="K30" s="979">
        <f>+D21-J30</f>
        <v>330.17</v>
      </c>
      <c r="L30" s="973">
        <f>+J30/1.18</f>
        <v>279.80508474576271</v>
      </c>
      <c r="M30" s="974">
        <f>+L30</f>
        <v>279.80508474576271</v>
      </c>
      <c r="N30" s="778">
        <f>+M30*0.18</f>
        <v>50.364915254237289</v>
      </c>
      <c r="O30" s="974">
        <f>+N30+M30</f>
        <v>330.17</v>
      </c>
      <c r="P30" s="974">
        <f>+D21-O30</f>
        <v>330.17</v>
      </c>
      <c r="Q30" s="974">
        <f>+P30+O30</f>
        <v>660.34</v>
      </c>
    </row>
    <row r="31" spans="2:17">
      <c r="B31" s="934">
        <v>2</v>
      </c>
      <c r="C31" s="951" t="s">
        <v>439</v>
      </c>
      <c r="D31" s="941">
        <v>9594953</v>
      </c>
      <c r="E31" s="941">
        <v>16647534</v>
      </c>
      <c r="F31" s="953">
        <v>26364</v>
      </c>
      <c r="G31" s="943">
        <v>41548</v>
      </c>
      <c r="H31" s="944"/>
      <c r="I31" s="975"/>
      <c r="J31" s="973">
        <f>+D23/2</f>
        <v>280.86500000000001</v>
      </c>
      <c r="K31" s="979">
        <f>+D23-J31</f>
        <v>280.86500000000001</v>
      </c>
      <c r="L31" s="973">
        <f>+J31/1.18</f>
        <v>238.02118644067798</v>
      </c>
      <c r="M31" s="974">
        <f>+L31</f>
        <v>238.02118644067798</v>
      </c>
      <c r="N31" s="778">
        <f t="shared" ref="N31:N32" si="0">+M31*0.18</f>
        <v>42.843813559322037</v>
      </c>
      <c r="O31" s="974">
        <f>+N31+M31</f>
        <v>280.86500000000001</v>
      </c>
      <c r="P31" s="974">
        <f>+D23-O31</f>
        <v>280.86500000000001</v>
      </c>
      <c r="Q31" s="974">
        <f t="shared" ref="Q31:Q32" si="1">+P31+O31</f>
        <v>561.73</v>
      </c>
    </row>
    <row r="32" spans="2:17">
      <c r="B32" s="934">
        <v>3</v>
      </c>
      <c r="C32" s="951" t="s">
        <v>440</v>
      </c>
      <c r="D32" s="941">
        <v>44425022</v>
      </c>
      <c r="E32" s="941">
        <v>16647538</v>
      </c>
      <c r="F32" s="953">
        <v>31996</v>
      </c>
      <c r="G32" s="943">
        <v>42917</v>
      </c>
      <c r="H32" s="944"/>
      <c r="I32" s="975"/>
      <c r="J32" s="973">
        <f>+D24/2</f>
        <v>175.75</v>
      </c>
      <c r="K32" s="979">
        <f>+D24-J32</f>
        <v>175.75</v>
      </c>
      <c r="L32" s="973">
        <f>+J32/1.18</f>
        <v>148.9406779661017</v>
      </c>
      <c r="M32" s="974">
        <f>+L32</f>
        <v>148.9406779661017</v>
      </c>
      <c r="N32" s="778">
        <f t="shared" si="0"/>
        <v>26.809322033898304</v>
      </c>
      <c r="O32" s="974">
        <f>+N32+M32</f>
        <v>175.75</v>
      </c>
      <c r="P32" s="974">
        <f>+D24-O32</f>
        <v>175.75</v>
      </c>
      <c r="Q32" s="974">
        <f t="shared" si="1"/>
        <v>351.5</v>
      </c>
    </row>
    <row r="33" spans="2:17">
      <c r="B33" s="934">
        <v>4</v>
      </c>
      <c r="C33" s="962" t="s">
        <v>217</v>
      </c>
      <c r="D33" s="963">
        <v>43172155</v>
      </c>
      <c r="E33" s="963">
        <v>26350</v>
      </c>
      <c r="F33" s="964">
        <v>31249</v>
      </c>
      <c r="G33" s="943">
        <v>42948</v>
      </c>
      <c r="H33" s="944"/>
      <c r="I33" s="973"/>
      <c r="J33" s="973">
        <f>+D22/2</f>
        <v>306.02</v>
      </c>
      <c r="K33" s="979">
        <f>+D22-J33</f>
        <v>306.02</v>
      </c>
      <c r="L33" s="973">
        <f>+J33/1.18</f>
        <v>259.33898305084745</v>
      </c>
      <c r="M33" s="974">
        <f>+L33</f>
        <v>259.33898305084745</v>
      </c>
      <c r="N33" s="778">
        <f>+M33*0.18</f>
        <v>46.681016949152536</v>
      </c>
      <c r="O33" s="974">
        <f>+N33+M33</f>
        <v>306.02</v>
      </c>
      <c r="P33" s="974">
        <f>+D22-O33</f>
        <v>306.02</v>
      </c>
      <c r="Q33" s="974">
        <f>+P33+O33</f>
        <v>612.04</v>
      </c>
    </row>
    <row r="34" spans="2:17" ht="12.75" thickBot="1">
      <c r="B34" s="939"/>
      <c r="C34" s="965"/>
      <c r="D34" s="966"/>
      <c r="E34" s="966"/>
      <c r="F34" s="967"/>
      <c r="G34" s="948"/>
      <c r="H34" s="949"/>
      <c r="I34" s="976"/>
      <c r="J34" s="976"/>
      <c r="K34" s="976"/>
      <c r="L34" s="976"/>
      <c r="M34" s="974">
        <f>+L34</f>
        <v>0</v>
      </c>
      <c r="N34" s="778">
        <f>+M34*0.18</f>
        <v>0</v>
      </c>
      <c r="O34" s="974">
        <f>+N34+M34</f>
        <v>0</v>
      </c>
      <c r="P34" s="974"/>
      <c r="Q34" s="974"/>
    </row>
    <row r="35" spans="2:17">
      <c r="B35" s="950"/>
      <c r="C35" s="951"/>
      <c r="D35" s="952"/>
      <c r="E35" s="952"/>
      <c r="F35" s="953"/>
      <c r="G35" s="954"/>
      <c r="H35" s="954"/>
      <c r="I35" s="977">
        <f>SUM(I30:I33)</f>
        <v>0</v>
      </c>
      <c r="J35" s="977">
        <f>SUM(J30:J33)</f>
        <v>1092.8050000000001</v>
      </c>
      <c r="K35" s="977">
        <f>SUM(K30:K33)</f>
        <v>1092.8050000000001</v>
      </c>
      <c r="L35" s="977">
        <f>SUM(L30:L33)</f>
        <v>926.10593220338978</v>
      </c>
      <c r="M35" s="951"/>
      <c r="N35" s="951"/>
      <c r="O35" s="978">
        <f>SUM(O30:O33)</f>
        <v>1092.8050000000001</v>
      </c>
      <c r="P35" s="978">
        <f>SUM(P30:P33)</f>
        <v>1092.8050000000001</v>
      </c>
      <c r="Q35" s="978">
        <f>SUM(Q30:Q33)</f>
        <v>2185.61</v>
      </c>
    </row>
    <row r="36" spans="2:17">
      <c r="K36" s="1001"/>
      <c r="L36" s="974"/>
    </row>
    <row r="37" spans="2:17">
      <c r="K37" s="1001"/>
    </row>
    <row r="41" spans="2:17">
      <c r="C41" s="923" t="s">
        <v>435</v>
      </c>
      <c r="Q41" s="974"/>
    </row>
    <row r="42" spans="2:17">
      <c r="D42" s="955"/>
      <c r="E42" s="955"/>
      <c r="F42" s="955"/>
      <c r="G42" s="955"/>
      <c r="I42" s="955"/>
      <c r="J42" s="955"/>
    </row>
    <row r="43" spans="2:17">
      <c r="C43" s="923" t="s">
        <v>418</v>
      </c>
      <c r="D43" s="597"/>
      <c r="E43" s="925"/>
      <c r="G43" s="925"/>
      <c r="I43" s="925"/>
      <c r="J43" s="925"/>
    </row>
    <row r="44" spans="2:17">
      <c r="C44" s="951" t="s">
        <v>201</v>
      </c>
      <c r="D44" s="778">
        <f>605.94/1.18</f>
        <v>513.50847457627128</v>
      </c>
      <c r="E44" s="778"/>
      <c r="F44" s="778"/>
      <c r="G44" s="925"/>
      <c r="I44" s="925"/>
      <c r="J44" s="925"/>
    </row>
    <row r="45" spans="2:17">
      <c r="C45" s="951" t="s">
        <v>217</v>
      </c>
      <c r="D45" s="778">
        <f>612.04/1.18</f>
        <v>518.67796610169489</v>
      </c>
      <c r="E45" s="778"/>
      <c r="F45" s="778"/>
      <c r="G45" s="925"/>
      <c r="I45" s="925"/>
      <c r="J45" s="925"/>
    </row>
    <row r="46" spans="2:17">
      <c r="C46" s="951" t="s">
        <v>436</v>
      </c>
      <c r="D46" s="778">
        <f>548/ 1.18</f>
        <v>464.40677966101697</v>
      </c>
      <c r="E46" s="778"/>
      <c r="F46" s="778"/>
      <c r="G46" s="925"/>
      <c r="I46" s="778"/>
      <c r="J46" s="925"/>
    </row>
    <row r="47" spans="2:17">
      <c r="C47" s="951" t="s">
        <v>437</v>
      </c>
      <c r="D47" s="956">
        <f>351.5/1.18</f>
        <v>297.88135593220341</v>
      </c>
      <c r="E47" s="778"/>
      <c r="F47" s="778"/>
      <c r="G47" s="925"/>
      <c r="I47" s="925"/>
      <c r="J47" s="925"/>
    </row>
    <row r="48" spans="2:17">
      <c r="C48" s="951"/>
      <c r="D48" s="957"/>
      <c r="E48" s="925"/>
      <c r="G48" s="925"/>
      <c r="I48" s="925"/>
      <c r="J48" s="925"/>
      <c r="K48" s="778"/>
    </row>
    <row r="49" spans="2:14" ht="12.75" thickBot="1">
      <c r="C49" s="958"/>
      <c r="D49" s="928"/>
      <c r="E49" s="925"/>
      <c r="G49" s="925"/>
      <c r="I49" s="925"/>
      <c r="J49" s="925"/>
    </row>
    <row r="50" spans="2:14" ht="12.75" thickBot="1">
      <c r="B50" s="968"/>
      <c r="C50" s="930"/>
      <c r="D50" s="931"/>
      <c r="E50" s="931"/>
      <c r="F50" s="932"/>
      <c r="G50" s="933"/>
      <c r="H50" s="933"/>
      <c r="I50" s="1513" t="s">
        <v>422</v>
      </c>
      <c r="J50" s="1514"/>
      <c r="K50" s="1515" t="s">
        <v>423</v>
      </c>
      <c r="L50" s="1515" t="s">
        <v>424</v>
      </c>
      <c r="M50" s="1515" t="s">
        <v>748</v>
      </c>
    </row>
    <row r="51" spans="2:14" ht="12.75" thickBot="1">
      <c r="B51" s="969"/>
      <c r="C51" s="926"/>
      <c r="D51" s="926"/>
      <c r="E51" s="926"/>
      <c r="F51" s="926"/>
      <c r="I51" s="970">
        <v>0.2</v>
      </c>
      <c r="J51" s="971">
        <v>0.5</v>
      </c>
      <c r="K51" s="1516"/>
      <c r="L51" s="1516"/>
      <c r="M51" s="1516"/>
    </row>
    <row r="52" spans="2:14" ht="24.75" thickBot="1">
      <c r="B52" s="935" t="s">
        <v>425</v>
      </c>
      <c r="C52" s="936" t="s">
        <v>317</v>
      </c>
      <c r="D52" s="935" t="s">
        <v>426</v>
      </c>
      <c r="E52" s="935" t="s">
        <v>427</v>
      </c>
      <c r="F52" s="937" t="s">
        <v>428</v>
      </c>
      <c r="G52" s="938" t="s">
        <v>429</v>
      </c>
      <c r="H52" s="938" t="s">
        <v>430</v>
      </c>
      <c r="I52" s="980" t="s">
        <v>431</v>
      </c>
      <c r="J52" s="980" t="s">
        <v>432</v>
      </c>
      <c r="K52" s="1517"/>
      <c r="L52" s="1517"/>
      <c r="M52" s="1517"/>
    </row>
    <row r="53" spans="2:14">
      <c r="B53" s="934">
        <v>1</v>
      </c>
      <c r="C53" s="959" t="s">
        <v>201</v>
      </c>
      <c r="D53" s="960">
        <v>10305226</v>
      </c>
      <c r="E53" s="960">
        <v>13481668</v>
      </c>
      <c r="F53" s="961">
        <v>27747</v>
      </c>
      <c r="G53" s="943">
        <v>35462</v>
      </c>
      <c r="H53" s="944">
        <v>10000</v>
      </c>
      <c r="I53" s="973"/>
      <c r="J53" s="973">
        <f>+D44/2</f>
        <v>256.75423728813564</v>
      </c>
      <c r="K53" s="979">
        <f>+D44-J53</f>
        <v>256.75423728813564</v>
      </c>
      <c r="L53" s="973">
        <f>605.93-K53</f>
        <v>349.17576271186431</v>
      </c>
      <c r="M53" s="1163">
        <f>+L53+K53</f>
        <v>605.92999999999995</v>
      </c>
      <c r="N53" s="778"/>
    </row>
    <row r="54" spans="2:14">
      <c r="B54" s="934">
        <v>2</v>
      </c>
      <c r="C54" s="951" t="s">
        <v>439</v>
      </c>
      <c r="D54" s="941">
        <v>9594953</v>
      </c>
      <c r="E54" s="941">
        <v>16647534</v>
      </c>
      <c r="F54" s="953">
        <v>26364</v>
      </c>
      <c r="G54" s="943">
        <v>41548</v>
      </c>
      <c r="H54" s="944"/>
      <c r="I54" s="975"/>
      <c r="J54" s="973">
        <f>+D46/2</f>
        <v>232.20338983050848</v>
      </c>
      <c r="K54" s="979">
        <f>+D46-J54</f>
        <v>232.20338983050848</v>
      </c>
      <c r="L54" s="973">
        <f>548-K54</f>
        <v>315.79661016949149</v>
      </c>
      <c r="M54" s="1164">
        <f t="shared" ref="M54:M56" si="2">+L54+K54</f>
        <v>548</v>
      </c>
      <c r="N54" s="778"/>
    </row>
    <row r="55" spans="2:14">
      <c r="B55" s="934">
        <v>3</v>
      </c>
      <c r="C55" s="951" t="s">
        <v>440</v>
      </c>
      <c r="D55" s="941">
        <v>44425022</v>
      </c>
      <c r="E55" s="941">
        <v>16647538</v>
      </c>
      <c r="F55" s="953">
        <v>31996</v>
      </c>
      <c r="G55" s="943">
        <v>42917</v>
      </c>
      <c r="H55" s="944"/>
      <c r="I55" s="975"/>
      <c r="J55" s="973">
        <f>+D47/2</f>
        <v>148.9406779661017</v>
      </c>
      <c r="K55" s="979">
        <f>+D47-J55</f>
        <v>148.9406779661017</v>
      </c>
      <c r="L55" s="973">
        <f>351.5-K55</f>
        <v>202.5593220338983</v>
      </c>
      <c r="M55" s="1164">
        <f t="shared" si="2"/>
        <v>351.5</v>
      </c>
      <c r="N55" s="778"/>
    </row>
    <row r="56" spans="2:14">
      <c r="B56" s="934">
        <v>4</v>
      </c>
      <c r="C56" s="962" t="s">
        <v>217</v>
      </c>
      <c r="D56" s="963">
        <v>43172155</v>
      </c>
      <c r="E56" s="963">
        <v>26350</v>
      </c>
      <c r="F56" s="964">
        <v>31249</v>
      </c>
      <c r="G56" s="943">
        <v>42948</v>
      </c>
      <c r="H56" s="944"/>
      <c r="I56" s="973"/>
      <c r="J56" s="973">
        <f>+D45/2</f>
        <v>259.33898305084745</v>
      </c>
      <c r="K56" s="979">
        <f>+D45-J56</f>
        <v>259.33898305084745</v>
      </c>
      <c r="L56" s="973">
        <f>612.304-K56</f>
        <v>352.96501694915253</v>
      </c>
      <c r="M56" s="1164">
        <f t="shared" si="2"/>
        <v>612.30399999999997</v>
      </c>
      <c r="N56" s="778"/>
    </row>
    <row r="57" spans="2:14" ht="12.75" thickBot="1">
      <c r="B57" s="939"/>
      <c r="C57" s="965"/>
      <c r="D57" s="966"/>
      <c r="E57" s="966"/>
      <c r="F57" s="967"/>
      <c r="G57" s="948"/>
      <c r="H57" s="949"/>
      <c r="I57" s="976"/>
      <c r="J57" s="976"/>
      <c r="K57" s="976"/>
      <c r="L57" s="976"/>
      <c r="M57" s="1165">
        <f>+L57</f>
        <v>0</v>
      </c>
      <c r="N57" s="778">
        <f>+M57*0.18</f>
        <v>0</v>
      </c>
    </row>
    <row r="58" spans="2:14">
      <c r="B58" s="950"/>
      <c r="C58" s="951"/>
      <c r="D58" s="952"/>
      <c r="E58" s="952"/>
      <c r="F58" s="953"/>
      <c r="G58" s="954"/>
      <c r="H58" s="954"/>
      <c r="I58" s="977">
        <f>SUM(I53:I56)</f>
        <v>0</v>
      </c>
      <c r="J58" s="977">
        <f>SUM(J53:J56)</f>
        <v>897.2372881355933</v>
      </c>
      <c r="K58" s="977">
        <f>SUM(K53:K56)</f>
        <v>897.2372881355933</v>
      </c>
      <c r="L58" s="977">
        <f>SUM(L53:L56)</f>
        <v>1220.4967118644067</v>
      </c>
      <c r="M58" s="977">
        <f>SUM(M53:M56)</f>
        <v>2117.7339999999999</v>
      </c>
      <c r="N58" s="951"/>
    </row>
    <row r="59" spans="2:14">
      <c r="K59" s="1001"/>
      <c r="L59" s="974"/>
    </row>
    <row r="60" spans="2:14">
      <c r="K60" s="1001"/>
    </row>
  </sheetData>
  <mergeCells count="10">
    <mergeCell ref="I50:J50"/>
    <mergeCell ref="K50:K52"/>
    <mergeCell ref="L50:L52"/>
    <mergeCell ref="M50:M52"/>
    <mergeCell ref="I8:J8"/>
    <mergeCell ref="K8:K10"/>
    <mergeCell ref="L8:L10"/>
    <mergeCell ref="I27:J27"/>
    <mergeCell ref="K27:K29"/>
    <mergeCell ref="L27:L29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0560-3E8F-4FFF-85AA-2B61661C3577}">
  <dimension ref="B1:W30"/>
  <sheetViews>
    <sheetView zoomScale="80" zoomScaleNormal="80" workbookViewId="0">
      <selection activeCell="U4" sqref="U4"/>
    </sheetView>
  </sheetViews>
  <sheetFormatPr baseColWidth="10" defaultColWidth="11.42578125" defaultRowHeight="15"/>
  <cols>
    <col min="1" max="1" width="9.42578125" bestFit="1" customWidth="1"/>
    <col min="3" max="3" width="37.5703125" customWidth="1"/>
    <col min="4" max="10" width="11.42578125" customWidth="1"/>
    <col min="11" max="15" width="11.42578125" hidden="1" customWidth="1"/>
    <col min="16" max="16" width="13.42578125" customWidth="1"/>
    <col min="19" max="19" width="15" bestFit="1" customWidth="1"/>
  </cols>
  <sheetData>
    <row r="1" spans="2:23">
      <c r="S1" s="754"/>
      <c r="T1" s="754"/>
      <c r="U1" s="754"/>
      <c r="V1" s="754"/>
    </row>
    <row r="2" spans="2:23" ht="18" customHeight="1">
      <c r="B2" s="1231" t="s">
        <v>314</v>
      </c>
      <c r="C2" s="1231"/>
      <c r="D2" s="1519" t="s">
        <v>315</v>
      </c>
      <c r="E2" s="1519"/>
      <c r="F2" s="1519"/>
      <c r="G2" s="1519"/>
      <c r="H2" s="1519"/>
      <c r="I2" s="1519"/>
      <c r="J2" s="1519"/>
      <c r="K2" s="1519"/>
      <c r="L2" s="1519"/>
      <c r="M2" s="1519"/>
      <c r="N2" s="1519"/>
      <c r="O2" s="1519"/>
      <c r="P2" s="1520" t="s">
        <v>125</v>
      </c>
      <c r="Q2" s="1518" t="s">
        <v>316</v>
      </c>
      <c r="R2" s="1235"/>
    </row>
    <row r="3" spans="2:23" ht="28.5" customHeight="1">
      <c r="B3" s="1231"/>
      <c r="C3" s="1231" t="s">
        <v>317</v>
      </c>
      <c r="D3" s="1232" t="s">
        <v>318</v>
      </c>
      <c r="E3" s="1232" t="s">
        <v>319</v>
      </c>
      <c r="F3" s="1232" t="s">
        <v>320</v>
      </c>
      <c r="G3" s="1232" t="s">
        <v>321</v>
      </c>
      <c r="H3" s="1232" t="s">
        <v>322</v>
      </c>
      <c r="I3" s="1232" t="s">
        <v>323</v>
      </c>
      <c r="J3" s="1232" t="s">
        <v>324</v>
      </c>
      <c r="K3" s="1232" t="s">
        <v>325</v>
      </c>
      <c r="L3" s="1232" t="s">
        <v>326</v>
      </c>
      <c r="M3" s="1232" t="s">
        <v>327</v>
      </c>
      <c r="N3" s="1232" t="s">
        <v>328</v>
      </c>
      <c r="O3" s="1232" t="s">
        <v>329</v>
      </c>
      <c r="P3" s="1520"/>
      <c r="Q3" s="1518"/>
      <c r="R3" s="1235" t="s">
        <v>797</v>
      </c>
      <c r="S3" s="1234" t="s">
        <v>10</v>
      </c>
      <c r="T3" t="s">
        <v>125</v>
      </c>
    </row>
    <row r="4" spans="2:23">
      <c r="B4" s="1233">
        <v>1</v>
      </c>
      <c r="C4" s="767" t="s">
        <v>219</v>
      </c>
      <c r="D4" s="1071">
        <v>9122.3397000000004</v>
      </c>
      <c r="E4" s="703">
        <v>6019.6636499999995</v>
      </c>
      <c r="F4" s="703">
        <v>8538.4968900000003</v>
      </c>
      <c r="G4" s="703">
        <v>12937.093330000002</v>
      </c>
      <c r="H4" s="703">
        <v>8462.9701479661016</v>
      </c>
      <c r="I4" s="703">
        <v>8965.1879799999988</v>
      </c>
      <c r="J4" s="703">
        <v>12745.127600000002</v>
      </c>
      <c r="K4" s="703"/>
      <c r="L4" s="703"/>
      <c r="M4" s="703"/>
      <c r="N4" s="703"/>
      <c r="O4" s="703"/>
      <c r="P4" s="703">
        <f>SUM(E4:O4)</f>
        <v>57668.539597966104</v>
      </c>
      <c r="Q4" s="703">
        <f>+P4/6</f>
        <v>9611.4232663276835</v>
      </c>
      <c r="R4" s="711">
        <f>Q4/30</f>
        <v>320.3807755442561</v>
      </c>
      <c r="S4" s="156">
        <v>1</v>
      </c>
      <c r="T4" s="1236">
        <f>S4*R4</f>
        <v>320.3807755442561</v>
      </c>
    </row>
    <row r="5" spans="2:23">
      <c r="B5" s="1233">
        <f>+B4+1</f>
        <v>2</v>
      </c>
      <c r="C5" s="767" t="s">
        <v>228</v>
      </c>
      <c r="D5" s="1071">
        <v>2501.7108000000003</v>
      </c>
      <c r="E5" s="703">
        <v>2599.7563500000001</v>
      </c>
      <c r="F5" s="703">
        <v>3287.0806499999999</v>
      </c>
      <c r="G5" s="703">
        <v>2509.8714</v>
      </c>
      <c r="H5" s="703">
        <v>3359.0190000000002</v>
      </c>
      <c r="I5" s="703">
        <v>4331.4262500000004</v>
      </c>
      <c r="J5" s="703">
        <v>1771.03755</v>
      </c>
      <c r="K5" s="703"/>
      <c r="L5" s="703"/>
      <c r="M5" s="703"/>
      <c r="N5" s="703"/>
      <c r="O5" s="703"/>
      <c r="P5" s="703">
        <f>SUM(D5:O5)</f>
        <v>20359.902000000002</v>
      </c>
      <c r="Q5" s="703">
        <f>+P5/6</f>
        <v>3393.3170000000005</v>
      </c>
      <c r="R5" s="711">
        <f t="shared" ref="R5:R11" si="0">Q5/30</f>
        <v>113.11056666666668</v>
      </c>
      <c r="S5" s="156">
        <v>14</v>
      </c>
      <c r="T5" s="1236">
        <f t="shared" ref="T5:T11" si="1">S5*R5</f>
        <v>1583.5479333333335</v>
      </c>
    </row>
    <row r="6" spans="2:23">
      <c r="B6" s="1233">
        <f t="shared" ref="B6:B10" si="2">+B5+1</f>
        <v>3</v>
      </c>
      <c r="C6" s="767" t="s">
        <v>245</v>
      </c>
      <c r="D6" s="1071">
        <v>1375.3926864406781</v>
      </c>
      <c r="E6" s="703">
        <v>2137.4428499999999</v>
      </c>
      <c r="F6" s="703">
        <v>1953.9544499999995</v>
      </c>
      <c r="G6" s="703">
        <v>1486.9737000000002</v>
      </c>
      <c r="H6" s="703">
        <v>1343.5632000000001</v>
      </c>
      <c r="I6" s="703">
        <v>1994.6995500000003</v>
      </c>
      <c r="J6" s="703">
        <v>2048.7844500000001</v>
      </c>
      <c r="K6" s="703"/>
      <c r="L6" s="703"/>
      <c r="M6" s="703"/>
      <c r="N6" s="703"/>
      <c r="O6" s="703"/>
      <c r="P6" s="703">
        <f>SUM(E6:O6)</f>
        <v>10965.4182</v>
      </c>
      <c r="Q6" s="703">
        <f>+P6/6</f>
        <v>1827.5697</v>
      </c>
      <c r="R6" s="711">
        <f>Q6/30</f>
        <v>60.918990000000001</v>
      </c>
      <c r="S6" s="156">
        <v>15</v>
      </c>
      <c r="T6" s="1236">
        <f>S6*R6</f>
        <v>913.78485000000001</v>
      </c>
      <c r="W6">
        <f>2913/30*15</f>
        <v>1456.5</v>
      </c>
    </row>
    <row r="7" spans="2:23">
      <c r="B7" s="1233">
        <f t="shared" si="2"/>
        <v>4</v>
      </c>
      <c r="C7" s="767" t="s">
        <v>330</v>
      </c>
      <c r="D7" s="1071">
        <v>5568.2823474576262</v>
      </c>
      <c r="E7" s="703">
        <v>4483.2372220338984</v>
      </c>
      <c r="F7" s="703">
        <v>6098.9263499999997</v>
      </c>
      <c r="G7" s="703">
        <v>9240.7809500000003</v>
      </c>
      <c r="H7" s="703">
        <v>6044.9786771186446</v>
      </c>
      <c r="I7" s="703">
        <v>6403.7056999999995</v>
      </c>
      <c r="J7" s="703">
        <v>7965.7047500000008</v>
      </c>
      <c r="K7" s="703"/>
      <c r="L7" s="703"/>
      <c r="M7" s="703"/>
      <c r="N7" s="703"/>
      <c r="O7" s="703"/>
      <c r="P7" s="703">
        <f t="shared" ref="P7:P9" si="3">SUM(D7:O7)</f>
        <v>45805.61599661017</v>
      </c>
      <c r="Q7" s="703">
        <f>+P7/6</f>
        <v>7634.2693327683619</v>
      </c>
      <c r="R7" s="711">
        <f t="shared" si="0"/>
        <v>254.47564442561207</v>
      </c>
      <c r="S7" s="156">
        <v>0</v>
      </c>
      <c r="T7" s="1236">
        <f t="shared" si="1"/>
        <v>0</v>
      </c>
    </row>
    <row r="8" spans="2:23">
      <c r="B8" s="1233">
        <f t="shared" si="2"/>
        <v>5</v>
      </c>
      <c r="C8" s="767" t="s">
        <v>268</v>
      </c>
      <c r="D8" s="1071">
        <v>404.14904999999999</v>
      </c>
      <c r="E8" s="703">
        <v>749.28030000000001</v>
      </c>
      <c r="F8" s="703">
        <v>531.69464999999991</v>
      </c>
      <c r="G8" s="703">
        <v>3286.2736500000001</v>
      </c>
      <c r="H8" s="703">
        <v>700.75905</v>
      </c>
      <c r="I8" s="703">
        <v>1556.8993499999999</v>
      </c>
      <c r="J8" s="703">
        <v>600.18254999999999</v>
      </c>
      <c r="K8" s="703"/>
      <c r="L8" s="703"/>
      <c r="M8" s="703"/>
      <c r="N8" s="703"/>
      <c r="O8" s="703"/>
      <c r="P8" s="703">
        <f t="shared" si="3"/>
        <v>7829.2385999999988</v>
      </c>
      <c r="Q8" s="703">
        <f t="shared" ref="Q8:Q11" si="4">+P8/6</f>
        <v>1304.8730999999998</v>
      </c>
      <c r="R8" s="711">
        <f>Q8/30</f>
        <v>43.495769999999993</v>
      </c>
      <c r="S8" s="156">
        <v>0</v>
      </c>
      <c r="T8" s="1236">
        <f t="shared" si="1"/>
        <v>0</v>
      </c>
    </row>
    <row r="9" spans="2:23">
      <c r="B9" s="1233">
        <f t="shared" si="2"/>
        <v>6</v>
      </c>
      <c r="C9" s="767" t="s">
        <v>266</v>
      </c>
      <c r="D9" s="1071">
        <v>2429.196355932203</v>
      </c>
      <c r="E9" s="703">
        <v>842.6241</v>
      </c>
      <c r="F9" s="703">
        <v>846.33224999999993</v>
      </c>
      <c r="G9" s="703">
        <v>2406.4389000000001</v>
      </c>
      <c r="H9" s="703">
        <v>1799.1558813559323</v>
      </c>
      <c r="I9" s="703">
        <v>662.76479999999992</v>
      </c>
      <c r="J9" s="703">
        <v>1891.5045</v>
      </c>
      <c r="K9" s="703"/>
      <c r="L9" s="703"/>
      <c r="M9" s="703"/>
      <c r="N9" s="703"/>
      <c r="O9" s="703"/>
      <c r="P9" s="703">
        <f t="shared" si="3"/>
        <v>10878.016787288136</v>
      </c>
      <c r="Q9" s="703">
        <f t="shared" si="4"/>
        <v>1813.0027978813559</v>
      </c>
      <c r="R9" s="711">
        <f t="shared" si="0"/>
        <v>60.433426596045202</v>
      </c>
      <c r="S9" s="156">
        <v>0</v>
      </c>
      <c r="T9" s="1236">
        <f t="shared" si="1"/>
        <v>0</v>
      </c>
    </row>
    <row r="10" spans="2:23">
      <c r="B10" s="1233">
        <f t="shared" si="2"/>
        <v>7</v>
      </c>
      <c r="C10" s="767" t="s">
        <v>274</v>
      </c>
      <c r="D10" s="1071">
        <v>872.05844999999999</v>
      </c>
      <c r="E10" s="703">
        <v>1100.944416101695</v>
      </c>
      <c r="F10" s="703">
        <v>3369.7662</v>
      </c>
      <c r="G10" s="703">
        <v>937.36110000000019</v>
      </c>
      <c r="H10" s="703">
        <v>1449.1908000000001</v>
      </c>
      <c r="I10" s="703">
        <v>1482.3352499999996</v>
      </c>
      <c r="J10" s="703">
        <v>3142.0137</v>
      </c>
      <c r="K10" s="703"/>
      <c r="L10" s="703"/>
      <c r="M10" s="703"/>
      <c r="N10" s="703"/>
      <c r="O10" s="703"/>
      <c r="P10" s="703">
        <f>SUM(D10:O10)</f>
        <v>12353.669916101695</v>
      </c>
      <c r="Q10" s="703">
        <f t="shared" si="4"/>
        <v>2058.9449860169493</v>
      </c>
      <c r="R10" s="711">
        <f t="shared" si="0"/>
        <v>68.631499533898307</v>
      </c>
      <c r="S10" s="156">
        <v>7</v>
      </c>
      <c r="T10" s="1236">
        <f t="shared" si="1"/>
        <v>480.42049673728815</v>
      </c>
    </row>
    <row r="11" spans="2:23">
      <c r="B11" s="1233">
        <v>8</v>
      </c>
      <c r="C11" s="1006" t="s">
        <v>279</v>
      </c>
      <c r="D11" s="769"/>
      <c r="E11" s="769"/>
      <c r="F11" s="769"/>
      <c r="G11" s="769"/>
      <c r="H11" s="769"/>
      <c r="I11" s="769">
        <v>887.80799999999988</v>
      </c>
      <c r="J11" s="769">
        <v>1180.96785</v>
      </c>
      <c r="K11" s="769"/>
      <c r="L11" s="769"/>
      <c r="M11" s="769"/>
      <c r="N11" s="769"/>
      <c r="O11" s="769"/>
      <c r="P11" s="703">
        <f>SUM(D11:O11)</f>
        <v>2068.77585</v>
      </c>
      <c r="Q11" s="703">
        <f t="shared" si="4"/>
        <v>344.795975</v>
      </c>
      <c r="R11" s="711">
        <f t="shared" si="0"/>
        <v>11.493199166666667</v>
      </c>
      <c r="S11" s="156">
        <v>0</v>
      </c>
      <c r="T11" s="1236">
        <f t="shared" si="1"/>
        <v>0</v>
      </c>
    </row>
    <row r="12" spans="2:23">
      <c r="B12" s="1349"/>
      <c r="C12" s="549"/>
      <c r="D12" s="764"/>
      <c r="E12" s="764"/>
      <c r="F12" s="764"/>
      <c r="G12" s="764"/>
      <c r="H12" s="764"/>
      <c r="I12" s="764"/>
      <c r="J12" s="769">
        <v>72.720749999999995</v>
      </c>
      <c r="K12" s="764"/>
      <c r="L12" s="764"/>
      <c r="M12" s="764"/>
      <c r="N12" s="764"/>
      <c r="O12" s="764"/>
      <c r="P12" s="711"/>
      <c r="Q12" s="711"/>
      <c r="R12" s="711">
        <f>Q12/30</f>
        <v>0</v>
      </c>
      <c r="S12" s="156"/>
      <c r="T12" s="1236"/>
    </row>
    <row r="13" spans="2:23" ht="15.75" customHeight="1" thickBot="1">
      <c r="D13" s="775">
        <f t="shared" ref="D13:Q13" si="5">SUM(D4:D11)</f>
        <v>22273.129389830508</v>
      </c>
      <c r="E13" s="775">
        <f t="shared" si="5"/>
        <v>17932.948888135594</v>
      </c>
      <c r="F13" s="775">
        <f t="shared" si="5"/>
        <v>24626.25144</v>
      </c>
      <c r="G13" s="775">
        <f t="shared" si="5"/>
        <v>32804.793030000001</v>
      </c>
      <c r="H13" s="775">
        <f t="shared" si="5"/>
        <v>23159.636756440679</v>
      </c>
      <c r="I13" s="775">
        <f t="shared" si="5"/>
        <v>26284.826880000001</v>
      </c>
      <c r="J13" s="775">
        <f t="shared" si="5"/>
        <v>31345.322950000002</v>
      </c>
      <c r="K13" s="775">
        <f t="shared" si="5"/>
        <v>0</v>
      </c>
      <c r="L13" s="775">
        <f t="shared" si="5"/>
        <v>0</v>
      </c>
      <c r="M13" s="776">
        <f t="shared" si="5"/>
        <v>0</v>
      </c>
      <c r="N13" s="775">
        <f t="shared" si="5"/>
        <v>0</v>
      </c>
      <c r="O13" s="775">
        <f t="shared" si="5"/>
        <v>0</v>
      </c>
      <c r="P13" s="775">
        <f t="shared" si="5"/>
        <v>167929.17694796613</v>
      </c>
      <c r="Q13" s="775">
        <f t="shared" si="5"/>
        <v>27988.196157994353</v>
      </c>
      <c r="R13" s="754"/>
      <c r="T13" s="1237">
        <f>SUM(T4:T11)</f>
        <v>3298.1340556148775</v>
      </c>
    </row>
    <row r="14" spans="2:23" ht="27" customHeight="1" thickTop="1">
      <c r="E14" s="777"/>
      <c r="F14" s="777"/>
      <c r="H14" s="777"/>
      <c r="I14" s="777"/>
      <c r="J14" s="993"/>
      <c r="K14" s="777"/>
      <c r="L14" s="993"/>
      <c r="M14" s="993"/>
      <c r="N14" s="993"/>
      <c r="O14" s="993"/>
    </row>
    <row r="15" spans="2:23">
      <c r="E15" s="777"/>
      <c r="F15" s="777"/>
      <c r="G15" s="777"/>
      <c r="H15" s="777"/>
      <c r="I15" s="762"/>
      <c r="J15" s="993"/>
      <c r="K15" s="993"/>
      <c r="L15" s="993"/>
      <c r="M15" s="993"/>
      <c r="N15" s="993"/>
      <c r="O15" s="993"/>
    </row>
    <row r="22" ht="15.75" customHeight="1"/>
    <row r="23" ht="27" customHeight="1"/>
    <row r="29" ht="15.75" customHeight="1"/>
    <row r="30" ht="27" customHeight="1"/>
  </sheetData>
  <mergeCells count="3">
    <mergeCell ref="Q2:Q3"/>
    <mergeCell ref="D2:O2"/>
    <mergeCell ref="P2:P3"/>
  </mergeCells>
  <conditionalFormatting sqref="C11:C12">
    <cfRule type="duplicateValues" dxfId="6" priority="1"/>
  </conditionalFormatting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ED75-42E5-4FAB-ADE7-D3C49E737948}">
  <dimension ref="A1:T62"/>
  <sheetViews>
    <sheetView topLeftCell="A19" workbookViewId="0">
      <selection activeCell="C48" sqref="C48:D48"/>
    </sheetView>
  </sheetViews>
  <sheetFormatPr baseColWidth="10" defaultColWidth="11.42578125" defaultRowHeight="12"/>
  <cols>
    <col min="1" max="1" width="25.5703125" style="870" customWidth="1"/>
    <col min="2" max="2" width="13.7109375" style="870" customWidth="1"/>
    <col min="3" max="6" width="10.85546875" style="870" customWidth="1"/>
    <col min="7" max="7" width="11.28515625" style="870" customWidth="1"/>
    <col min="8" max="8" width="12.5703125" style="870" bestFit="1" customWidth="1"/>
    <col min="9" max="12" width="10.85546875" style="870" customWidth="1"/>
    <col min="13" max="13" width="10.7109375" style="870" customWidth="1"/>
    <col min="14" max="14" width="10.85546875" style="870" customWidth="1"/>
    <col min="15" max="15" width="13" style="870" customWidth="1"/>
    <col min="16" max="17" width="10.85546875" style="870" customWidth="1"/>
    <col min="18" max="18" width="16" style="870" bestFit="1" customWidth="1"/>
    <col min="19" max="259" width="11.42578125" style="870"/>
    <col min="260" max="260" width="21.7109375" style="870" customWidth="1"/>
    <col min="261" max="261" width="9.7109375" style="870" customWidth="1"/>
    <col min="262" max="262" width="10.85546875" style="870" customWidth="1"/>
    <col min="263" max="263" width="11.42578125" style="870"/>
    <col min="264" max="264" width="11.7109375" style="870" customWidth="1"/>
    <col min="265" max="265" width="12.140625" style="870" customWidth="1"/>
    <col min="266" max="266" width="11.28515625" style="870" customWidth="1"/>
    <col min="267" max="267" width="11.7109375" style="870" customWidth="1"/>
    <col min="268" max="268" width="12" style="870" customWidth="1"/>
    <col min="269" max="269" width="14.140625" style="870" customWidth="1"/>
    <col min="270" max="515" width="11.42578125" style="870"/>
    <col min="516" max="516" width="21.7109375" style="870" customWidth="1"/>
    <col min="517" max="517" width="9.7109375" style="870" customWidth="1"/>
    <col min="518" max="518" width="10.85546875" style="870" customWidth="1"/>
    <col min="519" max="519" width="11.42578125" style="870"/>
    <col min="520" max="520" width="11.7109375" style="870" customWidth="1"/>
    <col min="521" max="521" width="12.140625" style="870" customWidth="1"/>
    <col min="522" max="522" width="11.28515625" style="870" customWidth="1"/>
    <col min="523" max="523" width="11.7109375" style="870" customWidth="1"/>
    <col min="524" max="524" width="12" style="870" customWidth="1"/>
    <col min="525" max="525" width="14.140625" style="870" customWidth="1"/>
    <col min="526" max="771" width="11.42578125" style="870"/>
    <col min="772" max="772" width="21.7109375" style="870" customWidth="1"/>
    <col min="773" max="773" width="9.7109375" style="870" customWidth="1"/>
    <col min="774" max="774" width="10.85546875" style="870" customWidth="1"/>
    <col min="775" max="775" width="11.42578125" style="870"/>
    <col min="776" max="776" width="11.7109375" style="870" customWidth="1"/>
    <col min="777" max="777" width="12.140625" style="870" customWidth="1"/>
    <col min="778" max="778" width="11.28515625" style="870" customWidth="1"/>
    <col min="779" max="779" width="11.7109375" style="870" customWidth="1"/>
    <col min="780" max="780" width="12" style="870" customWidth="1"/>
    <col min="781" max="781" width="14.140625" style="870" customWidth="1"/>
    <col min="782" max="1027" width="11.42578125" style="870"/>
    <col min="1028" max="1028" width="21.7109375" style="870" customWidth="1"/>
    <col min="1029" max="1029" width="9.7109375" style="870" customWidth="1"/>
    <col min="1030" max="1030" width="10.85546875" style="870" customWidth="1"/>
    <col min="1031" max="1031" width="11.42578125" style="870"/>
    <col min="1032" max="1032" width="11.7109375" style="870" customWidth="1"/>
    <col min="1033" max="1033" width="12.140625" style="870" customWidth="1"/>
    <col min="1034" max="1034" width="11.28515625" style="870" customWidth="1"/>
    <col min="1035" max="1035" width="11.7109375" style="870" customWidth="1"/>
    <col min="1036" max="1036" width="12" style="870" customWidth="1"/>
    <col min="1037" max="1037" width="14.140625" style="870" customWidth="1"/>
    <col min="1038" max="1283" width="11.42578125" style="870"/>
    <col min="1284" max="1284" width="21.7109375" style="870" customWidth="1"/>
    <col min="1285" max="1285" width="9.7109375" style="870" customWidth="1"/>
    <col min="1286" max="1286" width="10.85546875" style="870" customWidth="1"/>
    <col min="1287" max="1287" width="11.42578125" style="870"/>
    <col min="1288" max="1288" width="11.7109375" style="870" customWidth="1"/>
    <col min="1289" max="1289" width="12.140625" style="870" customWidth="1"/>
    <col min="1290" max="1290" width="11.28515625" style="870" customWidth="1"/>
    <col min="1291" max="1291" width="11.7109375" style="870" customWidth="1"/>
    <col min="1292" max="1292" width="12" style="870" customWidth="1"/>
    <col min="1293" max="1293" width="14.140625" style="870" customWidth="1"/>
    <col min="1294" max="1539" width="11.42578125" style="870"/>
    <col min="1540" max="1540" width="21.7109375" style="870" customWidth="1"/>
    <col min="1541" max="1541" width="9.7109375" style="870" customWidth="1"/>
    <col min="1542" max="1542" width="10.85546875" style="870" customWidth="1"/>
    <col min="1543" max="1543" width="11.42578125" style="870"/>
    <col min="1544" max="1544" width="11.7109375" style="870" customWidth="1"/>
    <col min="1545" max="1545" width="12.140625" style="870" customWidth="1"/>
    <col min="1546" max="1546" width="11.28515625" style="870" customWidth="1"/>
    <col min="1547" max="1547" width="11.7109375" style="870" customWidth="1"/>
    <col min="1548" max="1548" width="12" style="870" customWidth="1"/>
    <col min="1549" max="1549" width="14.140625" style="870" customWidth="1"/>
    <col min="1550" max="1795" width="11.42578125" style="870"/>
    <col min="1796" max="1796" width="21.7109375" style="870" customWidth="1"/>
    <col min="1797" max="1797" width="9.7109375" style="870" customWidth="1"/>
    <col min="1798" max="1798" width="10.85546875" style="870" customWidth="1"/>
    <col min="1799" max="1799" width="11.42578125" style="870"/>
    <col min="1800" max="1800" width="11.7109375" style="870" customWidth="1"/>
    <col min="1801" max="1801" width="12.140625" style="870" customWidth="1"/>
    <col min="1802" max="1802" width="11.28515625" style="870" customWidth="1"/>
    <col min="1803" max="1803" width="11.7109375" style="870" customWidth="1"/>
    <col min="1804" max="1804" width="12" style="870" customWidth="1"/>
    <col min="1805" max="1805" width="14.140625" style="870" customWidth="1"/>
    <col min="1806" max="2051" width="11.42578125" style="870"/>
    <col min="2052" max="2052" width="21.7109375" style="870" customWidth="1"/>
    <col min="2053" max="2053" width="9.7109375" style="870" customWidth="1"/>
    <col min="2054" max="2054" width="10.85546875" style="870" customWidth="1"/>
    <col min="2055" max="2055" width="11.42578125" style="870"/>
    <col min="2056" max="2056" width="11.7109375" style="870" customWidth="1"/>
    <col min="2057" max="2057" width="12.140625" style="870" customWidth="1"/>
    <col min="2058" max="2058" width="11.28515625" style="870" customWidth="1"/>
    <col min="2059" max="2059" width="11.7109375" style="870" customWidth="1"/>
    <col min="2060" max="2060" width="12" style="870" customWidth="1"/>
    <col min="2061" max="2061" width="14.140625" style="870" customWidth="1"/>
    <col min="2062" max="2307" width="11.42578125" style="870"/>
    <col min="2308" max="2308" width="21.7109375" style="870" customWidth="1"/>
    <col min="2309" max="2309" width="9.7109375" style="870" customWidth="1"/>
    <col min="2310" max="2310" width="10.85546875" style="870" customWidth="1"/>
    <col min="2311" max="2311" width="11.42578125" style="870"/>
    <col min="2312" max="2312" width="11.7109375" style="870" customWidth="1"/>
    <col min="2313" max="2313" width="12.140625" style="870" customWidth="1"/>
    <col min="2314" max="2314" width="11.28515625" style="870" customWidth="1"/>
    <col min="2315" max="2315" width="11.7109375" style="870" customWidth="1"/>
    <col min="2316" max="2316" width="12" style="870" customWidth="1"/>
    <col min="2317" max="2317" width="14.140625" style="870" customWidth="1"/>
    <col min="2318" max="2563" width="11.42578125" style="870"/>
    <col min="2564" max="2564" width="21.7109375" style="870" customWidth="1"/>
    <col min="2565" max="2565" width="9.7109375" style="870" customWidth="1"/>
    <col min="2566" max="2566" width="10.85546875" style="870" customWidth="1"/>
    <col min="2567" max="2567" width="11.42578125" style="870"/>
    <col min="2568" max="2568" width="11.7109375" style="870" customWidth="1"/>
    <col min="2569" max="2569" width="12.140625" style="870" customWidth="1"/>
    <col min="2570" max="2570" width="11.28515625" style="870" customWidth="1"/>
    <col min="2571" max="2571" width="11.7109375" style="870" customWidth="1"/>
    <col min="2572" max="2572" width="12" style="870" customWidth="1"/>
    <col min="2573" max="2573" width="14.140625" style="870" customWidth="1"/>
    <col min="2574" max="2819" width="11.42578125" style="870"/>
    <col min="2820" max="2820" width="21.7109375" style="870" customWidth="1"/>
    <col min="2821" max="2821" width="9.7109375" style="870" customWidth="1"/>
    <col min="2822" max="2822" width="10.85546875" style="870" customWidth="1"/>
    <col min="2823" max="2823" width="11.42578125" style="870"/>
    <col min="2824" max="2824" width="11.7109375" style="870" customWidth="1"/>
    <col min="2825" max="2825" width="12.140625" style="870" customWidth="1"/>
    <col min="2826" max="2826" width="11.28515625" style="870" customWidth="1"/>
    <col min="2827" max="2827" width="11.7109375" style="870" customWidth="1"/>
    <col min="2828" max="2828" width="12" style="870" customWidth="1"/>
    <col min="2829" max="2829" width="14.140625" style="870" customWidth="1"/>
    <col min="2830" max="3075" width="11.42578125" style="870"/>
    <col min="3076" max="3076" width="21.7109375" style="870" customWidth="1"/>
    <col min="3077" max="3077" width="9.7109375" style="870" customWidth="1"/>
    <col min="3078" max="3078" width="10.85546875" style="870" customWidth="1"/>
    <col min="3079" max="3079" width="11.42578125" style="870"/>
    <col min="3080" max="3080" width="11.7109375" style="870" customWidth="1"/>
    <col min="3081" max="3081" width="12.140625" style="870" customWidth="1"/>
    <col min="3082" max="3082" width="11.28515625" style="870" customWidth="1"/>
    <col min="3083" max="3083" width="11.7109375" style="870" customWidth="1"/>
    <col min="3084" max="3084" width="12" style="870" customWidth="1"/>
    <col min="3085" max="3085" width="14.140625" style="870" customWidth="1"/>
    <col min="3086" max="3331" width="11.42578125" style="870"/>
    <col min="3332" max="3332" width="21.7109375" style="870" customWidth="1"/>
    <col min="3333" max="3333" width="9.7109375" style="870" customWidth="1"/>
    <col min="3334" max="3334" width="10.85546875" style="870" customWidth="1"/>
    <col min="3335" max="3335" width="11.42578125" style="870"/>
    <col min="3336" max="3336" width="11.7109375" style="870" customWidth="1"/>
    <col min="3337" max="3337" width="12.140625" style="870" customWidth="1"/>
    <col min="3338" max="3338" width="11.28515625" style="870" customWidth="1"/>
    <col min="3339" max="3339" width="11.7109375" style="870" customWidth="1"/>
    <col min="3340" max="3340" width="12" style="870" customWidth="1"/>
    <col min="3341" max="3341" width="14.140625" style="870" customWidth="1"/>
    <col min="3342" max="3587" width="11.42578125" style="870"/>
    <col min="3588" max="3588" width="21.7109375" style="870" customWidth="1"/>
    <col min="3589" max="3589" width="9.7109375" style="870" customWidth="1"/>
    <col min="3590" max="3590" width="10.85546875" style="870" customWidth="1"/>
    <col min="3591" max="3591" width="11.42578125" style="870"/>
    <col min="3592" max="3592" width="11.7109375" style="870" customWidth="1"/>
    <col min="3593" max="3593" width="12.140625" style="870" customWidth="1"/>
    <col min="3594" max="3594" width="11.28515625" style="870" customWidth="1"/>
    <col min="3595" max="3595" width="11.7109375" style="870" customWidth="1"/>
    <col min="3596" max="3596" width="12" style="870" customWidth="1"/>
    <col min="3597" max="3597" width="14.140625" style="870" customWidth="1"/>
    <col min="3598" max="3843" width="11.42578125" style="870"/>
    <col min="3844" max="3844" width="21.7109375" style="870" customWidth="1"/>
    <col min="3845" max="3845" width="9.7109375" style="870" customWidth="1"/>
    <col min="3846" max="3846" width="10.85546875" style="870" customWidth="1"/>
    <col min="3847" max="3847" width="11.42578125" style="870"/>
    <col min="3848" max="3848" width="11.7109375" style="870" customWidth="1"/>
    <col min="3849" max="3849" width="12.140625" style="870" customWidth="1"/>
    <col min="3850" max="3850" width="11.28515625" style="870" customWidth="1"/>
    <col min="3851" max="3851" width="11.7109375" style="870" customWidth="1"/>
    <col min="3852" max="3852" width="12" style="870" customWidth="1"/>
    <col min="3853" max="3853" width="14.140625" style="870" customWidth="1"/>
    <col min="3854" max="4099" width="11.42578125" style="870"/>
    <col min="4100" max="4100" width="21.7109375" style="870" customWidth="1"/>
    <col min="4101" max="4101" width="9.7109375" style="870" customWidth="1"/>
    <col min="4102" max="4102" width="10.85546875" style="870" customWidth="1"/>
    <col min="4103" max="4103" width="11.42578125" style="870"/>
    <col min="4104" max="4104" width="11.7109375" style="870" customWidth="1"/>
    <col min="4105" max="4105" width="12.140625" style="870" customWidth="1"/>
    <col min="4106" max="4106" width="11.28515625" style="870" customWidth="1"/>
    <col min="4107" max="4107" width="11.7109375" style="870" customWidth="1"/>
    <col min="4108" max="4108" width="12" style="870" customWidth="1"/>
    <col min="4109" max="4109" width="14.140625" style="870" customWidth="1"/>
    <col min="4110" max="4355" width="11.42578125" style="870"/>
    <col min="4356" max="4356" width="21.7109375" style="870" customWidth="1"/>
    <col min="4357" max="4357" width="9.7109375" style="870" customWidth="1"/>
    <col min="4358" max="4358" width="10.85546875" style="870" customWidth="1"/>
    <col min="4359" max="4359" width="11.42578125" style="870"/>
    <col min="4360" max="4360" width="11.7109375" style="870" customWidth="1"/>
    <col min="4361" max="4361" width="12.140625" style="870" customWidth="1"/>
    <col min="4362" max="4362" width="11.28515625" style="870" customWidth="1"/>
    <col min="4363" max="4363" width="11.7109375" style="870" customWidth="1"/>
    <col min="4364" max="4364" width="12" style="870" customWidth="1"/>
    <col min="4365" max="4365" width="14.140625" style="870" customWidth="1"/>
    <col min="4366" max="4611" width="11.42578125" style="870"/>
    <col min="4612" max="4612" width="21.7109375" style="870" customWidth="1"/>
    <col min="4613" max="4613" width="9.7109375" style="870" customWidth="1"/>
    <col min="4614" max="4614" width="10.85546875" style="870" customWidth="1"/>
    <col min="4615" max="4615" width="11.42578125" style="870"/>
    <col min="4616" max="4616" width="11.7109375" style="870" customWidth="1"/>
    <col min="4617" max="4617" width="12.140625" style="870" customWidth="1"/>
    <col min="4618" max="4618" width="11.28515625" style="870" customWidth="1"/>
    <col min="4619" max="4619" width="11.7109375" style="870" customWidth="1"/>
    <col min="4620" max="4620" width="12" style="870" customWidth="1"/>
    <col min="4621" max="4621" width="14.140625" style="870" customWidth="1"/>
    <col min="4622" max="4867" width="11.42578125" style="870"/>
    <col min="4868" max="4868" width="21.7109375" style="870" customWidth="1"/>
    <col min="4869" max="4869" width="9.7109375" style="870" customWidth="1"/>
    <col min="4870" max="4870" width="10.85546875" style="870" customWidth="1"/>
    <col min="4871" max="4871" width="11.42578125" style="870"/>
    <col min="4872" max="4872" width="11.7109375" style="870" customWidth="1"/>
    <col min="4873" max="4873" width="12.140625" style="870" customWidth="1"/>
    <col min="4874" max="4874" width="11.28515625" style="870" customWidth="1"/>
    <col min="4875" max="4875" width="11.7109375" style="870" customWidth="1"/>
    <col min="4876" max="4876" width="12" style="870" customWidth="1"/>
    <col min="4877" max="4877" width="14.140625" style="870" customWidth="1"/>
    <col min="4878" max="5123" width="11.42578125" style="870"/>
    <col min="5124" max="5124" width="21.7109375" style="870" customWidth="1"/>
    <col min="5125" max="5125" width="9.7109375" style="870" customWidth="1"/>
    <col min="5126" max="5126" width="10.85546875" style="870" customWidth="1"/>
    <col min="5127" max="5127" width="11.42578125" style="870"/>
    <col min="5128" max="5128" width="11.7109375" style="870" customWidth="1"/>
    <col min="5129" max="5129" width="12.140625" style="870" customWidth="1"/>
    <col min="5130" max="5130" width="11.28515625" style="870" customWidth="1"/>
    <col min="5131" max="5131" width="11.7109375" style="870" customWidth="1"/>
    <col min="5132" max="5132" width="12" style="870" customWidth="1"/>
    <col min="5133" max="5133" width="14.140625" style="870" customWidth="1"/>
    <col min="5134" max="5379" width="11.42578125" style="870"/>
    <col min="5380" max="5380" width="21.7109375" style="870" customWidth="1"/>
    <col min="5381" max="5381" width="9.7109375" style="870" customWidth="1"/>
    <col min="5382" max="5382" width="10.85546875" style="870" customWidth="1"/>
    <col min="5383" max="5383" width="11.42578125" style="870"/>
    <col min="5384" max="5384" width="11.7109375" style="870" customWidth="1"/>
    <col min="5385" max="5385" width="12.140625" style="870" customWidth="1"/>
    <col min="5386" max="5386" width="11.28515625" style="870" customWidth="1"/>
    <col min="5387" max="5387" width="11.7109375" style="870" customWidth="1"/>
    <col min="5388" max="5388" width="12" style="870" customWidth="1"/>
    <col min="5389" max="5389" width="14.140625" style="870" customWidth="1"/>
    <col min="5390" max="5635" width="11.42578125" style="870"/>
    <col min="5636" max="5636" width="21.7109375" style="870" customWidth="1"/>
    <col min="5637" max="5637" width="9.7109375" style="870" customWidth="1"/>
    <col min="5638" max="5638" width="10.85546875" style="870" customWidth="1"/>
    <col min="5639" max="5639" width="11.42578125" style="870"/>
    <col min="5640" max="5640" width="11.7109375" style="870" customWidth="1"/>
    <col min="5641" max="5641" width="12.140625" style="870" customWidth="1"/>
    <col min="5642" max="5642" width="11.28515625" style="870" customWidth="1"/>
    <col min="5643" max="5643" width="11.7109375" style="870" customWidth="1"/>
    <col min="5644" max="5644" width="12" style="870" customWidth="1"/>
    <col min="5645" max="5645" width="14.140625" style="870" customWidth="1"/>
    <col min="5646" max="5891" width="11.42578125" style="870"/>
    <col min="5892" max="5892" width="21.7109375" style="870" customWidth="1"/>
    <col min="5893" max="5893" width="9.7109375" style="870" customWidth="1"/>
    <col min="5894" max="5894" width="10.85546875" style="870" customWidth="1"/>
    <col min="5895" max="5895" width="11.42578125" style="870"/>
    <col min="5896" max="5896" width="11.7109375" style="870" customWidth="1"/>
    <col min="5897" max="5897" width="12.140625" style="870" customWidth="1"/>
    <col min="5898" max="5898" width="11.28515625" style="870" customWidth="1"/>
    <col min="5899" max="5899" width="11.7109375" style="870" customWidth="1"/>
    <col min="5900" max="5900" width="12" style="870" customWidth="1"/>
    <col min="5901" max="5901" width="14.140625" style="870" customWidth="1"/>
    <col min="5902" max="6147" width="11.42578125" style="870"/>
    <col min="6148" max="6148" width="21.7109375" style="870" customWidth="1"/>
    <col min="6149" max="6149" width="9.7109375" style="870" customWidth="1"/>
    <col min="6150" max="6150" width="10.85546875" style="870" customWidth="1"/>
    <col min="6151" max="6151" width="11.42578125" style="870"/>
    <col min="6152" max="6152" width="11.7109375" style="870" customWidth="1"/>
    <col min="6153" max="6153" width="12.140625" style="870" customWidth="1"/>
    <col min="6154" max="6154" width="11.28515625" style="870" customWidth="1"/>
    <col min="6155" max="6155" width="11.7109375" style="870" customWidth="1"/>
    <col min="6156" max="6156" width="12" style="870" customWidth="1"/>
    <col min="6157" max="6157" width="14.140625" style="870" customWidth="1"/>
    <col min="6158" max="6403" width="11.42578125" style="870"/>
    <col min="6404" max="6404" width="21.7109375" style="870" customWidth="1"/>
    <col min="6405" max="6405" width="9.7109375" style="870" customWidth="1"/>
    <col min="6406" max="6406" width="10.85546875" style="870" customWidth="1"/>
    <col min="6407" max="6407" width="11.42578125" style="870"/>
    <col min="6408" max="6408" width="11.7109375" style="870" customWidth="1"/>
    <col min="6409" max="6409" width="12.140625" style="870" customWidth="1"/>
    <col min="6410" max="6410" width="11.28515625" style="870" customWidth="1"/>
    <col min="6411" max="6411" width="11.7109375" style="870" customWidth="1"/>
    <col min="6412" max="6412" width="12" style="870" customWidth="1"/>
    <col min="6413" max="6413" width="14.140625" style="870" customWidth="1"/>
    <col min="6414" max="6659" width="11.42578125" style="870"/>
    <col min="6660" max="6660" width="21.7109375" style="870" customWidth="1"/>
    <col min="6661" max="6661" width="9.7109375" style="870" customWidth="1"/>
    <col min="6662" max="6662" width="10.85546875" style="870" customWidth="1"/>
    <col min="6663" max="6663" width="11.42578125" style="870"/>
    <col min="6664" max="6664" width="11.7109375" style="870" customWidth="1"/>
    <col min="6665" max="6665" width="12.140625" style="870" customWidth="1"/>
    <col min="6666" max="6666" width="11.28515625" style="870" customWidth="1"/>
    <col min="6667" max="6667" width="11.7109375" style="870" customWidth="1"/>
    <col min="6668" max="6668" width="12" style="870" customWidth="1"/>
    <col min="6669" max="6669" width="14.140625" style="870" customWidth="1"/>
    <col min="6670" max="6915" width="11.42578125" style="870"/>
    <col min="6916" max="6916" width="21.7109375" style="870" customWidth="1"/>
    <col min="6917" max="6917" width="9.7109375" style="870" customWidth="1"/>
    <col min="6918" max="6918" width="10.85546875" style="870" customWidth="1"/>
    <col min="6919" max="6919" width="11.42578125" style="870"/>
    <col min="6920" max="6920" width="11.7109375" style="870" customWidth="1"/>
    <col min="6921" max="6921" width="12.140625" style="870" customWidth="1"/>
    <col min="6922" max="6922" width="11.28515625" style="870" customWidth="1"/>
    <col min="6923" max="6923" width="11.7109375" style="870" customWidth="1"/>
    <col min="6924" max="6924" width="12" style="870" customWidth="1"/>
    <col min="6925" max="6925" width="14.140625" style="870" customWidth="1"/>
    <col min="6926" max="7171" width="11.42578125" style="870"/>
    <col min="7172" max="7172" width="21.7109375" style="870" customWidth="1"/>
    <col min="7173" max="7173" width="9.7109375" style="870" customWidth="1"/>
    <col min="7174" max="7174" width="10.85546875" style="870" customWidth="1"/>
    <col min="7175" max="7175" width="11.42578125" style="870"/>
    <col min="7176" max="7176" width="11.7109375" style="870" customWidth="1"/>
    <col min="7177" max="7177" width="12.140625" style="870" customWidth="1"/>
    <col min="7178" max="7178" width="11.28515625" style="870" customWidth="1"/>
    <col min="7179" max="7179" width="11.7109375" style="870" customWidth="1"/>
    <col min="7180" max="7180" width="12" style="870" customWidth="1"/>
    <col min="7181" max="7181" width="14.140625" style="870" customWidth="1"/>
    <col min="7182" max="7427" width="11.42578125" style="870"/>
    <col min="7428" max="7428" width="21.7109375" style="870" customWidth="1"/>
    <col min="7429" max="7429" width="9.7109375" style="870" customWidth="1"/>
    <col min="7430" max="7430" width="10.85546875" style="870" customWidth="1"/>
    <col min="7431" max="7431" width="11.42578125" style="870"/>
    <col min="7432" max="7432" width="11.7109375" style="870" customWidth="1"/>
    <col min="7433" max="7433" width="12.140625" style="870" customWidth="1"/>
    <col min="7434" max="7434" width="11.28515625" style="870" customWidth="1"/>
    <col min="7435" max="7435" width="11.7109375" style="870" customWidth="1"/>
    <col min="7436" max="7436" width="12" style="870" customWidth="1"/>
    <col min="7437" max="7437" width="14.140625" style="870" customWidth="1"/>
    <col min="7438" max="7683" width="11.42578125" style="870"/>
    <col min="7684" max="7684" width="21.7109375" style="870" customWidth="1"/>
    <col min="7685" max="7685" width="9.7109375" style="870" customWidth="1"/>
    <col min="7686" max="7686" width="10.85546875" style="870" customWidth="1"/>
    <col min="7687" max="7687" width="11.42578125" style="870"/>
    <col min="7688" max="7688" width="11.7109375" style="870" customWidth="1"/>
    <col min="7689" max="7689" width="12.140625" style="870" customWidth="1"/>
    <col min="7690" max="7690" width="11.28515625" style="870" customWidth="1"/>
    <col min="7691" max="7691" width="11.7109375" style="870" customWidth="1"/>
    <col min="7692" max="7692" width="12" style="870" customWidth="1"/>
    <col min="7693" max="7693" width="14.140625" style="870" customWidth="1"/>
    <col min="7694" max="7939" width="11.42578125" style="870"/>
    <col min="7940" max="7940" width="21.7109375" style="870" customWidth="1"/>
    <col min="7941" max="7941" width="9.7109375" style="870" customWidth="1"/>
    <col min="7942" max="7942" width="10.85546875" style="870" customWidth="1"/>
    <col min="7943" max="7943" width="11.42578125" style="870"/>
    <col min="7944" max="7944" width="11.7109375" style="870" customWidth="1"/>
    <col min="7945" max="7945" width="12.140625" style="870" customWidth="1"/>
    <col min="7946" max="7946" width="11.28515625" style="870" customWidth="1"/>
    <col min="7947" max="7947" width="11.7109375" style="870" customWidth="1"/>
    <col min="7948" max="7948" width="12" style="870" customWidth="1"/>
    <col min="7949" max="7949" width="14.140625" style="870" customWidth="1"/>
    <col min="7950" max="8195" width="11.42578125" style="870"/>
    <col min="8196" max="8196" width="21.7109375" style="870" customWidth="1"/>
    <col min="8197" max="8197" width="9.7109375" style="870" customWidth="1"/>
    <col min="8198" max="8198" width="10.85546875" style="870" customWidth="1"/>
    <col min="8199" max="8199" width="11.42578125" style="870"/>
    <col min="8200" max="8200" width="11.7109375" style="870" customWidth="1"/>
    <col min="8201" max="8201" width="12.140625" style="870" customWidth="1"/>
    <col min="8202" max="8202" width="11.28515625" style="870" customWidth="1"/>
    <col min="8203" max="8203" width="11.7109375" style="870" customWidth="1"/>
    <col min="8204" max="8204" width="12" style="870" customWidth="1"/>
    <col min="8205" max="8205" width="14.140625" style="870" customWidth="1"/>
    <col min="8206" max="8451" width="11.42578125" style="870"/>
    <col min="8452" max="8452" width="21.7109375" style="870" customWidth="1"/>
    <col min="8453" max="8453" width="9.7109375" style="870" customWidth="1"/>
    <col min="8454" max="8454" width="10.85546875" style="870" customWidth="1"/>
    <col min="8455" max="8455" width="11.42578125" style="870"/>
    <col min="8456" max="8456" width="11.7109375" style="870" customWidth="1"/>
    <col min="8457" max="8457" width="12.140625" style="870" customWidth="1"/>
    <col min="8458" max="8458" width="11.28515625" style="870" customWidth="1"/>
    <col min="8459" max="8459" width="11.7109375" style="870" customWidth="1"/>
    <col min="8460" max="8460" width="12" style="870" customWidth="1"/>
    <col min="8461" max="8461" width="14.140625" style="870" customWidth="1"/>
    <col min="8462" max="8707" width="11.42578125" style="870"/>
    <col min="8708" max="8708" width="21.7109375" style="870" customWidth="1"/>
    <col min="8709" max="8709" width="9.7109375" style="870" customWidth="1"/>
    <col min="8710" max="8710" width="10.85546875" style="870" customWidth="1"/>
    <col min="8711" max="8711" width="11.42578125" style="870"/>
    <col min="8712" max="8712" width="11.7109375" style="870" customWidth="1"/>
    <col min="8713" max="8713" width="12.140625" style="870" customWidth="1"/>
    <col min="8714" max="8714" width="11.28515625" style="870" customWidth="1"/>
    <col min="8715" max="8715" width="11.7109375" style="870" customWidth="1"/>
    <col min="8716" max="8716" width="12" style="870" customWidth="1"/>
    <col min="8717" max="8717" width="14.140625" style="870" customWidth="1"/>
    <col min="8718" max="8963" width="11.42578125" style="870"/>
    <col min="8964" max="8964" width="21.7109375" style="870" customWidth="1"/>
    <col min="8965" max="8965" width="9.7109375" style="870" customWidth="1"/>
    <col min="8966" max="8966" width="10.85546875" style="870" customWidth="1"/>
    <col min="8967" max="8967" width="11.42578125" style="870"/>
    <col min="8968" max="8968" width="11.7109375" style="870" customWidth="1"/>
    <col min="8969" max="8969" width="12.140625" style="870" customWidth="1"/>
    <col min="8970" max="8970" width="11.28515625" style="870" customWidth="1"/>
    <col min="8971" max="8971" width="11.7109375" style="870" customWidth="1"/>
    <col min="8972" max="8972" width="12" style="870" customWidth="1"/>
    <col min="8973" max="8973" width="14.140625" style="870" customWidth="1"/>
    <col min="8974" max="9219" width="11.42578125" style="870"/>
    <col min="9220" max="9220" width="21.7109375" style="870" customWidth="1"/>
    <col min="9221" max="9221" width="9.7109375" style="870" customWidth="1"/>
    <col min="9222" max="9222" width="10.85546875" style="870" customWidth="1"/>
    <col min="9223" max="9223" width="11.42578125" style="870"/>
    <col min="9224" max="9224" width="11.7109375" style="870" customWidth="1"/>
    <col min="9225" max="9225" width="12.140625" style="870" customWidth="1"/>
    <col min="9226" max="9226" width="11.28515625" style="870" customWidth="1"/>
    <col min="9227" max="9227" width="11.7109375" style="870" customWidth="1"/>
    <col min="9228" max="9228" width="12" style="870" customWidth="1"/>
    <col min="9229" max="9229" width="14.140625" style="870" customWidth="1"/>
    <col min="9230" max="9475" width="11.42578125" style="870"/>
    <col min="9476" max="9476" width="21.7109375" style="870" customWidth="1"/>
    <col min="9477" max="9477" width="9.7109375" style="870" customWidth="1"/>
    <col min="9478" max="9478" width="10.85546875" style="870" customWidth="1"/>
    <col min="9479" max="9479" width="11.42578125" style="870"/>
    <col min="9480" max="9480" width="11.7109375" style="870" customWidth="1"/>
    <col min="9481" max="9481" width="12.140625" style="870" customWidth="1"/>
    <col min="9482" max="9482" width="11.28515625" style="870" customWidth="1"/>
    <col min="9483" max="9483" width="11.7109375" style="870" customWidth="1"/>
    <col min="9484" max="9484" width="12" style="870" customWidth="1"/>
    <col min="9485" max="9485" width="14.140625" style="870" customWidth="1"/>
    <col min="9486" max="9731" width="11.42578125" style="870"/>
    <col min="9732" max="9732" width="21.7109375" style="870" customWidth="1"/>
    <col min="9733" max="9733" width="9.7109375" style="870" customWidth="1"/>
    <col min="9734" max="9734" width="10.85546875" style="870" customWidth="1"/>
    <col min="9735" max="9735" width="11.42578125" style="870"/>
    <col min="9736" max="9736" width="11.7109375" style="870" customWidth="1"/>
    <col min="9737" max="9737" width="12.140625" style="870" customWidth="1"/>
    <col min="9738" max="9738" width="11.28515625" style="870" customWidth="1"/>
    <col min="9739" max="9739" width="11.7109375" style="870" customWidth="1"/>
    <col min="9740" max="9740" width="12" style="870" customWidth="1"/>
    <col min="9741" max="9741" width="14.140625" style="870" customWidth="1"/>
    <col min="9742" max="9987" width="11.42578125" style="870"/>
    <col min="9988" max="9988" width="21.7109375" style="870" customWidth="1"/>
    <col min="9989" max="9989" width="9.7109375" style="870" customWidth="1"/>
    <col min="9990" max="9990" width="10.85546875" style="870" customWidth="1"/>
    <col min="9991" max="9991" width="11.42578125" style="870"/>
    <col min="9992" max="9992" width="11.7109375" style="870" customWidth="1"/>
    <col min="9993" max="9993" width="12.140625" style="870" customWidth="1"/>
    <col min="9994" max="9994" width="11.28515625" style="870" customWidth="1"/>
    <col min="9995" max="9995" width="11.7109375" style="870" customWidth="1"/>
    <col min="9996" max="9996" width="12" style="870" customWidth="1"/>
    <col min="9997" max="9997" width="14.140625" style="870" customWidth="1"/>
    <col min="9998" max="10243" width="11.42578125" style="870"/>
    <col min="10244" max="10244" width="21.7109375" style="870" customWidth="1"/>
    <col min="10245" max="10245" width="9.7109375" style="870" customWidth="1"/>
    <col min="10246" max="10246" width="10.85546875" style="870" customWidth="1"/>
    <col min="10247" max="10247" width="11.42578125" style="870"/>
    <col min="10248" max="10248" width="11.7109375" style="870" customWidth="1"/>
    <col min="10249" max="10249" width="12.140625" style="870" customWidth="1"/>
    <col min="10250" max="10250" width="11.28515625" style="870" customWidth="1"/>
    <col min="10251" max="10251" width="11.7109375" style="870" customWidth="1"/>
    <col min="10252" max="10252" width="12" style="870" customWidth="1"/>
    <col min="10253" max="10253" width="14.140625" style="870" customWidth="1"/>
    <col min="10254" max="10499" width="11.42578125" style="870"/>
    <col min="10500" max="10500" width="21.7109375" style="870" customWidth="1"/>
    <col min="10501" max="10501" width="9.7109375" style="870" customWidth="1"/>
    <col min="10502" max="10502" width="10.85546875" style="870" customWidth="1"/>
    <col min="10503" max="10503" width="11.42578125" style="870"/>
    <col min="10504" max="10504" width="11.7109375" style="870" customWidth="1"/>
    <col min="10505" max="10505" width="12.140625" style="870" customWidth="1"/>
    <col min="10506" max="10506" width="11.28515625" style="870" customWidth="1"/>
    <col min="10507" max="10507" width="11.7109375" style="870" customWidth="1"/>
    <col min="10508" max="10508" width="12" style="870" customWidth="1"/>
    <col min="10509" max="10509" width="14.140625" style="870" customWidth="1"/>
    <col min="10510" max="10755" width="11.42578125" style="870"/>
    <col min="10756" max="10756" width="21.7109375" style="870" customWidth="1"/>
    <col min="10757" max="10757" width="9.7109375" style="870" customWidth="1"/>
    <col min="10758" max="10758" width="10.85546875" style="870" customWidth="1"/>
    <col min="10759" max="10759" width="11.42578125" style="870"/>
    <col min="10760" max="10760" width="11.7109375" style="870" customWidth="1"/>
    <col min="10761" max="10761" width="12.140625" style="870" customWidth="1"/>
    <col min="10762" max="10762" width="11.28515625" style="870" customWidth="1"/>
    <col min="10763" max="10763" width="11.7109375" style="870" customWidth="1"/>
    <col min="10764" max="10764" width="12" style="870" customWidth="1"/>
    <col min="10765" max="10765" width="14.140625" style="870" customWidth="1"/>
    <col min="10766" max="11011" width="11.42578125" style="870"/>
    <col min="11012" max="11012" width="21.7109375" style="870" customWidth="1"/>
    <col min="11013" max="11013" width="9.7109375" style="870" customWidth="1"/>
    <col min="11014" max="11014" width="10.85546875" style="870" customWidth="1"/>
    <col min="11015" max="11015" width="11.42578125" style="870"/>
    <col min="11016" max="11016" width="11.7109375" style="870" customWidth="1"/>
    <col min="11017" max="11017" width="12.140625" style="870" customWidth="1"/>
    <col min="11018" max="11018" width="11.28515625" style="870" customWidth="1"/>
    <col min="11019" max="11019" width="11.7109375" style="870" customWidth="1"/>
    <col min="11020" max="11020" width="12" style="870" customWidth="1"/>
    <col min="11021" max="11021" width="14.140625" style="870" customWidth="1"/>
    <col min="11022" max="11267" width="11.42578125" style="870"/>
    <col min="11268" max="11268" width="21.7109375" style="870" customWidth="1"/>
    <col min="11269" max="11269" width="9.7109375" style="870" customWidth="1"/>
    <col min="11270" max="11270" width="10.85546875" style="870" customWidth="1"/>
    <col min="11271" max="11271" width="11.42578125" style="870"/>
    <col min="11272" max="11272" width="11.7109375" style="870" customWidth="1"/>
    <col min="11273" max="11273" width="12.140625" style="870" customWidth="1"/>
    <col min="11274" max="11274" width="11.28515625" style="870" customWidth="1"/>
    <col min="11275" max="11275" width="11.7109375" style="870" customWidth="1"/>
    <col min="11276" max="11276" width="12" style="870" customWidth="1"/>
    <col min="11277" max="11277" width="14.140625" style="870" customWidth="1"/>
    <col min="11278" max="11523" width="11.42578125" style="870"/>
    <col min="11524" max="11524" width="21.7109375" style="870" customWidth="1"/>
    <col min="11525" max="11525" width="9.7109375" style="870" customWidth="1"/>
    <col min="11526" max="11526" width="10.85546875" style="870" customWidth="1"/>
    <col min="11527" max="11527" width="11.42578125" style="870"/>
    <col min="11528" max="11528" width="11.7109375" style="870" customWidth="1"/>
    <col min="11529" max="11529" width="12.140625" style="870" customWidth="1"/>
    <col min="11530" max="11530" width="11.28515625" style="870" customWidth="1"/>
    <col min="11531" max="11531" width="11.7109375" style="870" customWidth="1"/>
    <col min="11532" max="11532" width="12" style="870" customWidth="1"/>
    <col min="11533" max="11533" width="14.140625" style="870" customWidth="1"/>
    <col min="11534" max="11779" width="11.42578125" style="870"/>
    <col min="11780" max="11780" width="21.7109375" style="870" customWidth="1"/>
    <col min="11781" max="11781" width="9.7109375" style="870" customWidth="1"/>
    <col min="11782" max="11782" width="10.85546875" style="870" customWidth="1"/>
    <col min="11783" max="11783" width="11.42578125" style="870"/>
    <col min="11784" max="11784" width="11.7109375" style="870" customWidth="1"/>
    <col min="11785" max="11785" width="12.140625" style="870" customWidth="1"/>
    <col min="11786" max="11786" width="11.28515625" style="870" customWidth="1"/>
    <col min="11787" max="11787" width="11.7109375" style="870" customWidth="1"/>
    <col min="11788" max="11788" width="12" style="870" customWidth="1"/>
    <col min="11789" max="11789" width="14.140625" style="870" customWidth="1"/>
    <col min="11790" max="12035" width="11.42578125" style="870"/>
    <col min="12036" max="12036" width="21.7109375" style="870" customWidth="1"/>
    <col min="12037" max="12037" width="9.7109375" style="870" customWidth="1"/>
    <col min="12038" max="12038" width="10.85546875" style="870" customWidth="1"/>
    <col min="12039" max="12039" width="11.42578125" style="870"/>
    <col min="12040" max="12040" width="11.7109375" style="870" customWidth="1"/>
    <col min="12041" max="12041" width="12.140625" style="870" customWidth="1"/>
    <col min="12042" max="12042" width="11.28515625" style="870" customWidth="1"/>
    <col min="12043" max="12043" width="11.7109375" style="870" customWidth="1"/>
    <col min="12044" max="12044" width="12" style="870" customWidth="1"/>
    <col min="12045" max="12045" width="14.140625" style="870" customWidth="1"/>
    <col min="12046" max="12291" width="11.42578125" style="870"/>
    <col min="12292" max="12292" width="21.7109375" style="870" customWidth="1"/>
    <col min="12293" max="12293" width="9.7109375" style="870" customWidth="1"/>
    <col min="12294" max="12294" width="10.85546875" style="870" customWidth="1"/>
    <col min="12295" max="12295" width="11.42578125" style="870"/>
    <col min="12296" max="12296" width="11.7109375" style="870" customWidth="1"/>
    <col min="12297" max="12297" width="12.140625" style="870" customWidth="1"/>
    <col min="12298" max="12298" width="11.28515625" style="870" customWidth="1"/>
    <col min="12299" max="12299" width="11.7109375" style="870" customWidth="1"/>
    <col min="12300" max="12300" width="12" style="870" customWidth="1"/>
    <col min="12301" max="12301" width="14.140625" style="870" customWidth="1"/>
    <col min="12302" max="12547" width="11.42578125" style="870"/>
    <col min="12548" max="12548" width="21.7109375" style="870" customWidth="1"/>
    <col min="12549" max="12549" width="9.7109375" style="870" customWidth="1"/>
    <col min="12550" max="12550" width="10.85546875" style="870" customWidth="1"/>
    <col min="12551" max="12551" width="11.42578125" style="870"/>
    <col min="12552" max="12552" width="11.7109375" style="870" customWidth="1"/>
    <col min="12553" max="12553" width="12.140625" style="870" customWidth="1"/>
    <col min="12554" max="12554" width="11.28515625" style="870" customWidth="1"/>
    <col min="12555" max="12555" width="11.7109375" style="870" customWidth="1"/>
    <col min="12556" max="12556" width="12" style="870" customWidth="1"/>
    <col min="12557" max="12557" width="14.140625" style="870" customWidth="1"/>
    <col min="12558" max="12803" width="11.42578125" style="870"/>
    <col min="12804" max="12804" width="21.7109375" style="870" customWidth="1"/>
    <col min="12805" max="12805" width="9.7109375" style="870" customWidth="1"/>
    <col min="12806" max="12806" width="10.85546875" style="870" customWidth="1"/>
    <col min="12807" max="12807" width="11.42578125" style="870"/>
    <col min="12808" max="12808" width="11.7109375" style="870" customWidth="1"/>
    <col min="12809" max="12809" width="12.140625" style="870" customWidth="1"/>
    <col min="12810" max="12810" width="11.28515625" style="870" customWidth="1"/>
    <col min="12811" max="12811" width="11.7109375" style="870" customWidth="1"/>
    <col min="12812" max="12812" width="12" style="870" customWidth="1"/>
    <col min="12813" max="12813" width="14.140625" style="870" customWidth="1"/>
    <col min="12814" max="13059" width="11.42578125" style="870"/>
    <col min="13060" max="13060" width="21.7109375" style="870" customWidth="1"/>
    <col min="13061" max="13061" width="9.7109375" style="870" customWidth="1"/>
    <col min="13062" max="13062" width="10.85546875" style="870" customWidth="1"/>
    <col min="13063" max="13063" width="11.42578125" style="870"/>
    <col min="13064" max="13064" width="11.7109375" style="870" customWidth="1"/>
    <col min="13065" max="13065" width="12.140625" style="870" customWidth="1"/>
    <col min="13066" max="13066" width="11.28515625" style="870" customWidth="1"/>
    <col min="13067" max="13067" width="11.7109375" style="870" customWidth="1"/>
    <col min="13068" max="13068" width="12" style="870" customWidth="1"/>
    <col min="13069" max="13069" width="14.140625" style="870" customWidth="1"/>
    <col min="13070" max="13315" width="11.42578125" style="870"/>
    <col min="13316" max="13316" width="21.7109375" style="870" customWidth="1"/>
    <col min="13317" max="13317" width="9.7109375" style="870" customWidth="1"/>
    <col min="13318" max="13318" width="10.85546875" style="870" customWidth="1"/>
    <col min="13319" max="13319" width="11.42578125" style="870"/>
    <col min="13320" max="13320" width="11.7109375" style="870" customWidth="1"/>
    <col min="13321" max="13321" width="12.140625" style="870" customWidth="1"/>
    <col min="13322" max="13322" width="11.28515625" style="870" customWidth="1"/>
    <col min="13323" max="13323" width="11.7109375" style="870" customWidth="1"/>
    <col min="13324" max="13324" width="12" style="870" customWidth="1"/>
    <col min="13325" max="13325" width="14.140625" style="870" customWidth="1"/>
    <col min="13326" max="13571" width="11.42578125" style="870"/>
    <col min="13572" max="13572" width="21.7109375" style="870" customWidth="1"/>
    <col min="13573" max="13573" width="9.7109375" style="870" customWidth="1"/>
    <col min="13574" max="13574" width="10.85546875" style="870" customWidth="1"/>
    <col min="13575" max="13575" width="11.42578125" style="870"/>
    <col min="13576" max="13576" width="11.7109375" style="870" customWidth="1"/>
    <col min="13577" max="13577" width="12.140625" style="870" customWidth="1"/>
    <col min="13578" max="13578" width="11.28515625" style="870" customWidth="1"/>
    <col min="13579" max="13579" width="11.7109375" style="870" customWidth="1"/>
    <col min="13580" max="13580" width="12" style="870" customWidth="1"/>
    <col min="13581" max="13581" width="14.140625" style="870" customWidth="1"/>
    <col min="13582" max="13827" width="11.42578125" style="870"/>
    <col min="13828" max="13828" width="21.7109375" style="870" customWidth="1"/>
    <col min="13829" max="13829" width="9.7109375" style="870" customWidth="1"/>
    <col min="13830" max="13830" width="10.85546875" style="870" customWidth="1"/>
    <col min="13831" max="13831" width="11.42578125" style="870"/>
    <col min="13832" max="13832" width="11.7109375" style="870" customWidth="1"/>
    <col min="13833" max="13833" width="12.140625" style="870" customWidth="1"/>
    <col min="13834" max="13834" width="11.28515625" style="870" customWidth="1"/>
    <col min="13835" max="13835" width="11.7109375" style="870" customWidth="1"/>
    <col min="13836" max="13836" width="12" style="870" customWidth="1"/>
    <col min="13837" max="13837" width="14.140625" style="870" customWidth="1"/>
    <col min="13838" max="14083" width="11.42578125" style="870"/>
    <col min="14084" max="14084" width="21.7109375" style="870" customWidth="1"/>
    <col min="14085" max="14085" width="9.7109375" style="870" customWidth="1"/>
    <col min="14086" max="14086" width="10.85546875" style="870" customWidth="1"/>
    <col min="14087" max="14087" width="11.42578125" style="870"/>
    <col min="14088" max="14088" width="11.7109375" style="870" customWidth="1"/>
    <col min="14089" max="14089" width="12.140625" style="870" customWidth="1"/>
    <col min="14090" max="14090" width="11.28515625" style="870" customWidth="1"/>
    <col min="14091" max="14091" width="11.7109375" style="870" customWidth="1"/>
    <col min="14092" max="14092" width="12" style="870" customWidth="1"/>
    <col min="14093" max="14093" width="14.140625" style="870" customWidth="1"/>
    <col min="14094" max="14339" width="11.42578125" style="870"/>
    <col min="14340" max="14340" width="21.7109375" style="870" customWidth="1"/>
    <col min="14341" max="14341" width="9.7109375" style="870" customWidth="1"/>
    <col min="14342" max="14342" width="10.85546875" style="870" customWidth="1"/>
    <col min="14343" max="14343" width="11.42578125" style="870"/>
    <col min="14344" max="14344" width="11.7109375" style="870" customWidth="1"/>
    <col min="14345" max="14345" width="12.140625" style="870" customWidth="1"/>
    <col min="14346" max="14346" width="11.28515625" style="870" customWidth="1"/>
    <col min="14347" max="14347" width="11.7109375" style="870" customWidth="1"/>
    <col min="14348" max="14348" width="12" style="870" customWidth="1"/>
    <col min="14349" max="14349" width="14.140625" style="870" customWidth="1"/>
    <col min="14350" max="14595" width="11.42578125" style="870"/>
    <col min="14596" max="14596" width="21.7109375" style="870" customWidth="1"/>
    <col min="14597" max="14597" width="9.7109375" style="870" customWidth="1"/>
    <col min="14598" max="14598" width="10.85546875" style="870" customWidth="1"/>
    <col min="14599" max="14599" width="11.42578125" style="870"/>
    <col min="14600" max="14600" width="11.7109375" style="870" customWidth="1"/>
    <col min="14601" max="14601" width="12.140625" style="870" customWidth="1"/>
    <col min="14602" max="14602" width="11.28515625" style="870" customWidth="1"/>
    <col min="14603" max="14603" width="11.7109375" style="870" customWidth="1"/>
    <col min="14604" max="14604" width="12" style="870" customWidth="1"/>
    <col min="14605" max="14605" width="14.140625" style="870" customWidth="1"/>
    <col min="14606" max="14851" width="11.42578125" style="870"/>
    <col min="14852" max="14852" width="21.7109375" style="870" customWidth="1"/>
    <col min="14853" max="14853" width="9.7109375" style="870" customWidth="1"/>
    <col min="14854" max="14854" width="10.85546875" style="870" customWidth="1"/>
    <col min="14855" max="14855" width="11.42578125" style="870"/>
    <col min="14856" max="14856" width="11.7109375" style="870" customWidth="1"/>
    <col min="14857" max="14857" width="12.140625" style="870" customWidth="1"/>
    <col min="14858" max="14858" width="11.28515625" style="870" customWidth="1"/>
    <col min="14859" max="14859" width="11.7109375" style="870" customWidth="1"/>
    <col min="14860" max="14860" width="12" style="870" customWidth="1"/>
    <col min="14861" max="14861" width="14.140625" style="870" customWidth="1"/>
    <col min="14862" max="15107" width="11.42578125" style="870"/>
    <col min="15108" max="15108" width="21.7109375" style="870" customWidth="1"/>
    <col min="15109" max="15109" width="9.7109375" style="870" customWidth="1"/>
    <col min="15110" max="15110" width="10.85546875" style="870" customWidth="1"/>
    <col min="15111" max="15111" width="11.42578125" style="870"/>
    <col min="15112" max="15112" width="11.7109375" style="870" customWidth="1"/>
    <col min="15113" max="15113" width="12.140625" style="870" customWidth="1"/>
    <col min="15114" max="15114" width="11.28515625" style="870" customWidth="1"/>
    <col min="15115" max="15115" width="11.7109375" style="870" customWidth="1"/>
    <col min="15116" max="15116" width="12" style="870" customWidth="1"/>
    <col min="15117" max="15117" width="14.140625" style="870" customWidth="1"/>
    <col min="15118" max="15363" width="11.42578125" style="870"/>
    <col min="15364" max="15364" width="21.7109375" style="870" customWidth="1"/>
    <col min="15365" max="15365" width="9.7109375" style="870" customWidth="1"/>
    <col min="15366" max="15366" width="10.85546875" style="870" customWidth="1"/>
    <col min="15367" max="15367" width="11.42578125" style="870"/>
    <col min="15368" max="15368" width="11.7109375" style="870" customWidth="1"/>
    <col min="15369" max="15369" width="12.140625" style="870" customWidth="1"/>
    <col min="15370" max="15370" width="11.28515625" style="870" customWidth="1"/>
    <col min="15371" max="15371" width="11.7109375" style="870" customWidth="1"/>
    <col min="15372" max="15372" width="12" style="870" customWidth="1"/>
    <col min="15373" max="15373" width="14.140625" style="870" customWidth="1"/>
    <col min="15374" max="15619" width="11.42578125" style="870"/>
    <col min="15620" max="15620" width="21.7109375" style="870" customWidth="1"/>
    <col min="15621" max="15621" width="9.7109375" style="870" customWidth="1"/>
    <col min="15622" max="15622" width="10.85546875" style="870" customWidth="1"/>
    <col min="15623" max="15623" width="11.42578125" style="870"/>
    <col min="15624" max="15624" width="11.7109375" style="870" customWidth="1"/>
    <col min="15625" max="15625" width="12.140625" style="870" customWidth="1"/>
    <col min="15626" max="15626" width="11.28515625" style="870" customWidth="1"/>
    <col min="15627" max="15627" width="11.7109375" style="870" customWidth="1"/>
    <col min="15628" max="15628" width="12" style="870" customWidth="1"/>
    <col min="15629" max="15629" width="14.140625" style="870" customWidth="1"/>
    <col min="15630" max="15875" width="11.42578125" style="870"/>
    <col min="15876" max="15876" width="21.7109375" style="870" customWidth="1"/>
    <col min="15877" max="15877" width="9.7109375" style="870" customWidth="1"/>
    <col min="15878" max="15878" width="10.85546875" style="870" customWidth="1"/>
    <col min="15879" max="15879" width="11.42578125" style="870"/>
    <col min="15880" max="15880" width="11.7109375" style="870" customWidth="1"/>
    <col min="15881" max="15881" width="12.140625" style="870" customWidth="1"/>
    <col min="15882" max="15882" width="11.28515625" style="870" customWidth="1"/>
    <col min="15883" max="15883" width="11.7109375" style="870" customWidth="1"/>
    <col min="15884" max="15884" width="12" style="870" customWidth="1"/>
    <col min="15885" max="15885" width="14.140625" style="870" customWidth="1"/>
    <col min="15886" max="16131" width="11.42578125" style="870"/>
    <col min="16132" max="16132" width="21.7109375" style="870" customWidth="1"/>
    <col min="16133" max="16133" width="9.7109375" style="870" customWidth="1"/>
    <col min="16134" max="16134" width="10.85546875" style="870" customWidth="1"/>
    <col min="16135" max="16135" width="11.42578125" style="870"/>
    <col min="16136" max="16136" width="11.7109375" style="870" customWidth="1"/>
    <col min="16137" max="16137" width="12.140625" style="870" customWidth="1"/>
    <col min="16138" max="16138" width="11.28515625" style="870" customWidth="1"/>
    <col min="16139" max="16139" width="11.7109375" style="870" customWidth="1"/>
    <col min="16140" max="16140" width="12" style="870" customWidth="1"/>
    <col min="16141" max="16141" width="14.140625" style="870" customWidth="1"/>
    <col min="16142" max="16384" width="11.42578125" style="870"/>
  </cols>
  <sheetData>
    <row r="1" spans="1:17" ht="12.75" thickBot="1">
      <c r="A1" s="1533" t="s">
        <v>443</v>
      </c>
      <c r="B1" s="1534"/>
      <c r="C1" s="1534"/>
      <c r="D1" s="1534"/>
      <c r="E1" s="1534"/>
      <c r="F1" s="1534"/>
      <c r="G1" s="1534"/>
      <c r="H1" s="1534"/>
      <c r="I1" s="1534"/>
      <c r="J1" s="1534"/>
      <c r="K1" s="1534"/>
      <c r="L1" s="1534"/>
      <c r="M1" s="1535"/>
      <c r="N1" s="869"/>
      <c r="O1" s="869"/>
      <c r="P1" s="869"/>
      <c r="Q1" s="869"/>
    </row>
    <row r="2" spans="1:17" ht="12.75" thickBot="1">
      <c r="A2" s="869"/>
      <c r="B2" s="869"/>
      <c r="C2" s="869"/>
      <c r="D2" s="869"/>
      <c r="E2" s="869"/>
      <c r="F2" s="869"/>
      <c r="G2" s="869"/>
      <c r="H2" s="869"/>
      <c r="I2" s="869"/>
      <c r="J2" s="869"/>
      <c r="K2" s="869"/>
      <c r="L2" s="869"/>
    </row>
    <row r="3" spans="1:17" ht="13.5" thickBot="1">
      <c r="A3" s="871" t="s">
        <v>444</v>
      </c>
      <c r="B3" s="1536" t="s">
        <v>445</v>
      </c>
      <c r="C3" s="1537"/>
      <c r="D3" s="1537"/>
      <c r="E3" s="1537"/>
      <c r="F3" s="1537"/>
      <c r="G3" s="1538"/>
      <c r="H3" s="869"/>
      <c r="I3" s="869"/>
      <c r="J3" s="869"/>
      <c r="K3" s="869"/>
      <c r="L3" s="869"/>
    </row>
    <row r="4" spans="1:17">
      <c r="A4" s="871" t="s">
        <v>446</v>
      </c>
      <c r="B4" s="872">
        <v>45771</v>
      </c>
      <c r="C4" s="873"/>
      <c r="D4" s="873"/>
      <c r="E4" s="873"/>
      <c r="F4" s="873"/>
      <c r="G4" s="869"/>
      <c r="H4" s="869"/>
      <c r="I4" s="869"/>
      <c r="J4" s="869"/>
      <c r="K4" s="869"/>
      <c r="L4" s="869"/>
    </row>
    <row r="5" spans="1:17">
      <c r="A5" s="871" t="s">
        <v>447</v>
      </c>
      <c r="B5" s="874" t="s">
        <v>448</v>
      </c>
      <c r="C5" s="871"/>
      <c r="D5" s="871"/>
      <c r="E5" s="871"/>
      <c r="F5" s="871"/>
      <c r="G5" s="869"/>
      <c r="H5" s="869"/>
      <c r="I5" s="869"/>
      <c r="J5" s="869"/>
      <c r="K5" s="869"/>
      <c r="L5" s="869"/>
    </row>
    <row r="6" spans="1:17">
      <c r="A6" s="871"/>
      <c r="B6" s="871"/>
      <c r="C6" s="871"/>
      <c r="D6" s="871"/>
      <c r="E6" s="871"/>
      <c r="F6" s="871"/>
      <c r="G6" s="871"/>
      <c r="H6" s="871"/>
      <c r="I6" s="871"/>
      <c r="J6" s="871"/>
      <c r="K6" s="871"/>
      <c r="L6" s="871"/>
    </row>
    <row r="7" spans="1:17">
      <c r="A7" s="871" t="s">
        <v>449</v>
      </c>
      <c r="B7" s="871"/>
      <c r="G7" s="871"/>
      <c r="H7" s="871"/>
      <c r="I7" s="871"/>
      <c r="J7" s="871"/>
      <c r="K7" s="871"/>
      <c r="L7" s="871"/>
    </row>
    <row r="8" spans="1:17">
      <c r="A8" s="875" t="s">
        <v>450</v>
      </c>
      <c r="B8" s="876">
        <v>8</v>
      </c>
      <c r="C8" s="1539">
        <f>+B8+B9+B10+B11+B12+B13</f>
        <v>10</v>
      </c>
    </row>
    <row r="9" spans="1:17" ht="12.75">
      <c r="A9" s="877" t="s">
        <v>451</v>
      </c>
      <c r="B9" s="878"/>
      <c r="C9" s="1539"/>
      <c r="E9" s="870" t="s">
        <v>452</v>
      </c>
      <c r="O9" s="879"/>
    </row>
    <row r="10" spans="1:17" ht="12.75">
      <c r="A10" s="880" t="s">
        <v>453</v>
      </c>
      <c r="B10" s="881">
        <v>1</v>
      </c>
      <c r="C10" s="1539"/>
      <c r="O10" s="879"/>
    </row>
    <row r="11" spans="1:17" ht="12.75">
      <c r="A11" s="877" t="s">
        <v>454</v>
      </c>
      <c r="B11" s="878">
        <v>1</v>
      </c>
      <c r="C11" s="1539"/>
      <c r="O11" s="879"/>
    </row>
    <row r="12" spans="1:17" ht="12.75">
      <c r="A12" s="882" t="s">
        <v>455</v>
      </c>
      <c r="B12" s="883">
        <v>0</v>
      </c>
      <c r="C12" s="1539"/>
      <c r="O12" s="879"/>
    </row>
    <row r="13" spans="1:17" ht="12.75">
      <c r="A13" s="884" t="s">
        <v>456</v>
      </c>
      <c r="B13" s="885"/>
      <c r="C13" s="1539"/>
      <c r="O13" s="879"/>
    </row>
    <row r="14" spans="1:17" ht="12.75">
      <c r="A14" s="886" t="s">
        <v>457</v>
      </c>
      <c r="B14" s="887"/>
      <c r="I14" s="888"/>
      <c r="O14" s="889"/>
    </row>
    <row r="15" spans="1:17" ht="12.75">
      <c r="A15" s="871"/>
      <c r="B15" s="871"/>
      <c r="G15" s="870" t="s">
        <v>458</v>
      </c>
      <c r="I15" s="981">
        <f>SUMIF('PLANILLA MENSUAL'!BP12:BP67,"EPS",'PLANILLA MENSUAL'!BN12:BN67)</f>
        <v>5636.9956056847459</v>
      </c>
      <c r="J15" s="1133">
        <v>5262.91</v>
      </c>
      <c r="K15" s="890">
        <f>+I15-J15</f>
        <v>374.08560568474604</v>
      </c>
      <c r="O15" s="889"/>
    </row>
    <row r="16" spans="1:17" ht="12.75">
      <c r="A16" s="871" t="s">
        <v>459</v>
      </c>
      <c r="B16" s="871"/>
      <c r="I16" s="870">
        <f>+I14*9%</f>
        <v>0</v>
      </c>
      <c r="O16" s="879"/>
    </row>
    <row r="17" spans="1:20">
      <c r="A17" s="891" t="s">
        <v>460</v>
      </c>
      <c r="B17" s="892">
        <v>10</v>
      </c>
      <c r="C17" s="870" t="s">
        <v>461</v>
      </c>
      <c r="E17" s="870" t="s">
        <v>462</v>
      </c>
      <c r="G17" s="870" t="s">
        <v>463</v>
      </c>
      <c r="I17" s="888">
        <f>+I15*12</f>
        <v>67643.947268216958</v>
      </c>
    </row>
    <row r="18" spans="1:20">
      <c r="A18" s="891" t="s">
        <v>464</v>
      </c>
      <c r="B18" s="893">
        <f>+I17</f>
        <v>67643.947268216958</v>
      </c>
      <c r="L18" s="871"/>
    </row>
    <row r="19" spans="1:20">
      <c r="A19" s="891" t="s">
        <v>465</v>
      </c>
      <c r="B19" s="893">
        <f>B18*25%</f>
        <v>16910.98681705424</v>
      </c>
      <c r="L19" s="871"/>
    </row>
    <row r="20" spans="1:20">
      <c r="A20" s="891" t="s">
        <v>466</v>
      </c>
      <c r="B20" s="893">
        <f>B19/12</f>
        <v>1409.2489014211867</v>
      </c>
      <c r="L20" s="871"/>
    </row>
    <row r="21" spans="1:20">
      <c r="A21" s="891" t="s">
        <v>467</v>
      </c>
      <c r="B21" s="894">
        <f>B20/B17</f>
        <v>140.92489014211867</v>
      </c>
      <c r="C21" s="895" t="s">
        <v>468</v>
      </c>
      <c r="D21" s="895"/>
      <c r="E21" s="895"/>
      <c r="F21" s="895"/>
      <c r="L21" s="871"/>
    </row>
    <row r="22" spans="1:20">
      <c r="A22" s="871"/>
      <c r="B22" s="896"/>
      <c r="C22" s="896"/>
      <c r="D22" s="896"/>
      <c r="E22" s="896"/>
      <c r="F22" s="896"/>
      <c r="G22" s="871"/>
      <c r="H22" s="871"/>
      <c r="I22" s="871"/>
      <c r="J22" s="871"/>
      <c r="K22" s="871"/>
      <c r="L22" s="871"/>
    </row>
    <row r="23" spans="1:20" ht="12" customHeight="1">
      <c r="A23" s="871"/>
      <c r="B23" s="1540" t="s">
        <v>469</v>
      </c>
      <c r="C23" s="1541"/>
      <c r="D23" s="1541"/>
      <c r="E23" s="1541"/>
      <c r="F23" s="1542"/>
      <c r="G23" s="1549" t="s">
        <v>470</v>
      </c>
      <c r="H23" s="1550"/>
      <c r="I23" s="1550"/>
      <c r="J23" s="1550"/>
      <c r="K23" s="1551"/>
      <c r="L23" s="1558" t="s">
        <v>471</v>
      </c>
      <c r="M23" s="1559" t="s">
        <v>472</v>
      </c>
      <c r="N23" s="1560"/>
      <c r="O23" s="1560"/>
      <c r="P23" s="1560"/>
      <c r="Q23" s="1561"/>
    </row>
    <row r="24" spans="1:20">
      <c r="A24" s="871"/>
      <c r="B24" s="1543"/>
      <c r="C24" s="1544"/>
      <c r="D24" s="1544"/>
      <c r="E24" s="1544"/>
      <c r="F24" s="1545"/>
      <c r="G24" s="1552"/>
      <c r="H24" s="1553"/>
      <c r="I24" s="1553"/>
      <c r="J24" s="1553"/>
      <c r="K24" s="1554"/>
      <c r="L24" s="1558"/>
      <c r="M24" s="1562"/>
      <c r="N24" s="1563"/>
      <c r="O24" s="1563"/>
      <c r="P24" s="1563"/>
      <c r="Q24" s="1564"/>
    </row>
    <row r="25" spans="1:20">
      <c r="A25" s="871" t="s">
        <v>473</v>
      </c>
      <c r="B25" s="1546"/>
      <c r="C25" s="1547"/>
      <c r="D25" s="1547"/>
      <c r="E25" s="1547"/>
      <c r="F25" s="1548"/>
      <c r="G25" s="1555"/>
      <c r="H25" s="1556"/>
      <c r="I25" s="1556"/>
      <c r="J25" s="1556"/>
      <c r="K25" s="1557"/>
      <c r="L25" s="1558"/>
      <c r="M25" s="1565"/>
      <c r="N25" s="1566"/>
      <c r="O25" s="1566"/>
      <c r="P25" s="1566"/>
      <c r="Q25" s="1567"/>
    </row>
    <row r="26" spans="1:20" ht="12" customHeight="1">
      <c r="A26" s="871"/>
      <c r="B26" s="1527" t="s">
        <v>474</v>
      </c>
      <c r="C26" s="1527" t="s">
        <v>475</v>
      </c>
      <c r="D26" s="1529" t="s">
        <v>476</v>
      </c>
      <c r="E26" s="1527" t="s">
        <v>477</v>
      </c>
      <c r="F26" s="1530" t="s">
        <v>478</v>
      </c>
      <c r="G26" s="1525" t="s">
        <v>474</v>
      </c>
      <c r="H26" s="1570" t="s">
        <v>475</v>
      </c>
      <c r="I26" s="1525" t="s">
        <v>476</v>
      </c>
      <c r="J26" s="1525" t="s">
        <v>477</v>
      </c>
      <c r="K26" s="1525" t="s">
        <v>478</v>
      </c>
      <c r="L26" s="1571" t="s">
        <v>479</v>
      </c>
      <c r="M26" s="1572" t="s">
        <v>474</v>
      </c>
      <c r="N26" s="1521" t="s">
        <v>475</v>
      </c>
      <c r="O26" s="1523" t="s">
        <v>476</v>
      </c>
      <c r="P26" s="1523" t="s">
        <v>477</v>
      </c>
      <c r="Q26" s="1568" t="s">
        <v>478</v>
      </c>
    </row>
    <row r="27" spans="1:20">
      <c r="A27" s="871"/>
      <c r="B27" s="1528"/>
      <c r="C27" s="1528"/>
      <c r="D27" s="1528"/>
      <c r="E27" s="1528"/>
      <c r="F27" s="1531"/>
      <c r="G27" s="1526"/>
      <c r="H27" s="1526"/>
      <c r="I27" s="1526"/>
      <c r="J27" s="1526"/>
      <c r="K27" s="1526"/>
      <c r="L27" s="1571"/>
      <c r="M27" s="1573"/>
      <c r="N27" s="1522"/>
      <c r="O27" s="1524"/>
      <c r="P27" s="1524"/>
      <c r="Q27" s="1569"/>
    </row>
    <row r="28" spans="1:20">
      <c r="A28" s="891" t="s">
        <v>480</v>
      </c>
      <c r="B28" s="897">
        <v>185</v>
      </c>
      <c r="C28" s="1172">
        <v>263</v>
      </c>
      <c r="D28" s="1172">
        <v>268</v>
      </c>
      <c r="E28" s="898">
        <v>339</v>
      </c>
      <c r="F28" s="897">
        <v>416</v>
      </c>
      <c r="G28" s="899">
        <f>+B28/1.18</f>
        <v>156.77966101694915</v>
      </c>
      <c r="H28" s="899">
        <f>+C28/1.18</f>
        <v>222.88135593220341</v>
      </c>
      <c r="I28" s="899">
        <f>+D28/1.18</f>
        <v>227.11864406779662</v>
      </c>
      <c r="J28" s="899">
        <f t="shared" ref="H28:K32" si="0">+E28/1.18</f>
        <v>287.28813559322037</v>
      </c>
      <c r="K28" s="899">
        <f t="shared" si="0"/>
        <v>352.54237288135596</v>
      </c>
      <c r="L28" s="894">
        <f>+B21</f>
        <v>140.92489014211867</v>
      </c>
      <c r="M28" s="900">
        <f>+G28-L28</f>
        <v>15.854770874830479</v>
      </c>
      <c r="N28" s="900">
        <f>+H28-L28</f>
        <v>81.956465790084735</v>
      </c>
      <c r="O28" s="900">
        <f>+I28-L28</f>
        <v>86.193753925677953</v>
      </c>
      <c r="P28" s="900">
        <f>+J28-L28</f>
        <v>146.3632454511017</v>
      </c>
      <c r="Q28" s="900">
        <f>+K28-L28</f>
        <v>211.61748273923729</v>
      </c>
    </row>
    <row r="29" spans="1:20">
      <c r="A29" s="891" t="s">
        <v>481</v>
      </c>
      <c r="B29" s="897">
        <f>+B28*2</f>
        <v>370</v>
      </c>
      <c r="C29" s="897">
        <f>+C28*2</f>
        <v>526</v>
      </c>
      <c r="D29" s="897">
        <f>+D28*2</f>
        <v>536</v>
      </c>
      <c r="E29" s="897">
        <f>+E28*2</f>
        <v>678</v>
      </c>
      <c r="F29" s="897">
        <f>+F28*2</f>
        <v>832</v>
      </c>
      <c r="G29" s="899">
        <f t="shared" ref="G29:G32" si="1">+B29/1.18</f>
        <v>313.5593220338983</v>
      </c>
      <c r="H29" s="899">
        <f t="shared" si="0"/>
        <v>445.76271186440681</v>
      </c>
      <c r="I29" s="899">
        <f t="shared" si="0"/>
        <v>454.23728813559325</v>
      </c>
      <c r="J29" s="899">
        <f t="shared" si="0"/>
        <v>574.57627118644075</v>
      </c>
      <c r="K29" s="899">
        <f t="shared" si="0"/>
        <v>705.08474576271192</v>
      </c>
      <c r="L29" s="894">
        <f>+L28*2</f>
        <v>281.84978028423734</v>
      </c>
      <c r="M29" s="900">
        <f t="shared" ref="M29:M32" si="2">+G29-L29</f>
        <v>31.709541749660957</v>
      </c>
      <c r="N29" s="900">
        <f t="shared" ref="N29:N32" si="3">+H29-L29</f>
        <v>163.91293158016947</v>
      </c>
      <c r="O29" s="900">
        <f t="shared" ref="O29:O32" si="4">+I29-L29</f>
        <v>172.38750785135591</v>
      </c>
      <c r="P29" s="900">
        <f t="shared" ref="P29:P32" si="5">+J29-L29</f>
        <v>292.72649090220341</v>
      </c>
      <c r="Q29" s="900">
        <f t="shared" ref="Q29:Q32" si="6">+K29-L29</f>
        <v>423.23496547847458</v>
      </c>
      <c r="S29" s="870">
        <f>+L28*0.18</f>
        <v>25.366480225581359</v>
      </c>
      <c r="T29" s="890">
        <f>+L28+S29</f>
        <v>166.29137036770004</v>
      </c>
    </row>
    <row r="30" spans="1:20">
      <c r="A30" s="891" t="s">
        <v>482</v>
      </c>
      <c r="B30" s="897">
        <f>+B28*3</f>
        <v>555</v>
      </c>
      <c r="C30" s="897">
        <f>+C28*3</f>
        <v>789</v>
      </c>
      <c r="D30" s="897">
        <f>+D28*3</f>
        <v>804</v>
      </c>
      <c r="E30" s="897">
        <f>+E28*3</f>
        <v>1017</v>
      </c>
      <c r="F30" s="897">
        <f>+F28*3</f>
        <v>1248</v>
      </c>
      <c r="G30" s="899">
        <f t="shared" si="1"/>
        <v>470.3389830508475</v>
      </c>
      <c r="H30" s="899">
        <f t="shared" si="0"/>
        <v>668.64406779661022</v>
      </c>
      <c r="I30" s="899">
        <f t="shared" si="0"/>
        <v>681.3559322033899</v>
      </c>
      <c r="J30" s="899">
        <f t="shared" si="0"/>
        <v>861.86440677966107</v>
      </c>
      <c r="K30" s="899">
        <f t="shared" si="0"/>
        <v>1057.6271186440679</v>
      </c>
      <c r="L30" s="894">
        <f>+L28*3</f>
        <v>422.77467042635601</v>
      </c>
      <c r="M30" s="900">
        <f t="shared" si="2"/>
        <v>47.564312624491492</v>
      </c>
      <c r="N30" s="900">
        <f t="shared" si="3"/>
        <v>245.86939737025421</v>
      </c>
      <c r="O30" s="900">
        <f t="shared" si="4"/>
        <v>258.58126177703389</v>
      </c>
      <c r="P30" s="900">
        <f t="shared" si="5"/>
        <v>439.08973635330506</v>
      </c>
      <c r="Q30" s="900">
        <f t="shared" si="6"/>
        <v>634.85244821771187</v>
      </c>
    </row>
    <row r="31" spans="1:20">
      <c r="A31" s="901" t="s">
        <v>483</v>
      </c>
      <c r="B31" s="902">
        <f>+B28*4</f>
        <v>740</v>
      </c>
      <c r="C31" s="902">
        <f>+C28*4</f>
        <v>1052</v>
      </c>
      <c r="D31" s="902">
        <f>+D28*4</f>
        <v>1072</v>
      </c>
      <c r="E31" s="902">
        <f>+E28*4</f>
        <v>1356</v>
      </c>
      <c r="F31" s="902">
        <f>+F28*4</f>
        <v>1664</v>
      </c>
      <c r="G31" s="899">
        <f t="shared" si="1"/>
        <v>627.11864406779659</v>
      </c>
      <c r="H31" s="899">
        <f t="shared" si="0"/>
        <v>891.52542372881362</v>
      </c>
      <c r="I31" s="899">
        <f t="shared" si="0"/>
        <v>908.47457627118649</v>
      </c>
      <c r="J31" s="899">
        <f t="shared" si="0"/>
        <v>1149.1525423728815</v>
      </c>
      <c r="K31" s="899">
        <f t="shared" si="0"/>
        <v>1410.1694915254238</v>
      </c>
      <c r="L31" s="894">
        <f>+L28*4</f>
        <v>563.69956056847468</v>
      </c>
      <c r="M31" s="900">
        <f t="shared" si="2"/>
        <v>63.419083499321914</v>
      </c>
      <c r="N31" s="900">
        <f t="shared" si="3"/>
        <v>327.82586316033894</v>
      </c>
      <c r="O31" s="900">
        <f t="shared" si="4"/>
        <v>344.77501570271181</v>
      </c>
      <c r="P31" s="900">
        <f t="shared" si="5"/>
        <v>585.45298180440682</v>
      </c>
      <c r="Q31" s="900">
        <f t="shared" si="6"/>
        <v>846.46993095694916</v>
      </c>
    </row>
    <row r="32" spans="1:20">
      <c r="A32" s="903" t="s">
        <v>484</v>
      </c>
      <c r="B32" s="904">
        <v>740</v>
      </c>
      <c r="C32" s="904">
        <v>956</v>
      </c>
      <c r="D32" s="904">
        <v>976</v>
      </c>
      <c r="E32" s="904">
        <v>1356</v>
      </c>
      <c r="F32" s="904">
        <v>1664</v>
      </c>
      <c r="G32" s="899">
        <f t="shared" si="1"/>
        <v>627.11864406779659</v>
      </c>
      <c r="H32" s="899">
        <f t="shared" si="0"/>
        <v>810.16949152542372</v>
      </c>
      <c r="I32" s="899">
        <f t="shared" si="0"/>
        <v>827.11864406779671</v>
      </c>
      <c r="J32" s="899">
        <f t="shared" si="0"/>
        <v>1149.1525423728815</v>
      </c>
      <c r="K32" s="899">
        <f t="shared" si="0"/>
        <v>1410.1694915254238</v>
      </c>
      <c r="L32" s="894">
        <f>+L28*5</f>
        <v>704.62445071059335</v>
      </c>
      <c r="M32" s="905">
        <f t="shared" si="2"/>
        <v>-77.505806642796756</v>
      </c>
      <c r="N32" s="905">
        <f t="shared" si="3"/>
        <v>105.54504081483037</v>
      </c>
      <c r="O32" s="905">
        <f t="shared" si="4"/>
        <v>122.49419335720336</v>
      </c>
      <c r="P32" s="905">
        <f t="shared" si="5"/>
        <v>444.52809166228815</v>
      </c>
      <c r="Q32" s="905">
        <f t="shared" si="6"/>
        <v>705.54504081483049</v>
      </c>
    </row>
    <row r="33" spans="1:17" s="911" customFormat="1">
      <c r="A33" s="906"/>
      <c r="B33" s="907"/>
      <c r="C33" s="907"/>
      <c r="D33" s="907"/>
      <c r="E33" s="907"/>
      <c r="F33" s="907"/>
      <c r="G33" s="908"/>
      <c r="H33" s="908"/>
      <c r="I33" s="908"/>
      <c r="J33" s="908"/>
      <c r="K33" s="908"/>
      <c r="L33" s="909"/>
      <c r="M33" s="910" t="s">
        <v>474</v>
      </c>
      <c r="N33" s="910" t="s">
        <v>475</v>
      </c>
      <c r="O33" s="910" t="s">
        <v>476</v>
      </c>
      <c r="P33" s="910" t="s">
        <v>477</v>
      </c>
      <c r="Q33" s="910" t="s">
        <v>478</v>
      </c>
    </row>
    <row r="34" spans="1:17">
      <c r="A34" s="912" t="s">
        <v>457</v>
      </c>
      <c r="M34" s="913">
        <v>185</v>
      </c>
      <c r="N34" s="913">
        <f>+C28</f>
        <v>263</v>
      </c>
      <c r="O34" s="913">
        <f>+D28</f>
        <v>268</v>
      </c>
      <c r="P34" s="913">
        <f>+E28</f>
        <v>339</v>
      </c>
      <c r="Q34" s="913">
        <f>+F28</f>
        <v>416</v>
      </c>
    </row>
    <row r="35" spans="1:17">
      <c r="A35" s="870" t="s">
        <v>485</v>
      </c>
    </row>
    <row r="37" spans="1:17">
      <c r="K37" s="870" t="s">
        <v>743</v>
      </c>
      <c r="M37" s="870" t="s">
        <v>486</v>
      </c>
      <c r="O37" s="914">
        <f>+O28*0.7</f>
        <v>60.335627747974563</v>
      </c>
      <c r="P37" s="1158">
        <v>7</v>
      </c>
      <c r="Q37" s="914">
        <f>+O37*P37</f>
        <v>422.34939423582193</v>
      </c>
    </row>
    <row r="38" spans="1:17">
      <c r="O38" s="914"/>
      <c r="P38" s="1158"/>
      <c r="Q38" s="914"/>
    </row>
    <row r="39" spans="1:17">
      <c r="B39" s="1532" t="s">
        <v>947</v>
      </c>
      <c r="C39" s="1532"/>
      <c r="D39" s="1532"/>
      <c r="E39" s="1532"/>
    </row>
    <row r="40" spans="1:17" ht="36">
      <c r="A40" s="1385" t="s">
        <v>950</v>
      </c>
      <c r="B40" s="1385" t="s">
        <v>325</v>
      </c>
      <c r="C40" s="1377" t="s">
        <v>953</v>
      </c>
      <c r="D40" s="1377" t="s">
        <v>955</v>
      </c>
      <c r="E40" s="1377" t="s">
        <v>954</v>
      </c>
      <c r="L40" s="870" t="s">
        <v>344</v>
      </c>
      <c r="M40" s="870" t="s">
        <v>487</v>
      </c>
      <c r="O40" s="914">
        <f>+I28*2</f>
        <v>454.23728813559325</v>
      </c>
    </row>
    <row r="41" spans="1:17">
      <c r="A41" s="549" t="s">
        <v>219</v>
      </c>
      <c r="B41" s="1297">
        <f>O46</f>
        <v>514.57291588356782</v>
      </c>
      <c r="C41" s="870">
        <v>0.73</v>
      </c>
      <c r="D41" s="870">
        <v>-7.42</v>
      </c>
      <c r="E41" s="1373">
        <f>SUM(B41:D41)</f>
        <v>507.88291588356782</v>
      </c>
      <c r="M41" s="870" t="s">
        <v>488</v>
      </c>
      <c r="O41" s="915">
        <f>+O28*0.7</f>
        <v>60.335627747974563</v>
      </c>
    </row>
    <row r="42" spans="1:17">
      <c r="A42" s="549" t="s">
        <v>221</v>
      </c>
      <c r="B42" s="1297">
        <f>O37</f>
        <v>60.335627747974563</v>
      </c>
      <c r="C42" s="870">
        <v>0.73</v>
      </c>
      <c r="D42" s="870">
        <v>-7.42</v>
      </c>
      <c r="E42" s="1373">
        <f t="shared" ref="E42:E50" si="7">SUM(B42:D42)</f>
        <v>53.645627747974558</v>
      </c>
      <c r="O42" s="914">
        <f>SUM(O40:O41)</f>
        <v>514.57291588356782</v>
      </c>
    </row>
    <row r="43" spans="1:17">
      <c r="A43" s="549" t="s">
        <v>223</v>
      </c>
      <c r="B43" s="1297">
        <f>O37</f>
        <v>60.335627747974563</v>
      </c>
      <c r="C43" s="870">
        <v>0.73</v>
      </c>
      <c r="D43" s="870">
        <v>-7.42</v>
      </c>
      <c r="E43" s="1373">
        <f t="shared" si="7"/>
        <v>53.645627747974558</v>
      </c>
    </row>
    <row r="44" spans="1:17">
      <c r="A44" s="549" t="s">
        <v>228</v>
      </c>
      <c r="B44" s="1297">
        <f>O37</f>
        <v>60.335627747974563</v>
      </c>
      <c r="C44" s="870">
        <v>0.73</v>
      </c>
      <c r="D44" s="870">
        <v>-7.42</v>
      </c>
      <c r="E44" s="1373">
        <f t="shared" si="7"/>
        <v>53.645627747974558</v>
      </c>
      <c r="L44" s="870" t="s">
        <v>342</v>
      </c>
      <c r="M44" s="870" t="s">
        <v>487</v>
      </c>
      <c r="O44" s="914">
        <f>+I28*2</f>
        <v>454.23728813559325</v>
      </c>
    </row>
    <row r="45" spans="1:17">
      <c r="A45" s="549" t="s">
        <v>241</v>
      </c>
      <c r="B45" s="1297">
        <f>O37</f>
        <v>60.335627747974563</v>
      </c>
      <c r="C45" s="870">
        <v>0.73</v>
      </c>
      <c r="D45" s="870">
        <v>-7.42</v>
      </c>
      <c r="E45" s="1373">
        <f t="shared" si="7"/>
        <v>53.645627747974558</v>
      </c>
      <c r="M45" s="870" t="s">
        <v>488</v>
      </c>
      <c r="O45" s="915">
        <f>+O28*0.7</f>
        <v>60.335627747974563</v>
      </c>
    </row>
    <row r="46" spans="1:17">
      <c r="A46" s="549" t="s">
        <v>245</v>
      </c>
      <c r="B46" s="1297">
        <f>O42</f>
        <v>514.57291588356782</v>
      </c>
      <c r="C46" s="870">
        <v>0.73</v>
      </c>
      <c r="D46" s="870">
        <v>-7.42</v>
      </c>
      <c r="E46" s="1373">
        <f t="shared" si="7"/>
        <v>507.88291588356782</v>
      </c>
      <c r="O46" s="914">
        <f>SUM(O44:O45)</f>
        <v>514.57291588356782</v>
      </c>
    </row>
    <row r="47" spans="1:17">
      <c r="A47" s="1107" t="s">
        <v>252</v>
      </c>
      <c r="B47" s="1297">
        <f>O37</f>
        <v>60.335627747974563</v>
      </c>
      <c r="C47" s="870">
        <v>0.73</v>
      </c>
      <c r="D47" s="870">
        <v>-7.42</v>
      </c>
      <c r="E47" s="1373">
        <f t="shared" si="7"/>
        <v>53.645627747974558</v>
      </c>
    </row>
    <row r="48" spans="1:17">
      <c r="A48" s="1107" t="s">
        <v>264</v>
      </c>
      <c r="B48" s="1297">
        <f>O51</f>
        <v>57.36952605305931</v>
      </c>
      <c r="C48" s="870">
        <v>0.73</v>
      </c>
      <c r="D48" s="870">
        <v>-7.42</v>
      </c>
      <c r="E48" s="1373">
        <f t="shared" si="7"/>
        <v>50.679526053059305</v>
      </c>
      <c r="O48" s="1297"/>
    </row>
    <row r="49" spans="1:18">
      <c r="A49" s="1107" t="s">
        <v>272</v>
      </c>
      <c r="B49" s="1297">
        <f>O37</f>
        <v>60.335627747974563</v>
      </c>
      <c r="C49" s="870">
        <v>0.73</v>
      </c>
      <c r="D49" s="870">
        <v>-7.42</v>
      </c>
      <c r="E49" s="1373">
        <f t="shared" si="7"/>
        <v>53.645627747974558</v>
      </c>
      <c r="O49" s="890"/>
    </row>
    <row r="50" spans="1:18">
      <c r="A50" s="1107" t="s">
        <v>274</v>
      </c>
      <c r="B50" s="1297">
        <f>O37</f>
        <v>60.335627747974563</v>
      </c>
      <c r="C50" s="870">
        <v>0.73</v>
      </c>
      <c r="D50" s="870">
        <v>-7.42</v>
      </c>
      <c r="E50" s="1373">
        <f t="shared" si="7"/>
        <v>53.645627747974558</v>
      </c>
    </row>
    <row r="51" spans="1:18" ht="12.75" thickBot="1">
      <c r="E51" s="1411">
        <f>SUM(E41:E50)</f>
        <v>1441.9647520560166</v>
      </c>
      <c r="F51" s="870" t="s">
        <v>489</v>
      </c>
      <c r="K51" s="870" t="s">
        <v>742</v>
      </c>
      <c r="M51" s="870" t="s">
        <v>486</v>
      </c>
      <c r="O51" s="914">
        <f>+N28*0.7</f>
        <v>57.36952605305931</v>
      </c>
      <c r="P51" s="1158">
        <v>1</v>
      </c>
      <c r="Q51" s="914">
        <f>+O51*P51</f>
        <v>57.36952605305931</v>
      </c>
    </row>
    <row r="52" spans="1:18" ht="12.75" thickTop="1"/>
    <row r="53" spans="1:18" ht="12.75" thickBot="1">
      <c r="Q53" s="916">
        <f>+Q37+O42+O46+Q51</f>
        <v>1508.8647520560171</v>
      </c>
      <c r="R53" s="870" t="s">
        <v>489</v>
      </c>
    </row>
    <row r="54" spans="1:18" ht="12.75" thickTop="1"/>
    <row r="59" spans="1:18">
      <c r="N59" s="870">
        <v>13</v>
      </c>
      <c r="O59" s="870">
        <v>268</v>
      </c>
      <c r="P59" s="870">
        <f>+N59*O59</f>
        <v>3484</v>
      </c>
    </row>
    <row r="60" spans="1:18">
      <c r="N60" s="870">
        <v>1</v>
      </c>
      <c r="O60" s="870">
        <v>263</v>
      </c>
      <c r="P60" s="870">
        <f>+N60*O60</f>
        <v>263</v>
      </c>
    </row>
    <row r="61" spans="1:18" ht="12.75" thickBot="1">
      <c r="P61" s="1166">
        <f>SUM(P59:P60)</f>
        <v>3747</v>
      </c>
    </row>
    <row r="62" spans="1:18" ht="12.75" thickTop="1"/>
  </sheetData>
  <mergeCells count="24">
    <mergeCell ref="B39:E39"/>
    <mergeCell ref="P26:P27"/>
    <mergeCell ref="A1:M1"/>
    <mergeCell ref="B3:G3"/>
    <mergeCell ref="C8:C13"/>
    <mergeCell ref="B23:F25"/>
    <mergeCell ref="G23:K25"/>
    <mergeCell ref="L23:L25"/>
    <mergeCell ref="M23:Q25"/>
    <mergeCell ref="Q26:Q27"/>
    <mergeCell ref="H26:H27"/>
    <mergeCell ref="I26:I27"/>
    <mergeCell ref="J26:J27"/>
    <mergeCell ref="K26:K27"/>
    <mergeCell ref="L26:L27"/>
    <mergeCell ref="M26:M27"/>
    <mergeCell ref="N26:N27"/>
    <mergeCell ref="O26:O27"/>
    <mergeCell ref="G26:G27"/>
    <mergeCell ref="B26:B27"/>
    <mergeCell ref="C26:C27"/>
    <mergeCell ref="D26:D27"/>
    <mergeCell ref="E26:E27"/>
    <mergeCell ref="F26:F27"/>
  </mergeCells>
  <conditionalFormatting sqref="A46">
    <cfRule type="duplicateValues" dxfId="5" priority="1"/>
  </conditionalFormatting>
  <conditionalFormatting sqref="A47:A50 A41:A45">
    <cfRule type="duplicateValues" dxfId="4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9DCA-E633-47F1-BF3B-C5AFF74F52F4}">
  <dimension ref="A1:T49"/>
  <sheetViews>
    <sheetView topLeftCell="B1" workbookViewId="0">
      <selection activeCell="L36" sqref="L36"/>
    </sheetView>
  </sheetViews>
  <sheetFormatPr baseColWidth="10" defaultColWidth="11.42578125" defaultRowHeight="12"/>
  <cols>
    <col min="1" max="1" width="11.42578125" style="589"/>
    <col min="2" max="2" width="3.7109375" style="589" customWidth="1"/>
    <col min="3" max="3" width="37" style="589" customWidth="1"/>
    <col min="4" max="4" width="11.42578125" style="589"/>
    <col min="5" max="6" width="9.7109375" style="589" hidden="1" customWidth="1"/>
    <col min="7" max="7" width="10.42578125" style="589" hidden="1" customWidth="1"/>
    <col min="8" max="8" width="12.140625" style="992" customWidth="1"/>
    <col min="9" max="9" width="14.28515625" style="589" bestFit="1" customWidth="1"/>
    <col min="10" max="10" width="0" style="589" hidden="1" customWidth="1"/>
    <col min="11" max="16384" width="11.42578125" style="589"/>
  </cols>
  <sheetData>
    <row r="1" spans="1:17" ht="12.75" thickBot="1">
      <c r="A1" s="845"/>
      <c r="B1" s="845"/>
      <c r="C1" s="845"/>
      <c r="D1" s="845"/>
      <c r="E1" s="845"/>
      <c r="F1" s="845"/>
      <c r="G1" s="845"/>
      <c r="H1" s="990"/>
      <c r="I1" s="845"/>
      <c r="J1" s="845"/>
      <c r="K1" s="845"/>
      <c r="L1" s="845"/>
      <c r="M1" s="845"/>
      <c r="N1" s="845"/>
      <c r="O1" s="845"/>
      <c r="P1" s="845"/>
      <c r="Q1" s="845"/>
    </row>
    <row r="2" spans="1:17" ht="12.75" thickBot="1">
      <c r="A2" s="845"/>
      <c r="B2" s="845"/>
      <c r="C2" s="845"/>
      <c r="D2" s="845"/>
      <c r="E2" s="845"/>
      <c r="F2" s="845"/>
      <c r="G2" s="845"/>
      <c r="H2" s="990"/>
      <c r="I2" s="845"/>
      <c r="J2" s="845"/>
      <c r="K2" s="845"/>
      <c r="L2" s="846">
        <v>30</v>
      </c>
      <c r="M2" s="846"/>
      <c r="N2" s="845"/>
      <c r="O2" s="853" t="s">
        <v>130</v>
      </c>
      <c r="P2" s="845"/>
      <c r="Q2" s="845"/>
    </row>
    <row r="3" spans="1:17">
      <c r="A3" s="845"/>
      <c r="B3" s="845"/>
      <c r="C3" s="845"/>
      <c r="D3" s="854" t="s">
        <v>125</v>
      </c>
      <c r="E3" s="854"/>
      <c r="F3" s="854"/>
      <c r="G3" s="854" t="s">
        <v>125</v>
      </c>
      <c r="H3" s="987"/>
      <c r="I3" s="855" t="s">
        <v>179</v>
      </c>
      <c r="J3" s="856"/>
      <c r="K3" s="857"/>
      <c r="L3" s="858"/>
      <c r="M3" s="861" t="s">
        <v>490</v>
      </c>
      <c r="N3" s="845"/>
      <c r="O3" s="847" t="s">
        <v>491</v>
      </c>
      <c r="P3" s="845"/>
      <c r="Q3" s="845"/>
    </row>
    <row r="4" spans="1:17" ht="36">
      <c r="A4" s="845"/>
      <c r="B4" s="845"/>
      <c r="C4" s="845"/>
      <c r="D4" s="859" t="s">
        <v>492</v>
      </c>
      <c r="E4" s="1191"/>
      <c r="F4" s="859"/>
      <c r="G4" s="859" t="s">
        <v>492</v>
      </c>
      <c r="H4" s="988" t="s">
        <v>493</v>
      </c>
      <c r="I4" s="863" t="s">
        <v>494</v>
      </c>
      <c r="J4" s="859" t="s">
        <v>495</v>
      </c>
      <c r="K4" s="860" t="s">
        <v>496</v>
      </c>
      <c r="L4" s="860" t="s">
        <v>497</v>
      </c>
      <c r="M4" s="862" t="s">
        <v>498</v>
      </c>
      <c r="N4" s="845"/>
      <c r="O4" s="847" t="s">
        <v>499</v>
      </c>
      <c r="P4" s="845">
        <v>30</v>
      </c>
      <c r="Q4" s="845"/>
    </row>
    <row r="5" spans="1:17">
      <c r="A5" s="845"/>
      <c r="B5" s="851" t="s">
        <v>425</v>
      </c>
      <c r="C5" s="851" t="s">
        <v>317</v>
      </c>
      <c r="D5" s="1192"/>
      <c r="E5" s="1192"/>
      <c r="F5" s="1192"/>
      <c r="G5" s="1192"/>
      <c r="H5" s="1193" t="s">
        <v>500</v>
      </c>
      <c r="I5" s="1194" t="s">
        <v>501</v>
      </c>
      <c r="J5" s="1194" t="s">
        <v>500</v>
      </c>
      <c r="K5" s="1195"/>
      <c r="L5" s="1195"/>
      <c r="M5" s="1195" t="s">
        <v>502</v>
      </c>
      <c r="N5" s="851"/>
      <c r="O5" s="1196"/>
      <c r="P5" s="845"/>
      <c r="Q5" s="845"/>
    </row>
    <row r="6" spans="1:17">
      <c r="A6" s="845"/>
      <c r="B6" s="1188">
        <v>1</v>
      </c>
      <c r="C6" s="1201" t="s">
        <v>201</v>
      </c>
      <c r="D6" s="1189">
        <v>13000</v>
      </c>
      <c r="E6" s="1189"/>
      <c r="F6" s="986"/>
      <c r="G6" s="986"/>
      <c r="H6" s="989"/>
      <c r="I6" s="864">
        <v>0</v>
      </c>
      <c r="J6" s="852"/>
      <c r="K6" s="843">
        <v>0</v>
      </c>
      <c r="L6" s="843">
        <v>0</v>
      </c>
      <c r="M6" s="843">
        <v>0</v>
      </c>
      <c r="N6" s="851"/>
      <c r="O6" s="864"/>
      <c r="P6" s="844"/>
      <c r="Q6" s="844"/>
    </row>
    <row r="7" spans="1:17">
      <c r="A7" s="845"/>
      <c r="B7" s="1188">
        <f>+B6+1</f>
        <v>2</v>
      </c>
      <c r="C7" s="1201" t="s">
        <v>205</v>
      </c>
      <c r="D7" s="1189">
        <v>6500</v>
      </c>
      <c r="E7" s="1189"/>
      <c r="F7" s="986"/>
      <c r="G7" s="986"/>
      <c r="H7" s="1061"/>
      <c r="I7" s="864">
        <v>0</v>
      </c>
      <c r="J7" s="852">
        <v>0</v>
      </c>
      <c r="K7" s="843">
        <v>0</v>
      </c>
      <c r="L7" s="843">
        <v>0</v>
      </c>
      <c r="M7" s="843">
        <v>0</v>
      </c>
      <c r="N7" s="851"/>
      <c r="O7" s="864"/>
      <c r="P7" s="844"/>
      <c r="Q7" s="844"/>
    </row>
    <row r="8" spans="1:17">
      <c r="A8" s="845"/>
      <c r="B8" s="1188">
        <f t="shared" ref="B8:B48" si="0">+B7+1</f>
        <v>3</v>
      </c>
      <c r="C8" s="1201" t="s">
        <v>208</v>
      </c>
      <c r="D8" s="1189">
        <v>4000</v>
      </c>
      <c r="E8" s="1189"/>
      <c r="F8" s="998"/>
      <c r="G8" s="986"/>
      <c r="H8" s="1061">
        <v>288</v>
      </c>
      <c r="I8" s="1060"/>
      <c r="J8" s="852">
        <v>0</v>
      </c>
      <c r="K8" s="843">
        <v>0</v>
      </c>
      <c r="L8" s="843">
        <v>82.259999999999991</v>
      </c>
      <c r="M8" s="843">
        <v>0</v>
      </c>
      <c r="N8" s="851"/>
      <c r="O8" s="1197"/>
      <c r="P8" s="844"/>
      <c r="Q8" s="844"/>
    </row>
    <row r="9" spans="1:17">
      <c r="A9" s="845"/>
      <c r="B9" s="1188">
        <f t="shared" si="0"/>
        <v>4</v>
      </c>
      <c r="C9" s="1201" t="s">
        <v>211</v>
      </c>
      <c r="D9" s="1189">
        <v>4000</v>
      </c>
      <c r="E9" s="1189"/>
      <c r="F9" s="998"/>
      <c r="G9" s="986"/>
      <c r="H9" s="1061"/>
      <c r="I9" s="1060"/>
      <c r="J9" s="852">
        <v>0</v>
      </c>
      <c r="K9" s="843">
        <v>0</v>
      </c>
      <c r="L9" s="843">
        <v>0</v>
      </c>
      <c r="M9" s="843">
        <v>0</v>
      </c>
      <c r="N9" s="851"/>
      <c r="O9" s="1197"/>
      <c r="P9" s="844"/>
      <c r="Q9" s="844"/>
    </row>
    <row r="10" spans="1:17">
      <c r="A10" s="845"/>
      <c r="B10" s="1188">
        <f t="shared" si="0"/>
        <v>5</v>
      </c>
      <c r="C10" s="1201" t="s">
        <v>214</v>
      </c>
      <c r="D10" s="1189">
        <v>3600</v>
      </c>
      <c r="E10" s="1189"/>
      <c r="F10" s="986"/>
      <c r="G10" s="986"/>
      <c r="H10" s="1061">
        <v>324</v>
      </c>
      <c r="I10" s="1060"/>
      <c r="J10" s="852">
        <v>0</v>
      </c>
      <c r="K10" s="843">
        <v>0</v>
      </c>
      <c r="L10" s="843">
        <v>81</v>
      </c>
      <c r="M10" s="843">
        <v>0</v>
      </c>
      <c r="N10" s="851"/>
      <c r="O10" s="864"/>
      <c r="P10" s="844"/>
      <c r="Q10" s="844"/>
    </row>
    <row r="11" spans="1:17">
      <c r="A11" s="845"/>
      <c r="B11" s="1188">
        <f t="shared" si="0"/>
        <v>6</v>
      </c>
      <c r="C11" s="1006" t="s">
        <v>217</v>
      </c>
      <c r="D11" s="1189">
        <v>6500</v>
      </c>
      <c r="E11" s="1189"/>
      <c r="F11" s="986"/>
      <c r="G11" s="986"/>
      <c r="H11" s="1061"/>
      <c r="I11" s="1060"/>
      <c r="J11" s="852">
        <v>0</v>
      </c>
      <c r="K11" s="843">
        <v>0</v>
      </c>
      <c r="L11" s="843">
        <v>0</v>
      </c>
      <c r="M11" s="843">
        <v>0</v>
      </c>
      <c r="N11" s="851"/>
      <c r="O11" s="864"/>
      <c r="P11" s="844"/>
      <c r="Q11" s="844"/>
    </row>
    <row r="12" spans="1:17">
      <c r="A12" s="845"/>
      <c r="B12" s="1188">
        <f t="shared" si="0"/>
        <v>7</v>
      </c>
      <c r="C12" s="1006" t="s">
        <v>219</v>
      </c>
      <c r="D12" s="1189">
        <v>4500</v>
      </c>
      <c r="E12" s="1189"/>
      <c r="F12" s="986"/>
      <c r="G12" s="986"/>
      <c r="H12" s="1061"/>
      <c r="I12" s="864"/>
      <c r="J12" s="852">
        <v>0</v>
      </c>
      <c r="K12" s="843">
        <v>0</v>
      </c>
      <c r="L12" s="843">
        <v>0</v>
      </c>
      <c r="M12" s="843">
        <v>0</v>
      </c>
      <c r="N12" s="851"/>
      <c r="O12" s="864"/>
      <c r="P12" s="844"/>
      <c r="Q12" s="844"/>
    </row>
    <row r="13" spans="1:17">
      <c r="A13" s="845"/>
      <c r="B13" s="1188">
        <f t="shared" si="0"/>
        <v>8</v>
      </c>
      <c r="C13" s="1198" t="s">
        <v>221</v>
      </c>
      <c r="D13" s="1189">
        <v>2800</v>
      </c>
      <c r="E13" s="1189"/>
      <c r="F13" s="986"/>
      <c r="G13" s="986"/>
      <c r="H13" s="1061">
        <v>115</v>
      </c>
      <c r="I13" s="864"/>
      <c r="J13" s="852">
        <v>0</v>
      </c>
      <c r="K13" s="843">
        <v>0</v>
      </c>
      <c r="L13" s="843">
        <v>22.361111111111111</v>
      </c>
      <c r="M13" s="843">
        <v>0</v>
      </c>
      <c r="N13" s="851"/>
      <c r="O13" s="864"/>
      <c r="P13" s="844"/>
      <c r="Q13" s="844"/>
    </row>
    <row r="14" spans="1:17">
      <c r="A14" s="845"/>
      <c r="B14" s="1188">
        <f t="shared" si="0"/>
        <v>9</v>
      </c>
      <c r="C14" s="1198" t="s">
        <v>223</v>
      </c>
      <c r="D14" s="1189">
        <v>2600</v>
      </c>
      <c r="E14" s="1200"/>
      <c r="F14" s="986"/>
      <c r="G14" s="986"/>
      <c r="H14" s="1061">
        <v>76</v>
      </c>
      <c r="I14" s="864"/>
      <c r="J14" s="852">
        <v>0</v>
      </c>
      <c r="K14" s="843">
        <v>0</v>
      </c>
      <c r="L14" s="843">
        <v>13.722222222222221</v>
      </c>
      <c r="M14" s="843">
        <v>0</v>
      </c>
      <c r="N14" s="851"/>
      <c r="O14" s="864"/>
      <c r="P14" s="844"/>
      <c r="Q14" s="844"/>
    </row>
    <row r="15" spans="1:17">
      <c r="A15" s="845"/>
      <c r="B15" s="1188">
        <f t="shared" si="0"/>
        <v>10</v>
      </c>
      <c r="C15" s="1198" t="s">
        <v>226</v>
      </c>
      <c r="D15" s="1189">
        <v>2200</v>
      </c>
      <c r="E15" s="1189"/>
      <c r="F15" s="986"/>
      <c r="G15" s="986"/>
      <c r="H15" s="1061">
        <v>119</v>
      </c>
      <c r="I15" s="1062"/>
      <c r="J15" s="852">
        <v>0</v>
      </c>
      <c r="K15" s="843">
        <v>0</v>
      </c>
      <c r="L15" s="843">
        <v>19.114374999999999</v>
      </c>
      <c r="M15" s="843">
        <v>0</v>
      </c>
      <c r="N15" s="851"/>
      <c r="O15" s="864"/>
      <c r="P15" s="844"/>
      <c r="Q15" s="844"/>
    </row>
    <row r="16" spans="1:17">
      <c r="A16" s="845"/>
      <c r="B16" s="1188">
        <f t="shared" si="0"/>
        <v>11</v>
      </c>
      <c r="C16" s="1006" t="s">
        <v>228</v>
      </c>
      <c r="D16" s="1189">
        <v>3800</v>
      </c>
      <c r="E16" s="1189"/>
      <c r="F16" s="986"/>
      <c r="G16" s="986"/>
      <c r="H16" s="1061"/>
      <c r="I16" s="864"/>
      <c r="J16" s="852">
        <v>0</v>
      </c>
      <c r="K16" s="843">
        <v>0</v>
      </c>
      <c r="L16" s="843">
        <v>0</v>
      </c>
      <c r="M16" s="843">
        <v>0</v>
      </c>
      <c r="N16" s="851"/>
      <c r="O16" s="864"/>
      <c r="P16" s="844"/>
      <c r="Q16" s="844"/>
    </row>
    <row r="17" spans="1:20">
      <c r="A17" s="845"/>
      <c r="B17" s="1188">
        <f t="shared" si="0"/>
        <v>12</v>
      </c>
      <c r="C17" s="1006" t="s">
        <v>230</v>
      </c>
      <c r="D17" s="1189">
        <v>1500</v>
      </c>
      <c r="E17" s="1189"/>
      <c r="F17" s="986"/>
      <c r="G17" s="986"/>
      <c r="H17" s="1061"/>
      <c r="I17" s="864"/>
      <c r="J17" s="852">
        <v>0</v>
      </c>
      <c r="K17" s="843">
        <v>0</v>
      </c>
      <c r="L17" s="843">
        <v>0</v>
      </c>
      <c r="M17" s="843">
        <v>0</v>
      </c>
      <c r="N17" s="851"/>
      <c r="O17" s="864"/>
      <c r="P17" s="844"/>
      <c r="Q17" s="844"/>
    </row>
    <row r="18" spans="1:20">
      <c r="A18" s="845"/>
      <c r="B18" s="1188">
        <f t="shared" si="0"/>
        <v>13</v>
      </c>
      <c r="C18" s="1357" t="s">
        <v>241</v>
      </c>
      <c r="D18" s="1358">
        <v>3000</v>
      </c>
      <c r="E18" s="1358"/>
      <c r="F18" s="986"/>
      <c r="G18" s="986"/>
      <c r="H18" s="1202">
        <v>346</v>
      </c>
      <c r="I18" s="986"/>
      <c r="J18" s="1203">
        <v>0</v>
      </c>
      <c r="K18" s="998">
        <v>0</v>
      </c>
      <c r="L18" s="843">
        <v>72.083333333333343</v>
      </c>
      <c r="M18" s="998">
        <v>0</v>
      </c>
      <c r="N18" s="851"/>
      <c r="O18" s="986"/>
      <c r="P18" s="548"/>
      <c r="Q18" s="548"/>
      <c r="T18" s="1169"/>
    </row>
    <row r="19" spans="1:20">
      <c r="A19" s="845"/>
      <c r="B19" s="1188">
        <f t="shared" si="0"/>
        <v>14</v>
      </c>
      <c r="C19" s="1201" t="s">
        <v>243</v>
      </c>
      <c r="D19" s="1189">
        <v>3200</v>
      </c>
      <c r="E19" s="1189"/>
      <c r="F19" s="986"/>
      <c r="G19" s="986"/>
      <c r="H19" s="1061">
        <v>168</v>
      </c>
      <c r="I19" s="864"/>
      <c r="J19" s="852">
        <v>0</v>
      </c>
      <c r="K19" s="843">
        <v>0</v>
      </c>
      <c r="L19" s="843">
        <v>37.333333333333336</v>
      </c>
      <c r="M19" s="843">
        <v>0</v>
      </c>
      <c r="N19" s="851"/>
      <c r="O19" s="864"/>
      <c r="P19" s="844"/>
      <c r="Q19" s="844"/>
      <c r="T19" s="1169"/>
    </row>
    <row r="20" spans="1:20">
      <c r="A20" s="845"/>
      <c r="B20" s="1188">
        <f t="shared" si="0"/>
        <v>15</v>
      </c>
      <c r="C20" s="1006" t="s">
        <v>245</v>
      </c>
      <c r="D20" s="1189">
        <v>2800</v>
      </c>
      <c r="E20" s="1189"/>
      <c r="F20" s="986"/>
      <c r="G20" s="986"/>
      <c r="H20" s="1061">
        <v>34</v>
      </c>
      <c r="I20" s="1062"/>
      <c r="J20" s="852">
        <v>0</v>
      </c>
      <c r="K20" s="843">
        <v>0</v>
      </c>
      <c r="L20" s="843">
        <v>6.8779166666666658</v>
      </c>
      <c r="M20" s="843">
        <v>0</v>
      </c>
      <c r="N20" s="851"/>
      <c r="O20" s="848"/>
      <c r="P20" s="844"/>
      <c r="Q20" s="844"/>
      <c r="T20" s="1169"/>
    </row>
    <row r="21" spans="1:20">
      <c r="A21" s="845"/>
      <c r="B21" s="1188">
        <f t="shared" si="0"/>
        <v>16</v>
      </c>
      <c r="C21" s="1201" t="s">
        <v>248</v>
      </c>
      <c r="D21" s="1189">
        <v>1200</v>
      </c>
      <c r="E21" s="1189"/>
      <c r="F21" s="986"/>
      <c r="G21" s="986"/>
      <c r="H21" s="1061"/>
      <c r="I21" s="864"/>
      <c r="J21" s="852">
        <v>0</v>
      </c>
      <c r="K21" s="843">
        <v>0</v>
      </c>
      <c r="L21" s="843">
        <v>0</v>
      </c>
      <c r="M21" s="843">
        <v>0</v>
      </c>
      <c r="N21" s="851"/>
      <c r="O21" s="848"/>
      <c r="P21" s="844"/>
      <c r="Q21" s="844"/>
      <c r="T21" s="1169"/>
    </row>
    <row r="22" spans="1:20">
      <c r="A22" s="845"/>
      <c r="B22" s="1188">
        <f t="shared" si="0"/>
        <v>17</v>
      </c>
      <c r="C22" s="1201" t="s">
        <v>250</v>
      </c>
      <c r="D22" s="1189">
        <v>2800</v>
      </c>
      <c r="E22" s="1189"/>
      <c r="F22" s="986"/>
      <c r="G22" s="986"/>
      <c r="H22" s="1061">
        <v>41</v>
      </c>
      <c r="I22" s="864"/>
      <c r="J22" s="852">
        <v>0</v>
      </c>
      <c r="K22" s="843">
        <v>0</v>
      </c>
      <c r="L22" s="843">
        <v>7.9722222222222223</v>
      </c>
      <c r="M22" s="843">
        <v>0</v>
      </c>
      <c r="N22" s="851"/>
      <c r="O22" s="848"/>
      <c r="P22" s="844"/>
      <c r="Q22" s="844"/>
    </row>
    <row r="23" spans="1:20">
      <c r="A23" s="845"/>
      <c r="B23" s="1188">
        <f t="shared" si="0"/>
        <v>18</v>
      </c>
      <c r="C23" s="1201" t="s">
        <v>252</v>
      </c>
      <c r="D23" s="1189">
        <v>2800</v>
      </c>
      <c r="E23" s="1189"/>
      <c r="F23" s="986"/>
      <c r="G23" s="986"/>
      <c r="H23" s="1061">
        <v>44</v>
      </c>
      <c r="I23" s="864"/>
      <c r="J23" s="852">
        <v>0</v>
      </c>
      <c r="K23" s="843">
        <v>0</v>
      </c>
      <c r="L23" s="843">
        <v>8.5555555555555554</v>
      </c>
      <c r="M23" s="843">
        <v>0</v>
      </c>
      <c r="N23" s="851"/>
      <c r="O23" s="848"/>
      <c r="P23" s="844"/>
      <c r="Q23" s="844"/>
    </row>
    <row r="24" spans="1:20">
      <c r="A24" s="845"/>
      <c r="B24" s="1188">
        <f t="shared" si="0"/>
        <v>19</v>
      </c>
      <c r="C24" s="1201" t="s">
        <v>255</v>
      </c>
      <c r="D24" s="1189">
        <v>2500</v>
      </c>
      <c r="E24" s="1189"/>
      <c r="F24" s="986"/>
      <c r="G24" s="986"/>
      <c r="H24" s="1061">
        <v>111</v>
      </c>
      <c r="I24" s="864"/>
      <c r="J24" s="852">
        <v>0</v>
      </c>
      <c r="K24" s="843">
        <v>0</v>
      </c>
      <c r="L24" s="843">
        <v>19.270833333333332</v>
      </c>
      <c r="M24" s="843">
        <v>0</v>
      </c>
      <c r="N24" s="851"/>
      <c r="O24" s="848"/>
      <c r="P24" s="844"/>
      <c r="Q24" s="844"/>
    </row>
    <row r="25" spans="1:20">
      <c r="A25" s="845"/>
      <c r="B25" s="1188">
        <f t="shared" si="0"/>
        <v>20</v>
      </c>
      <c r="C25" s="1201" t="s">
        <v>258</v>
      </c>
      <c r="D25" s="1189">
        <v>2500</v>
      </c>
      <c r="E25" s="1189"/>
      <c r="F25" s="986"/>
      <c r="G25" s="986"/>
      <c r="H25" s="1061">
        <v>10</v>
      </c>
      <c r="I25" s="864"/>
      <c r="J25" s="852">
        <v>0</v>
      </c>
      <c r="K25" s="843">
        <v>0</v>
      </c>
      <c r="L25" s="843">
        <v>1.7361111111111112</v>
      </c>
      <c r="M25" s="843">
        <v>0</v>
      </c>
      <c r="N25" s="851"/>
      <c r="O25" s="848"/>
      <c r="P25" s="844"/>
      <c r="Q25" s="844"/>
    </row>
    <row r="26" spans="1:20">
      <c r="A26" s="845"/>
      <c r="B26" s="1188">
        <f t="shared" si="0"/>
        <v>21</v>
      </c>
      <c r="C26" s="1201" t="s">
        <v>260</v>
      </c>
      <c r="D26" s="1189">
        <v>2500</v>
      </c>
      <c r="E26" s="1200"/>
      <c r="F26" s="986"/>
      <c r="G26" s="986"/>
      <c r="H26" s="1061">
        <v>82</v>
      </c>
      <c r="I26" s="864"/>
      <c r="J26" s="852">
        <v>0</v>
      </c>
      <c r="K26" s="843">
        <v>0</v>
      </c>
      <c r="L26" s="843">
        <v>14.236111111111111</v>
      </c>
      <c r="M26" s="843">
        <v>0</v>
      </c>
      <c r="N26" s="851"/>
      <c r="O26" s="848"/>
      <c r="P26" s="844"/>
      <c r="Q26" s="844"/>
    </row>
    <row r="27" spans="1:20">
      <c r="A27" s="845"/>
      <c r="B27" s="1188">
        <f t="shared" si="0"/>
        <v>22</v>
      </c>
      <c r="C27" s="1201" t="s">
        <v>264</v>
      </c>
      <c r="D27" s="1189">
        <v>2800</v>
      </c>
      <c r="E27" s="1189"/>
      <c r="F27" s="986"/>
      <c r="G27" s="986"/>
      <c r="H27" s="1061"/>
      <c r="I27" s="864"/>
      <c r="J27" s="852">
        <v>0</v>
      </c>
      <c r="K27" s="843">
        <v>0</v>
      </c>
      <c r="L27" s="843">
        <v>0</v>
      </c>
      <c r="M27" s="843">
        <v>0</v>
      </c>
      <c r="N27" s="851"/>
      <c r="O27" s="848"/>
      <c r="P27" s="844"/>
      <c r="Q27" s="844"/>
    </row>
    <row r="28" spans="1:20">
      <c r="A28" s="845"/>
      <c r="B28" s="1188">
        <f t="shared" si="0"/>
        <v>23</v>
      </c>
      <c r="C28" s="1201" t="s">
        <v>266</v>
      </c>
      <c r="D28" s="1189">
        <v>2500</v>
      </c>
      <c r="E28" s="1189"/>
      <c r="F28" s="986"/>
      <c r="G28" s="986"/>
      <c r="H28" s="1061">
        <v>60</v>
      </c>
      <c r="I28" s="864"/>
      <c r="J28" s="852">
        <v>0</v>
      </c>
      <c r="K28" s="843">
        <v>0</v>
      </c>
      <c r="L28" s="843">
        <v>10.416666666666666</v>
      </c>
      <c r="M28" s="843">
        <v>0</v>
      </c>
      <c r="N28" s="851"/>
      <c r="O28" s="848"/>
      <c r="P28" s="844"/>
      <c r="Q28" s="844"/>
    </row>
    <row r="29" spans="1:20">
      <c r="A29" s="845"/>
      <c r="B29" s="1188">
        <f t="shared" si="0"/>
        <v>24</v>
      </c>
      <c r="C29" s="1201" t="s">
        <v>268</v>
      </c>
      <c r="D29" s="1189">
        <v>2500</v>
      </c>
      <c r="E29" s="1189"/>
      <c r="F29" s="986"/>
      <c r="G29" s="986"/>
      <c r="H29" s="1061">
        <v>0</v>
      </c>
      <c r="I29" s="864"/>
      <c r="J29" s="852">
        <v>0</v>
      </c>
      <c r="K29" s="843">
        <v>0</v>
      </c>
      <c r="L29" s="843">
        <v>0</v>
      </c>
      <c r="M29" s="843">
        <v>0</v>
      </c>
      <c r="N29" s="851"/>
      <c r="O29" s="848"/>
      <c r="P29" s="844"/>
      <c r="Q29" s="844"/>
    </row>
    <row r="30" spans="1:20">
      <c r="A30" s="845"/>
      <c r="B30" s="1188">
        <f t="shared" si="0"/>
        <v>25</v>
      </c>
      <c r="C30" s="1201" t="s">
        <v>269</v>
      </c>
      <c r="D30" s="1189">
        <v>2800</v>
      </c>
      <c r="E30" s="1189"/>
      <c r="F30" s="986"/>
      <c r="G30" s="986"/>
      <c r="H30" s="1061">
        <v>51</v>
      </c>
      <c r="I30" s="864"/>
      <c r="J30" s="852">
        <v>0</v>
      </c>
      <c r="K30" s="843">
        <v>0</v>
      </c>
      <c r="L30" s="843">
        <v>9.9166666666666661</v>
      </c>
      <c r="M30" s="843"/>
      <c r="N30" s="851"/>
      <c r="O30" s="849"/>
      <c r="P30" s="844"/>
      <c r="Q30" s="844"/>
    </row>
    <row r="31" spans="1:20">
      <c r="B31" s="1188">
        <f t="shared" si="0"/>
        <v>26</v>
      </c>
      <c r="C31" s="1201" t="s">
        <v>271</v>
      </c>
      <c r="D31" s="1189">
        <v>2000</v>
      </c>
      <c r="E31" s="1189"/>
      <c r="F31" s="986"/>
      <c r="G31" s="986"/>
      <c r="H31" s="1061">
        <v>35</v>
      </c>
      <c r="I31" s="864"/>
      <c r="J31" s="852">
        <v>0</v>
      </c>
      <c r="K31" s="843">
        <v>0</v>
      </c>
      <c r="L31" s="843">
        <v>4.8611111111111116</v>
      </c>
      <c r="M31" s="843"/>
      <c r="N31" s="851"/>
      <c r="O31" s="849"/>
      <c r="P31" s="844"/>
      <c r="Q31" s="844"/>
    </row>
    <row r="32" spans="1:20">
      <c r="B32" s="1188">
        <f t="shared" si="0"/>
        <v>27</v>
      </c>
      <c r="C32" s="1201" t="s">
        <v>272</v>
      </c>
      <c r="D32" s="1189">
        <v>2200</v>
      </c>
      <c r="E32" s="1189"/>
      <c r="F32" s="986"/>
      <c r="G32" s="986"/>
      <c r="H32" s="1061">
        <v>33</v>
      </c>
      <c r="I32" s="864"/>
      <c r="J32" s="852">
        <v>0</v>
      </c>
      <c r="K32" s="843">
        <v>0</v>
      </c>
      <c r="L32" s="843">
        <v>5.0416666666666661</v>
      </c>
      <c r="M32" s="843"/>
      <c r="N32" s="849"/>
      <c r="O32" s="849"/>
      <c r="P32" s="844"/>
      <c r="Q32" s="844"/>
    </row>
    <row r="33" spans="2:19">
      <c r="B33" s="1188">
        <f t="shared" si="0"/>
        <v>28</v>
      </c>
      <c r="C33" s="1201" t="s">
        <v>274</v>
      </c>
      <c r="D33" s="1189">
        <v>2300</v>
      </c>
      <c r="E33" s="1189"/>
      <c r="F33" s="986"/>
      <c r="G33" s="986"/>
      <c r="H33" s="1061">
        <v>13</v>
      </c>
      <c r="I33" s="864"/>
      <c r="J33" s="852">
        <v>0</v>
      </c>
      <c r="K33" s="843">
        <v>0</v>
      </c>
      <c r="L33" s="843">
        <v>2.0763888888888893</v>
      </c>
      <c r="M33" s="843"/>
      <c r="N33" s="849"/>
      <c r="O33" s="849"/>
      <c r="P33" s="844"/>
      <c r="Q33" s="844"/>
      <c r="S33" s="1169"/>
    </row>
    <row r="34" spans="2:19">
      <c r="B34" s="1188">
        <f t="shared" si="0"/>
        <v>29</v>
      </c>
      <c r="C34" s="1201" t="s">
        <v>276</v>
      </c>
      <c r="D34" s="1189">
        <v>2500</v>
      </c>
      <c r="E34" s="1189"/>
      <c r="F34" s="986"/>
      <c r="G34" s="986"/>
      <c r="H34" s="1061">
        <v>138</v>
      </c>
      <c r="I34" s="864"/>
      <c r="J34" s="852">
        <v>0</v>
      </c>
      <c r="K34" s="843">
        <v>0</v>
      </c>
      <c r="L34" s="843">
        <v>25.041250000000002</v>
      </c>
      <c r="M34" s="843"/>
      <c r="N34" s="851"/>
      <c r="O34" s="849"/>
      <c r="P34" s="844"/>
      <c r="Q34" s="844"/>
    </row>
    <row r="35" spans="2:19">
      <c r="B35" s="1188">
        <f t="shared" si="0"/>
        <v>30</v>
      </c>
      <c r="C35" s="1201" t="s">
        <v>279</v>
      </c>
      <c r="D35" s="1189">
        <v>1800</v>
      </c>
      <c r="E35" s="1189"/>
      <c r="F35" s="849"/>
      <c r="G35" s="986"/>
      <c r="H35" s="1061">
        <v>228</v>
      </c>
      <c r="I35" s="1065"/>
      <c r="J35" s="852">
        <v>0</v>
      </c>
      <c r="K35" s="843">
        <v>0</v>
      </c>
      <c r="L35" s="843">
        <v>28.5</v>
      </c>
      <c r="M35" s="849"/>
      <c r="N35" s="849"/>
      <c r="O35" s="849">
        <v>0</v>
      </c>
      <c r="P35" s="1167"/>
      <c r="Q35" s="845"/>
    </row>
    <row r="36" spans="2:19">
      <c r="B36" s="1188">
        <f t="shared" si="0"/>
        <v>31</v>
      </c>
      <c r="C36" s="1201" t="s">
        <v>281</v>
      </c>
      <c r="D36" s="1189">
        <v>1700</v>
      </c>
      <c r="E36" s="1189"/>
      <c r="F36" s="849"/>
      <c r="G36" s="986"/>
      <c r="H36" s="1064">
        <v>78</v>
      </c>
      <c r="I36" s="1065">
        <v>1</v>
      </c>
      <c r="J36" s="852">
        <v>0</v>
      </c>
      <c r="K36" s="843">
        <v>56.666666666666664</v>
      </c>
      <c r="L36" s="843">
        <v>9.8204166666666666</v>
      </c>
      <c r="M36" s="991"/>
      <c r="N36" s="991"/>
      <c r="O36" s="991"/>
    </row>
    <row r="37" spans="2:19">
      <c r="B37" s="1188">
        <f t="shared" si="0"/>
        <v>32</v>
      </c>
      <c r="C37" s="1201" t="s">
        <v>282</v>
      </c>
      <c r="D37" s="1189">
        <v>1500</v>
      </c>
      <c r="E37" s="1189"/>
      <c r="F37" s="849"/>
      <c r="G37" s="986"/>
      <c r="H37" s="1064">
        <v>11</v>
      </c>
      <c r="I37" s="1065"/>
      <c r="J37" s="852">
        <v>0</v>
      </c>
      <c r="K37" s="843">
        <v>0</v>
      </c>
      <c r="L37" s="843">
        <v>1.2321527777777777</v>
      </c>
      <c r="M37" s="991"/>
      <c r="N37" s="991"/>
      <c r="O37" s="991"/>
    </row>
    <row r="38" spans="2:19">
      <c r="B38" s="1188">
        <f t="shared" si="0"/>
        <v>33</v>
      </c>
      <c r="C38" s="1006" t="s">
        <v>284</v>
      </c>
      <c r="D38" s="1189">
        <v>2000</v>
      </c>
      <c r="E38" s="1189"/>
      <c r="F38" s="849"/>
      <c r="G38" s="986"/>
      <c r="H38" s="1064">
        <v>86</v>
      </c>
      <c r="I38" s="1065"/>
      <c r="J38" s="852">
        <v>0</v>
      </c>
      <c r="K38" s="843">
        <v>0</v>
      </c>
      <c r="L38" s="843">
        <v>11.944444444444445</v>
      </c>
      <c r="M38" s="991"/>
      <c r="N38" s="991"/>
      <c r="O38" s="991"/>
    </row>
    <row r="39" spans="2:19">
      <c r="B39" s="1188">
        <f t="shared" si="0"/>
        <v>34</v>
      </c>
      <c r="C39" s="1006" t="s">
        <v>757</v>
      </c>
      <c r="D39" s="1189">
        <v>2850</v>
      </c>
      <c r="E39" s="1189"/>
      <c r="F39" s="849"/>
      <c r="G39" s="986"/>
      <c r="H39" s="1064">
        <v>340</v>
      </c>
      <c r="I39" s="1065"/>
      <c r="J39" s="852">
        <v>0</v>
      </c>
      <c r="K39" s="843">
        <v>0</v>
      </c>
      <c r="L39" s="843">
        <v>67.291666666666657</v>
      </c>
      <c r="M39" s="991"/>
      <c r="N39" s="991"/>
      <c r="O39" s="991"/>
      <c r="P39" s="1168"/>
    </row>
    <row r="40" spans="2:19">
      <c r="B40" s="1188">
        <f t="shared" si="0"/>
        <v>35</v>
      </c>
      <c r="C40" s="1006" t="s">
        <v>760</v>
      </c>
      <c r="D40" s="1189">
        <v>1700</v>
      </c>
      <c r="E40" s="1189"/>
      <c r="F40" s="849"/>
      <c r="G40" s="986"/>
      <c r="H40" s="1064">
        <v>11</v>
      </c>
      <c r="I40" s="1175"/>
      <c r="J40" s="852">
        <v>0</v>
      </c>
      <c r="K40" s="843">
        <v>0</v>
      </c>
      <c r="L40" s="843">
        <v>1.2986111111111112</v>
      </c>
      <c r="M40" s="991"/>
      <c r="N40" s="991"/>
      <c r="O40" s="991"/>
    </row>
    <row r="41" spans="2:19">
      <c r="B41" s="1188">
        <f t="shared" si="0"/>
        <v>36</v>
      </c>
      <c r="C41" s="1006" t="s">
        <v>762</v>
      </c>
      <c r="D41" s="1189">
        <v>2800</v>
      </c>
      <c r="E41" s="1189"/>
      <c r="F41" s="849"/>
      <c r="G41" s="986"/>
      <c r="H41" s="1064">
        <v>101</v>
      </c>
      <c r="I41" s="1065"/>
      <c r="J41" s="852">
        <v>0</v>
      </c>
      <c r="K41" s="843">
        <v>0</v>
      </c>
      <c r="L41" s="843">
        <v>19.638888888888889</v>
      </c>
      <c r="M41" s="991"/>
      <c r="N41" s="991"/>
      <c r="O41" s="849"/>
      <c r="P41" s="845"/>
      <c r="Q41" s="845"/>
    </row>
    <row r="42" spans="2:19">
      <c r="B42" s="1188">
        <f t="shared" si="0"/>
        <v>37</v>
      </c>
      <c r="C42" s="1006" t="s">
        <v>763</v>
      </c>
      <c r="D42" s="1189">
        <v>1400</v>
      </c>
      <c r="E42" s="1189"/>
      <c r="F42" s="849"/>
      <c r="G42" s="986"/>
      <c r="H42" s="1064">
        <v>28</v>
      </c>
      <c r="I42" s="1065"/>
      <c r="J42" s="852">
        <v>0</v>
      </c>
      <c r="K42" s="843">
        <v>0</v>
      </c>
      <c r="L42" s="843">
        <v>2.7222222222222223</v>
      </c>
      <c r="M42" s="991"/>
      <c r="N42" s="991"/>
      <c r="O42" s="849"/>
      <c r="P42" s="845"/>
      <c r="Q42" s="845"/>
    </row>
    <row r="43" spans="2:19">
      <c r="B43" s="1188">
        <f t="shared" si="0"/>
        <v>38</v>
      </c>
      <c r="C43" s="1006" t="s">
        <v>764</v>
      </c>
      <c r="D43" s="1189">
        <v>2000</v>
      </c>
      <c r="E43" s="1189"/>
      <c r="F43" s="849"/>
      <c r="G43" s="986"/>
      <c r="H43" s="1064">
        <v>56</v>
      </c>
      <c r="I43" s="1065">
        <v>1</v>
      </c>
      <c r="J43" s="852">
        <v>0</v>
      </c>
      <c r="K43" s="843">
        <v>66.666666666666671</v>
      </c>
      <c r="L43" s="843">
        <v>7.7777777777777786</v>
      </c>
      <c r="M43" s="991"/>
      <c r="N43" s="991"/>
      <c r="O43" s="849"/>
      <c r="P43" s="845"/>
      <c r="Q43" s="845"/>
    </row>
    <row r="44" spans="2:19">
      <c r="B44" s="1188">
        <f t="shared" si="0"/>
        <v>39</v>
      </c>
      <c r="C44" s="1006" t="s">
        <v>765</v>
      </c>
      <c r="D44" s="1189">
        <v>1200</v>
      </c>
      <c r="E44" s="1189"/>
      <c r="F44" s="849"/>
      <c r="G44" s="986"/>
      <c r="H44" s="1064">
        <v>27</v>
      </c>
      <c r="I44" s="1065"/>
      <c r="J44" s="852">
        <v>0</v>
      </c>
      <c r="K44" s="843">
        <v>0</v>
      </c>
      <c r="L44" s="843">
        <v>2.461875</v>
      </c>
      <c r="M44" s="991"/>
      <c r="N44" s="991"/>
      <c r="O44" s="849"/>
      <c r="P44" s="850"/>
      <c r="Q44" s="845"/>
    </row>
    <row r="45" spans="2:19">
      <c r="B45" s="1188">
        <f t="shared" si="0"/>
        <v>40</v>
      </c>
      <c r="C45" s="1006" t="s">
        <v>792</v>
      </c>
      <c r="D45" s="1189">
        <v>2000</v>
      </c>
      <c r="E45" s="1189"/>
      <c r="F45" s="849"/>
      <c r="G45" s="986"/>
      <c r="H45" s="1064">
        <v>12</v>
      </c>
      <c r="I45" s="1065"/>
      <c r="J45" s="852">
        <v>0</v>
      </c>
      <c r="K45" s="843">
        <v>0</v>
      </c>
      <c r="L45" s="843">
        <v>1.6666666666666667</v>
      </c>
      <c r="M45" s="991"/>
      <c r="N45" s="991"/>
      <c r="O45" s="849"/>
      <c r="P45" s="845"/>
      <c r="Q45" s="845"/>
    </row>
    <row r="46" spans="2:19">
      <c r="B46" s="1188">
        <f t="shared" si="0"/>
        <v>41</v>
      </c>
      <c r="C46" s="1006" t="s">
        <v>919</v>
      </c>
      <c r="D46" s="1189">
        <v>2500</v>
      </c>
      <c r="E46" s="1189"/>
      <c r="F46" s="849"/>
      <c r="G46" s="986"/>
      <c r="H46" s="1064">
        <v>30</v>
      </c>
      <c r="I46" s="1065"/>
      <c r="J46" s="852">
        <v>0</v>
      </c>
      <c r="K46" s="843">
        <v>0</v>
      </c>
      <c r="L46" s="843">
        <v>5.4437499999999996</v>
      </c>
      <c r="M46" s="991"/>
      <c r="N46" s="991"/>
      <c r="O46" s="849"/>
      <c r="P46" s="845"/>
      <c r="Q46" s="845"/>
    </row>
    <row r="47" spans="2:19">
      <c r="B47" s="1188">
        <f t="shared" si="0"/>
        <v>42</v>
      </c>
      <c r="C47" s="1006" t="s">
        <v>920</v>
      </c>
      <c r="D47" s="1189">
        <v>1600</v>
      </c>
      <c r="E47" s="1189"/>
      <c r="F47" s="849"/>
      <c r="G47" s="986"/>
      <c r="H47" s="1064">
        <v>7</v>
      </c>
      <c r="I47" s="1065">
        <v>1</v>
      </c>
      <c r="J47" s="852">
        <v>0</v>
      </c>
      <c r="K47" s="843">
        <v>53.333333333333336</v>
      </c>
      <c r="L47" s="843">
        <v>0.77777777777777779</v>
      </c>
      <c r="M47" s="991"/>
      <c r="N47" s="991"/>
      <c r="O47" s="849"/>
      <c r="P47" s="845"/>
      <c r="Q47" s="845"/>
    </row>
    <row r="48" spans="2:19">
      <c r="B48" s="1188">
        <f t="shared" si="0"/>
        <v>43</v>
      </c>
      <c r="C48" s="1006" t="s">
        <v>928</v>
      </c>
      <c r="D48" s="1189">
        <v>1800</v>
      </c>
      <c r="E48" s="1189"/>
      <c r="F48" s="849"/>
      <c r="G48" s="986"/>
      <c r="H48" s="1064">
        <v>27</v>
      </c>
      <c r="I48" s="1065"/>
      <c r="J48" s="852">
        <v>0</v>
      </c>
      <c r="K48" s="843">
        <v>0</v>
      </c>
      <c r="L48" s="843">
        <v>3.375</v>
      </c>
      <c r="M48" s="991"/>
      <c r="N48" s="991"/>
      <c r="O48" s="849"/>
    </row>
    <row r="49" spans="2:15">
      <c r="B49" s="1188">
        <f>+B48+1</f>
        <v>44</v>
      </c>
      <c r="C49" s="1006" t="s">
        <v>929</v>
      </c>
      <c r="D49" s="1189">
        <v>3500</v>
      </c>
      <c r="E49" s="1189"/>
      <c r="F49" s="991"/>
      <c r="G49" s="986"/>
      <c r="H49" s="1064">
        <v>0</v>
      </c>
      <c r="I49" s="1065"/>
      <c r="J49" s="852">
        <v>1</v>
      </c>
      <c r="K49" s="843">
        <v>0</v>
      </c>
      <c r="L49" s="843">
        <v>0</v>
      </c>
      <c r="M49" s="991"/>
      <c r="N49" s="991"/>
      <c r="O49" s="849"/>
    </row>
  </sheetData>
  <autoFilter ref="B3:E48" xr:uid="{EF359DCA-E633-47F1-BF3B-C5AFF74F52F4}"/>
  <conditionalFormatting sqref="C9:C19 C21:C42">
    <cfRule type="duplicateValues" dxfId="3" priority="2"/>
  </conditionalFormatting>
  <conditionalFormatting sqref="C20">
    <cfRule type="duplicateValues" dxfId="2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263-91F2-4BE3-A11E-D2326581571C}">
  <dimension ref="A1:N47"/>
  <sheetViews>
    <sheetView workbookViewId="0">
      <selection activeCell="N21" sqref="N21"/>
    </sheetView>
  </sheetViews>
  <sheetFormatPr baseColWidth="10" defaultRowHeight="15"/>
  <cols>
    <col min="1" max="1" width="11.85546875" customWidth="1"/>
    <col min="2" max="2" width="12.28515625" bestFit="1" customWidth="1"/>
    <col min="3" max="3" width="12.85546875" customWidth="1"/>
    <col min="4" max="4" width="12.5703125" bestFit="1" customWidth="1"/>
  </cols>
  <sheetData>
    <row r="1" spans="1:14">
      <c r="A1" s="1313" t="s">
        <v>350</v>
      </c>
    </row>
    <row r="2" spans="1:14">
      <c r="A2" s="1574">
        <v>2025</v>
      </c>
      <c r="B2" s="1575"/>
      <c r="C2" s="1575"/>
      <c r="D2" s="1575"/>
      <c r="E2" s="1575"/>
      <c r="F2" s="1576"/>
      <c r="G2" s="1574">
        <v>2026</v>
      </c>
      <c r="H2" s="1575"/>
      <c r="I2" s="1575"/>
      <c r="J2" s="1575"/>
      <c r="K2" s="1575"/>
      <c r="L2" s="1576"/>
    </row>
    <row r="3" spans="1:14">
      <c r="A3" s="1232" t="s">
        <v>324</v>
      </c>
      <c r="B3" s="1232" t="s">
        <v>325</v>
      </c>
      <c r="C3" s="1232" t="s">
        <v>326</v>
      </c>
      <c r="D3" s="1232" t="s">
        <v>327</v>
      </c>
      <c r="E3" s="1232" t="s">
        <v>328</v>
      </c>
      <c r="F3" s="1232" t="s">
        <v>329</v>
      </c>
      <c r="G3" s="1232" t="s">
        <v>318</v>
      </c>
      <c r="H3" s="1232" t="s">
        <v>319</v>
      </c>
      <c r="I3" s="1232" t="s">
        <v>320</v>
      </c>
      <c r="J3" s="1232" t="s">
        <v>321</v>
      </c>
      <c r="K3" s="1232" t="s">
        <v>322</v>
      </c>
      <c r="L3" s="1232" t="s">
        <v>323</v>
      </c>
      <c r="M3" s="1311" t="s">
        <v>125</v>
      </c>
    </row>
    <row r="4" spans="1:14">
      <c r="A4" s="1318">
        <v>2142.75</v>
      </c>
      <c r="B4" s="1317">
        <v>2792.4066450000009</v>
      </c>
      <c r="C4" s="1318">
        <v>1457.0636999999999</v>
      </c>
      <c r="D4" s="1318">
        <v>1122.8265000000001</v>
      </c>
      <c r="E4" s="1318">
        <v>2531.9699999999998</v>
      </c>
      <c r="F4" s="1319">
        <v>829.3</v>
      </c>
      <c r="G4" s="1319">
        <v>1375.3926864406781</v>
      </c>
      <c r="H4" s="1320">
        <v>2137.4428499999999</v>
      </c>
      <c r="I4" s="1320">
        <v>1953.9544499999995</v>
      </c>
      <c r="J4" s="1320">
        <v>1486.9737000000002</v>
      </c>
      <c r="K4" s="1320">
        <v>1343.5632000000001</v>
      </c>
      <c r="L4" s="1320">
        <v>1994.6995500000003</v>
      </c>
      <c r="M4" s="173">
        <f>SUM(A4:L4)</f>
        <v>21168.343281440677</v>
      </c>
      <c r="N4" t="s">
        <v>350</v>
      </c>
    </row>
    <row r="5" spans="1:14">
      <c r="M5" s="1312"/>
    </row>
    <row r="6" spans="1:14">
      <c r="A6" s="1313" t="s">
        <v>903</v>
      </c>
      <c r="M6" s="1312"/>
    </row>
    <row r="7" spans="1:14">
      <c r="A7" s="1577">
        <v>2025</v>
      </c>
      <c r="B7" s="1577"/>
      <c r="C7" s="1577"/>
      <c r="D7" s="1577"/>
      <c r="E7" s="1577"/>
      <c r="F7" s="1577"/>
      <c r="G7" s="1577">
        <v>2026</v>
      </c>
      <c r="H7" s="1577"/>
      <c r="I7" s="1577"/>
      <c r="J7" s="1577"/>
      <c r="K7" s="1577"/>
      <c r="L7" s="1577"/>
      <c r="M7" s="1312"/>
    </row>
    <row r="8" spans="1:14">
      <c r="A8" s="1232" t="s">
        <v>324</v>
      </c>
      <c r="B8" s="1232" t="s">
        <v>325</v>
      </c>
      <c r="C8" s="1232" t="s">
        <v>326</v>
      </c>
      <c r="D8" s="1232" t="s">
        <v>327</v>
      </c>
      <c r="E8" s="1232" t="s">
        <v>328</v>
      </c>
      <c r="F8" s="1232" t="s">
        <v>329</v>
      </c>
      <c r="G8" s="1232" t="s">
        <v>318</v>
      </c>
      <c r="H8" s="1232" t="s">
        <v>319</v>
      </c>
      <c r="I8" s="1232" t="s">
        <v>320</v>
      </c>
      <c r="J8" s="1232" t="s">
        <v>321</v>
      </c>
      <c r="K8" s="1232" t="s">
        <v>322</v>
      </c>
      <c r="L8" s="1232" t="s">
        <v>323</v>
      </c>
      <c r="M8" s="1316" t="s">
        <v>125</v>
      </c>
    </row>
    <row r="9" spans="1:14">
      <c r="A9" s="158">
        <v>2913</v>
      </c>
      <c r="B9" s="158">
        <v>2913</v>
      </c>
      <c r="C9" s="158">
        <v>2913</v>
      </c>
      <c r="D9" s="158">
        <v>2913</v>
      </c>
      <c r="E9" s="158">
        <v>2913</v>
      </c>
      <c r="F9" s="158">
        <v>2913</v>
      </c>
      <c r="G9" s="158">
        <v>2913</v>
      </c>
      <c r="H9" s="158">
        <v>2913</v>
      </c>
      <c r="I9" s="158">
        <v>2913</v>
      </c>
      <c r="J9" s="158">
        <v>2913</v>
      </c>
      <c r="K9" s="158">
        <v>2913</v>
      </c>
      <c r="L9" s="158">
        <v>2913</v>
      </c>
      <c r="M9" s="1312">
        <f>SUM(A9:L9)</f>
        <v>34956</v>
      </c>
    </row>
    <row r="13" spans="1:14">
      <c r="B13" s="1314" t="s">
        <v>350</v>
      </c>
      <c r="C13" s="1314" t="s">
        <v>902</v>
      </c>
      <c r="D13" s="1314" t="s">
        <v>125</v>
      </c>
      <c r="E13" s="1314" t="s">
        <v>904</v>
      </c>
      <c r="F13" s="1314" t="s">
        <v>901</v>
      </c>
      <c r="G13" s="1314" t="s">
        <v>125</v>
      </c>
    </row>
    <row r="14" spans="1:14">
      <c r="B14" s="174">
        <f>M4</f>
        <v>21168.343281440677</v>
      </c>
      <c r="C14" s="174">
        <f>M9</f>
        <v>34956</v>
      </c>
      <c r="D14" s="1315">
        <f>B14+C14</f>
        <v>56124.343281440677</v>
      </c>
      <c r="E14" s="1315">
        <f>D14/360</f>
        <v>155.90095355955742</v>
      </c>
      <c r="F14" s="158">
        <v>5</v>
      </c>
      <c r="G14" s="1315">
        <f>E14*F14</f>
        <v>779.50476779778705</v>
      </c>
    </row>
    <row r="21" spans="1:10">
      <c r="A21" s="1313" t="s">
        <v>913</v>
      </c>
      <c r="C21" t="s">
        <v>245</v>
      </c>
    </row>
    <row r="22" spans="1:10">
      <c r="A22" s="1313" t="s">
        <v>429</v>
      </c>
      <c r="C22" s="1321">
        <v>46065</v>
      </c>
    </row>
    <row r="23" spans="1:10">
      <c r="A23" s="1313" t="s">
        <v>917</v>
      </c>
      <c r="C23" s="1321">
        <v>46205</v>
      </c>
      <c r="E23" t="s">
        <v>910</v>
      </c>
      <c r="G23" s="1321">
        <v>46209</v>
      </c>
      <c r="I23">
        <f>G23-C23+1</f>
        <v>5</v>
      </c>
      <c r="J23" t="s">
        <v>442</v>
      </c>
    </row>
    <row r="24" spans="1:10">
      <c r="A24" s="1313" t="s">
        <v>906</v>
      </c>
      <c r="C24">
        <v>2800</v>
      </c>
    </row>
    <row r="25" spans="1:10">
      <c r="A25" s="1313" t="s">
        <v>907</v>
      </c>
      <c r="C25">
        <v>113</v>
      </c>
    </row>
    <row r="27" spans="1:10" ht="23.25">
      <c r="A27" s="1329" t="s">
        <v>193</v>
      </c>
      <c r="B27" s="1329" t="s">
        <v>908</v>
      </c>
      <c r="C27" s="1329" t="s">
        <v>350</v>
      </c>
      <c r="D27" s="1329" t="s">
        <v>909</v>
      </c>
      <c r="E27" s="1329" t="s">
        <v>125</v>
      </c>
    </row>
    <row r="28" spans="1:10">
      <c r="A28" s="1332">
        <v>45839</v>
      </c>
      <c r="B28" s="1323">
        <v>2800</v>
      </c>
      <c r="C28" s="1324">
        <v>2142.75</v>
      </c>
      <c r="D28" s="1323">
        <v>113</v>
      </c>
      <c r="E28" s="1325">
        <f>SUM(B28:D28)</f>
        <v>5055.75</v>
      </c>
    </row>
    <row r="29" spans="1:10">
      <c r="A29" s="1332">
        <v>45870</v>
      </c>
      <c r="B29" s="1323">
        <v>2800</v>
      </c>
      <c r="C29" s="1324">
        <v>2792.4066450000009</v>
      </c>
      <c r="D29" s="1323">
        <v>113</v>
      </c>
      <c r="E29" s="1325">
        <f t="shared" ref="E29:E39" si="0">SUM(B29:D29)</f>
        <v>5705.4066450000009</v>
      </c>
    </row>
    <row r="30" spans="1:10">
      <c r="A30" s="1332">
        <v>45901</v>
      </c>
      <c r="B30" s="1323">
        <v>2800</v>
      </c>
      <c r="C30" s="1324">
        <v>1457.0636999999999</v>
      </c>
      <c r="D30" s="1323">
        <v>113</v>
      </c>
      <c r="E30" s="1325">
        <f t="shared" si="0"/>
        <v>4370.0636999999997</v>
      </c>
    </row>
    <row r="31" spans="1:10">
      <c r="A31" s="1332">
        <v>45931</v>
      </c>
      <c r="B31" s="1323">
        <v>2800</v>
      </c>
      <c r="C31" s="1324">
        <v>1122.8265000000001</v>
      </c>
      <c r="D31" s="1323">
        <v>113</v>
      </c>
      <c r="E31" s="1325">
        <f t="shared" si="0"/>
        <v>4035.8265000000001</v>
      </c>
    </row>
    <row r="32" spans="1:10">
      <c r="A32" s="1332">
        <v>45962</v>
      </c>
      <c r="B32" s="1323">
        <v>2800</v>
      </c>
      <c r="C32" s="1324">
        <v>2531.9699999999998</v>
      </c>
      <c r="D32" s="1323">
        <v>113</v>
      </c>
      <c r="E32" s="1325">
        <f t="shared" si="0"/>
        <v>5444.9699999999993</v>
      </c>
    </row>
    <row r="33" spans="1:5">
      <c r="A33" s="1332">
        <v>45992</v>
      </c>
      <c r="B33" s="1323">
        <v>2800</v>
      </c>
      <c r="C33" s="1326">
        <v>829.3</v>
      </c>
      <c r="D33" s="1323">
        <v>113</v>
      </c>
      <c r="E33" s="1325">
        <f t="shared" si="0"/>
        <v>3742.3</v>
      </c>
    </row>
    <row r="34" spans="1:5">
      <c r="A34" s="1332">
        <v>46023</v>
      </c>
      <c r="B34" s="1323">
        <v>2800</v>
      </c>
      <c r="C34" s="1326">
        <v>1375.3926864406781</v>
      </c>
      <c r="D34" s="1323">
        <v>113</v>
      </c>
      <c r="E34" s="1325">
        <f t="shared" si="0"/>
        <v>4288.3926864406785</v>
      </c>
    </row>
    <row r="35" spans="1:5">
      <c r="A35" s="1332">
        <v>46054</v>
      </c>
      <c r="B35" s="1323">
        <v>2800</v>
      </c>
      <c r="C35" s="1327">
        <v>2137.4428499999999</v>
      </c>
      <c r="D35" s="1323">
        <v>113</v>
      </c>
      <c r="E35" s="1325">
        <f t="shared" si="0"/>
        <v>5050.4428499999995</v>
      </c>
    </row>
    <row r="36" spans="1:5">
      <c r="A36" s="1332">
        <v>46082</v>
      </c>
      <c r="B36" s="1323">
        <v>2800</v>
      </c>
      <c r="C36" s="1327">
        <v>1953.9544499999995</v>
      </c>
      <c r="D36" s="1323">
        <v>113</v>
      </c>
      <c r="E36" s="1325">
        <f t="shared" si="0"/>
        <v>4866.9544499999993</v>
      </c>
    </row>
    <row r="37" spans="1:5">
      <c r="A37" s="1332">
        <v>46113</v>
      </c>
      <c r="B37" s="1323">
        <v>2800</v>
      </c>
      <c r="C37" s="1327">
        <v>1486.9737000000002</v>
      </c>
      <c r="D37" s="1323">
        <v>113</v>
      </c>
      <c r="E37" s="1325">
        <f t="shared" si="0"/>
        <v>4399.9737000000005</v>
      </c>
    </row>
    <row r="38" spans="1:5">
      <c r="A38" s="1332">
        <v>46143</v>
      </c>
      <c r="B38" s="1323">
        <v>2800</v>
      </c>
      <c r="C38" s="1327">
        <v>1343.5632000000001</v>
      </c>
      <c r="D38" s="1323">
        <v>113</v>
      </c>
      <c r="E38" s="1325">
        <f t="shared" si="0"/>
        <v>4256.5632000000005</v>
      </c>
    </row>
    <row r="39" spans="1:5">
      <c r="A39" s="1332">
        <v>46174</v>
      </c>
      <c r="B39" s="1323">
        <v>2800</v>
      </c>
      <c r="C39" s="1327">
        <v>1994.6995500000003</v>
      </c>
      <c r="D39" s="1323">
        <v>113</v>
      </c>
      <c r="E39" s="1325">
        <f t="shared" si="0"/>
        <v>4907.6995500000003</v>
      </c>
    </row>
    <row r="40" spans="1:5">
      <c r="A40" s="1322"/>
      <c r="B40" s="1331">
        <f>SUM(B28:B39)</f>
        <v>33600</v>
      </c>
      <c r="C40" s="1330"/>
      <c r="D40" s="1330"/>
      <c r="E40" s="1331">
        <f>SUM(E28:E39)</f>
        <v>56124.343281440677</v>
      </c>
    </row>
    <row r="41" spans="1:5">
      <c r="A41" s="1322"/>
    </row>
    <row r="42" spans="1:5">
      <c r="A42" s="1322"/>
    </row>
    <row r="43" spans="1:5">
      <c r="A43" s="1322" t="s">
        <v>911</v>
      </c>
      <c r="D43" s="762">
        <f>E40</f>
        <v>56124.343281440677</v>
      </c>
    </row>
    <row r="44" spans="1:5">
      <c r="A44" s="1322" t="s">
        <v>912</v>
      </c>
      <c r="D44">
        <v>360</v>
      </c>
    </row>
    <row r="45" spans="1:5">
      <c r="A45" s="1322" t="s">
        <v>914</v>
      </c>
      <c r="D45" s="762">
        <f>D43/D44</f>
        <v>155.90095355955742</v>
      </c>
    </row>
    <row r="46" spans="1:5">
      <c r="A46" s="1322" t="s">
        <v>915</v>
      </c>
      <c r="D46">
        <f>I23</f>
        <v>5</v>
      </c>
    </row>
    <row r="47" spans="1:5">
      <c r="A47" s="1322" t="s">
        <v>916</v>
      </c>
      <c r="D47" s="1328">
        <f>D46*D45</f>
        <v>779.50476779778705</v>
      </c>
      <c r="E47" s="1333">
        <f>D47</f>
        <v>779.50476779778705</v>
      </c>
    </row>
  </sheetData>
  <mergeCells count="4">
    <mergeCell ref="A2:F2"/>
    <mergeCell ref="G2:L2"/>
    <mergeCell ref="A7:F7"/>
    <mergeCell ref="G7:L7"/>
  </mergeCells>
  <phoneticPr fontId="40" type="noConversion"/>
  <pageMargins left="0.7" right="0.7" top="0.75" bottom="0.75" header="0.3" footer="0.3"/>
  <ignoredErrors>
    <ignoredError sqref="E28:E39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9BD4-083F-42D5-9673-B5517C5A1115}">
  <dimension ref="A1:P59"/>
  <sheetViews>
    <sheetView topLeftCell="A21" zoomScale="85" zoomScaleNormal="85" workbookViewId="0">
      <selection activeCell="R35" sqref="R35"/>
    </sheetView>
  </sheetViews>
  <sheetFormatPr baseColWidth="10" defaultColWidth="11.42578125" defaultRowHeight="15"/>
  <cols>
    <col min="1" max="1" width="4.28515625" style="597" customWidth="1"/>
    <col min="2" max="2" width="37.85546875" style="597" customWidth="1"/>
    <col min="3" max="3" width="10.5703125" style="597" customWidth="1"/>
    <col min="4" max="6" width="9.7109375" style="597" customWidth="1"/>
    <col min="7" max="7" width="28" style="597" customWidth="1"/>
    <col min="8" max="8" width="11.7109375" style="597" customWidth="1"/>
    <col min="9" max="10" width="12.28515625" style="597" customWidth="1"/>
    <col min="11" max="11" width="11.5703125" style="597" customWidth="1"/>
    <col min="12" max="12" width="11.42578125" style="287"/>
    <col min="13" max="13" width="12" style="737" customWidth="1"/>
    <col min="14" max="16384" width="11.42578125" style="287"/>
  </cols>
  <sheetData>
    <row r="1" spans="1:16">
      <c r="A1" s="738">
        <v>1</v>
      </c>
      <c r="B1" s="738">
        <v>2</v>
      </c>
      <c r="C1" s="738"/>
      <c r="D1" s="738"/>
      <c r="E1" s="738"/>
      <c r="F1" s="738"/>
      <c r="G1" s="738"/>
      <c r="H1" s="738">
        <v>6</v>
      </c>
      <c r="I1" s="738"/>
      <c r="J1" s="738"/>
      <c r="K1" s="738">
        <v>14</v>
      </c>
    </row>
    <row r="2" spans="1:16">
      <c r="A2" s="287"/>
      <c r="B2" s="287"/>
      <c r="C2" s="287"/>
      <c r="D2" s="287"/>
      <c r="E2" s="287"/>
      <c r="F2" s="287"/>
      <c r="G2" s="287"/>
      <c r="H2" s="287"/>
      <c r="I2" s="287"/>
      <c r="J2" s="287"/>
      <c r="K2" s="287"/>
    </row>
    <row r="3" spans="1:16">
      <c r="A3" s="781" t="s">
        <v>119</v>
      </c>
      <c r="B3" s="782"/>
      <c r="C3" s="782"/>
      <c r="D3" s="782"/>
      <c r="E3" s="782"/>
      <c r="F3" s="782"/>
      <c r="G3" s="782"/>
      <c r="H3" s="782"/>
      <c r="I3" s="782"/>
      <c r="J3" s="782"/>
      <c r="K3" s="587"/>
    </row>
    <row r="4" spans="1:16">
      <c r="A4" s="287"/>
      <c r="B4" s="287"/>
      <c r="C4" s="287"/>
      <c r="D4" s="287"/>
      <c r="E4" s="287"/>
      <c r="F4" s="287"/>
      <c r="G4" s="287"/>
      <c r="H4" s="287"/>
      <c r="I4" s="287"/>
      <c r="J4" s="287"/>
      <c r="K4" s="287"/>
    </row>
    <row r="5" spans="1:16">
      <c r="A5" s="782"/>
      <c r="B5" s="782"/>
      <c r="C5" s="782"/>
      <c r="D5" s="782"/>
      <c r="E5" s="782"/>
      <c r="F5" s="782"/>
      <c r="G5" s="782"/>
      <c r="H5" s="587"/>
      <c r="I5" s="587"/>
      <c r="J5" s="587"/>
      <c r="K5" s="587"/>
    </row>
    <row r="6" spans="1:16">
      <c r="A6" s="287"/>
      <c r="B6" s="287"/>
      <c r="C6" s="287"/>
      <c r="D6" s="287"/>
      <c r="E6" s="287"/>
      <c r="F6" s="287"/>
      <c r="G6" s="287"/>
      <c r="H6" s="287"/>
      <c r="I6" s="287"/>
      <c r="J6" s="287"/>
      <c r="K6" s="287"/>
    </row>
    <row r="7" spans="1:16">
      <c r="A7" s="782"/>
      <c r="B7" s="593"/>
      <c r="C7" s="593"/>
      <c r="D7" s="593"/>
      <c r="E7" s="593"/>
      <c r="F7" s="593"/>
      <c r="G7" s="593"/>
      <c r="H7" s="593"/>
      <c r="I7" s="593"/>
      <c r="J7" s="593"/>
      <c r="K7" s="590"/>
    </row>
    <row r="8" spans="1:16">
      <c r="A8" s="783"/>
      <c r="B8" s="784" t="s">
        <v>121</v>
      </c>
      <c r="C8" s="784"/>
      <c r="D8" s="784"/>
      <c r="E8" s="784"/>
      <c r="F8" s="784"/>
      <c r="G8" s="784"/>
      <c r="H8" s="784" t="s">
        <v>122</v>
      </c>
      <c r="I8" s="785"/>
      <c r="J8" s="785"/>
      <c r="K8" s="287"/>
    </row>
    <row r="9" spans="1:16">
      <c r="A9" s="786" t="s">
        <v>2</v>
      </c>
      <c r="B9" s="784" t="s">
        <v>128</v>
      </c>
      <c r="C9" s="786"/>
      <c r="D9" s="787" t="s">
        <v>129</v>
      </c>
      <c r="E9" s="787" t="s">
        <v>129</v>
      </c>
      <c r="F9" s="787" t="s">
        <v>129</v>
      </c>
      <c r="G9" s="783"/>
      <c r="H9" s="788" t="s">
        <v>62</v>
      </c>
      <c r="I9" s="783"/>
      <c r="J9" s="789"/>
      <c r="K9" s="797" t="s">
        <v>130</v>
      </c>
      <c r="L9" s="800"/>
      <c r="M9" s="811"/>
      <c r="N9" s="800"/>
      <c r="O9" s="800"/>
      <c r="P9" s="800"/>
    </row>
    <row r="10" spans="1:16" ht="24.75">
      <c r="A10" s="786"/>
      <c r="B10" s="783" t="s">
        <v>153</v>
      </c>
      <c r="C10" s="786" t="s">
        <v>154</v>
      </c>
      <c r="D10" s="786" t="s">
        <v>155</v>
      </c>
      <c r="E10" s="786" t="s">
        <v>155</v>
      </c>
      <c r="F10" s="786" t="s">
        <v>155</v>
      </c>
      <c r="G10" s="786" t="s">
        <v>3</v>
      </c>
      <c r="H10" s="789" t="s">
        <v>156</v>
      </c>
      <c r="I10" s="790" t="s">
        <v>157</v>
      </c>
      <c r="J10" s="791" t="s">
        <v>158</v>
      </c>
      <c r="K10" s="798" t="s">
        <v>163</v>
      </c>
      <c r="L10" s="803" t="s">
        <v>503</v>
      </c>
      <c r="M10" s="812" t="s">
        <v>504</v>
      </c>
      <c r="N10" s="804" t="s">
        <v>505</v>
      </c>
      <c r="O10" s="804" t="s">
        <v>72</v>
      </c>
      <c r="P10" s="805"/>
    </row>
    <row r="11" spans="1:16">
      <c r="A11" s="792"/>
      <c r="B11" s="792"/>
      <c r="C11" s="792"/>
      <c r="D11" s="786" t="s">
        <v>190</v>
      </c>
      <c r="E11" s="786" t="s">
        <v>191</v>
      </c>
      <c r="F11" s="792" t="s">
        <v>192</v>
      </c>
      <c r="G11" s="792"/>
      <c r="H11" s="793" t="s">
        <v>144</v>
      </c>
      <c r="I11" s="792"/>
      <c r="J11" s="794"/>
      <c r="K11" s="799"/>
      <c r="L11" s="801" t="s">
        <v>441</v>
      </c>
      <c r="M11" s="813" t="s">
        <v>506</v>
      </c>
      <c r="N11" s="802" t="s">
        <v>175</v>
      </c>
      <c r="O11" s="802" t="s">
        <v>507</v>
      </c>
      <c r="P11" s="802" t="s">
        <v>441</v>
      </c>
    </row>
    <row r="12" spans="1:16">
      <c r="A12" s="744">
        <f t="shared" ref="A12:A27" si="0">+A11+1</f>
        <v>1</v>
      </c>
      <c r="B12" s="580" t="s">
        <v>234</v>
      </c>
      <c r="C12" s="745" t="s">
        <v>235</v>
      </c>
      <c r="D12" s="818">
        <v>33557</v>
      </c>
      <c r="E12" s="746">
        <v>44896</v>
      </c>
      <c r="F12" s="747"/>
      <c r="G12" s="748" t="s">
        <v>236</v>
      </c>
      <c r="H12" s="749" t="s">
        <v>73</v>
      </c>
      <c r="I12" s="590">
        <v>2500</v>
      </c>
      <c r="J12" s="750"/>
      <c r="K12" s="578">
        <v>2500</v>
      </c>
      <c r="L12" s="806">
        <f t="shared" ref="L12:L45" si="1">+J12+K12</f>
        <v>2500</v>
      </c>
      <c r="M12" s="811">
        <f>+L12*12</f>
        <v>30000</v>
      </c>
      <c r="N12" s="800">
        <v>0.15</v>
      </c>
      <c r="O12" s="816">
        <f t="shared" ref="O12:O44" si="2">+M12*N12/100</f>
        <v>45</v>
      </c>
      <c r="P12" s="800"/>
    </row>
    <row r="13" spans="1:16">
      <c r="A13" s="744">
        <f t="shared" si="0"/>
        <v>2</v>
      </c>
      <c r="B13" s="580" t="s">
        <v>525</v>
      </c>
      <c r="C13" s="751" t="s">
        <v>267</v>
      </c>
      <c r="D13" s="752">
        <v>36860</v>
      </c>
      <c r="E13" s="747">
        <v>45658</v>
      </c>
      <c r="F13" s="747"/>
      <c r="G13" s="748" t="s">
        <v>517</v>
      </c>
      <c r="H13" s="749" t="s">
        <v>72</v>
      </c>
      <c r="I13" s="590">
        <v>1800</v>
      </c>
      <c r="J13" s="578"/>
      <c r="K13" s="578">
        <v>1800</v>
      </c>
      <c r="L13" s="807">
        <f t="shared" si="1"/>
        <v>1800</v>
      </c>
      <c r="M13" s="814">
        <f t="shared" ref="M13:M45" si="3">+L13*12</f>
        <v>21600</v>
      </c>
      <c r="N13" s="808">
        <v>0.15</v>
      </c>
      <c r="O13" s="817">
        <f t="shared" si="2"/>
        <v>32.4</v>
      </c>
      <c r="P13" s="808"/>
    </row>
    <row r="14" spans="1:16">
      <c r="A14" s="744">
        <f t="shared" si="0"/>
        <v>3</v>
      </c>
      <c r="B14" s="580" t="s">
        <v>252</v>
      </c>
      <c r="C14" s="751" t="s">
        <v>253</v>
      </c>
      <c r="D14" s="752">
        <v>26434</v>
      </c>
      <c r="E14" s="747">
        <v>45474</v>
      </c>
      <c r="F14" s="747"/>
      <c r="G14" s="748" t="s">
        <v>512</v>
      </c>
      <c r="H14" s="749" t="s">
        <v>72</v>
      </c>
      <c r="I14" s="590">
        <v>2050</v>
      </c>
      <c r="J14" s="578"/>
      <c r="K14" s="578">
        <v>2050</v>
      </c>
      <c r="L14" s="807">
        <f t="shared" si="1"/>
        <v>2050</v>
      </c>
      <c r="M14" s="814">
        <f t="shared" si="3"/>
        <v>24600</v>
      </c>
      <c r="N14" s="808">
        <v>0.39</v>
      </c>
      <c r="O14" s="817">
        <f t="shared" si="2"/>
        <v>95.94</v>
      </c>
      <c r="P14" s="808"/>
    </row>
    <row r="15" spans="1:16">
      <c r="A15" s="744">
        <f t="shared" si="0"/>
        <v>4</v>
      </c>
      <c r="B15" s="580" t="s">
        <v>226</v>
      </c>
      <c r="C15" s="751">
        <v>44030334</v>
      </c>
      <c r="D15" s="752">
        <v>31334</v>
      </c>
      <c r="E15" s="747">
        <v>44321</v>
      </c>
      <c r="F15" s="747"/>
      <c r="G15" s="748" t="s">
        <v>227</v>
      </c>
      <c r="H15" s="749" t="s">
        <v>72</v>
      </c>
      <c r="I15" s="590">
        <v>2000</v>
      </c>
      <c r="J15" s="578">
        <v>113</v>
      </c>
      <c r="K15" s="578">
        <v>2000</v>
      </c>
      <c r="L15" s="807">
        <f t="shared" si="1"/>
        <v>2113</v>
      </c>
      <c r="M15" s="814">
        <f t="shared" si="3"/>
        <v>25356</v>
      </c>
      <c r="N15" s="808">
        <v>0.39</v>
      </c>
      <c r="O15" s="817">
        <f t="shared" si="2"/>
        <v>98.888400000000004</v>
      </c>
      <c r="P15" s="808"/>
    </row>
    <row r="16" spans="1:16">
      <c r="A16" s="744">
        <f t="shared" si="0"/>
        <v>5</v>
      </c>
      <c r="B16" s="580" t="s">
        <v>519</v>
      </c>
      <c r="C16" s="751" t="s">
        <v>520</v>
      </c>
      <c r="D16" s="752">
        <v>29546</v>
      </c>
      <c r="E16" s="747">
        <v>45691</v>
      </c>
      <c r="F16" s="747"/>
      <c r="G16" s="748" t="s">
        <v>518</v>
      </c>
      <c r="H16" s="749" t="s">
        <v>72</v>
      </c>
      <c r="I16" s="590">
        <v>3200</v>
      </c>
      <c r="J16" s="578">
        <v>113</v>
      </c>
      <c r="K16" s="578">
        <v>3200</v>
      </c>
      <c r="L16" s="807">
        <f t="shared" si="1"/>
        <v>3313</v>
      </c>
      <c r="M16" s="814">
        <f t="shared" si="3"/>
        <v>39756</v>
      </c>
      <c r="N16" s="808">
        <v>0.39</v>
      </c>
      <c r="O16" s="817">
        <f t="shared" si="2"/>
        <v>155.04840000000002</v>
      </c>
      <c r="P16" s="808"/>
    </row>
    <row r="17" spans="1:16">
      <c r="A17" s="744">
        <f t="shared" si="0"/>
        <v>6</v>
      </c>
      <c r="B17" s="580" t="s">
        <v>219</v>
      </c>
      <c r="C17" s="751">
        <v>45538866</v>
      </c>
      <c r="D17" s="752">
        <v>32147</v>
      </c>
      <c r="E17" s="747">
        <v>42955</v>
      </c>
      <c r="F17" s="747"/>
      <c r="G17" s="748" t="s">
        <v>509</v>
      </c>
      <c r="H17" s="749" t="s">
        <v>144</v>
      </c>
      <c r="I17" s="590">
        <v>4500</v>
      </c>
      <c r="J17" s="578"/>
      <c r="K17" s="774">
        <v>10158.540000000001</v>
      </c>
      <c r="L17" s="807">
        <f t="shared" si="1"/>
        <v>10158.540000000001</v>
      </c>
      <c r="M17" s="814">
        <f t="shared" si="3"/>
        <v>121902.48000000001</v>
      </c>
      <c r="N17" s="808">
        <v>0.39</v>
      </c>
      <c r="O17" s="814">
        <f t="shared" si="2"/>
        <v>475.41967200000005</v>
      </c>
      <c r="P17" s="808"/>
    </row>
    <row r="18" spans="1:16">
      <c r="A18" s="744">
        <f t="shared" si="0"/>
        <v>7</v>
      </c>
      <c r="B18" s="580" t="s">
        <v>245</v>
      </c>
      <c r="C18" s="751">
        <v>25849757</v>
      </c>
      <c r="D18" s="752"/>
      <c r="E18" s="747">
        <v>45341</v>
      </c>
      <c r="F18" s="747"/>
      <c r="G18" s="748" t="s">
        <v>246</v>
      </c>
      <c r="H18" s="749" t="s">
        <v>71</v>
      </c>
      <c r="I18" s="590">
        <v>2800</v>
      </c>
      <c r="J18" s="578">
        <v>113</v>
      </c>
      <c r="K18" s="774">
        <f>3570.16-113</f>
        <v>3457.16</v>
      </c>
      <c r="L18" s="807">
        <f t="shared" si="1"/>
        <v>3570.16</v>
      </c>
      <c r="M18" s="814">
        <f t="shared" si="3"/>
        <v>42841.919999999998</v>
      </c>
      <c r="N18" s="808">
        <v>0.39</v>
      </c>
      <c r="O18" s="814">
        <f t="shared" si="2"/>
        <v>167.08348799999999</v>
      </c>
      <c r="P18" s="808"/>
    </row>
    <row r="19" spans="1:16">
      <c r="A19" s="744">
        <f t="shared" si="0"/>
        <v>8</v>
      </c>
      <c r="B19" s="580" t="s">
        <v>269</v>
      </c>
      <c r="C19" s="751" t="s">
        <v>521</v>
      </c>
      <c r="D19" s="752">
        <v>28259</v>
      </c>
      <c r="E19" s="747">
        <v>45698</v>
      </c>
      <c r="F19" s="747"/>
      <c r="G19" s="748" t="s">
        <v>270</v>
      </c>
      <c r="H19" s="749" t="s">
        <v>144</v>
      </c>
      <c r="I19" s="590">
        <v>2800</v>
      </c>
      <c r="J19" s="578"/>
      <c r="K19" s="578">
        <v>2800</v>
      </c>
      <c r="L19" s="807">
        <f t="shared" si="1"/>
        <v>2800</v>
      </c>
      <c r="M19" s="814">
        <f t="shared" si="3"/>
        <v>33600</v>
      </c>
      <c r="N19" s="808">
        <v>0.39</v>
      </c>
      <c r="O19" s="814">
        <f t="shared" si="2"/>
        <v>131.04</v>
      </c>
      <c r="P19" s="808"/>
    </row>
    <row r="20" spans="1:16">
      <c r="A20" s="744">
        <f t="shared" si="0"/>
        <v>9</v>
      </c>
      <c r="B20" s="580" t="s">
        <v>241</v>
      </c>
      <c r="C20" s="745" t="s">
        <v>242</v>
      </c>
      <c r="D20" s="752">
        <v>31380</v>
      </c>
      <c r="E20" s="747">
        <v>45005</v>
      </c>
      <c r="F20" s="747"/>
      <c r="G20" s="748" t="s">
        <v>254</v>
      </c>
      <c r="H20" s="749" t="s">
        <v>71</v>
      </c>
      <c r="I20" s="590">
        <v>3000</v>
      </c>
      <c r="J20" s="578"/>
      <c r="K20" s="578">
        <v>3000</v>
      </c>
      <c r="L20" s="807">
        <f t="shared" si="1"/>
        <v>3000</v>
      </c>
      <c r="M20" s="814">
        <f t="shared" si="3"/>
        <v>36000</v>
      </c>
      <c r="N20" s="808">
        <v>0.39</v>
      </c>
      <c r="O20" s="814">
        <f t="shared" si="2"/>
        <v>140.4</v>
      </c>
      <c r="P20" s="808"/>
    </row>
    <row r="21" spans="1:16">
      <c r="A21" s="744">
        <f t="shared" si="0"/>
        <v>10</v>
      </c>
      <c r="B21" s="580" t="s">
        <v>211</v>
      </c>
      <c r="C21" s="751">
        <v>41675364</v>
      </c>
      <c r="D21" s="752">
        <v>29556</v>
      </c>
      <c r="E21" s="747">
        <v>42513</v>
      </c>
      <c r="F21" s="747"/>
      <c r="G21" s="748" t="s">
        <v>212</v>
      </c>
      <c r="H21" s="749" t="s">
        <v>71</v>
      </c>
      <c r="I21" s="590">
        <v>4000</v>
      </c>
      <c r="J21" s="578">
        <v>113</v>
      </c>
      <c r="K21" s="581">
        <v>4000</v>
      </c>
      <c r="L21" s="807">
        <f t="shared" si="1"/>
        <v>4113</v>
      </c>
      <c r="M21" s="814">
        <f t="shared" si="3"/>
        <v>49356</v>
      </c>
      <c r="N21" s="808">
        <v>0.39</v>
      </c>
      <c r="O21" s="814">
        <f t="shared" si="2"/>
        <v>192.48840000000001</v>
      </c>
      <c r="P21" s="808"/>
    </row>
    <row r="22" spans="1:16">
      <c r="A22" s="744">
        <f t="shared" si="0"/>
        <v>11</v>
      </c>
      <c r="B22" s="580" t="s">
        <v>513</v>
      </c>
      <c r="C22" s="751" t="s">
        <v>514</v>
      </c>
      <c r="D22" s="752">
        <v>31311</v>
      </c>
      <c r="E22" s="747">
        <v>45512</v>
      </c>
      <c r="F22" s="747"/>
      <c r="G22" s="748" t="s">
        <v>263</v>
      </c>
      <c r="H22" s="749" t="s">
        <v>71</v>
      </c>
      <c r="I22" s="590">
        <v>1600</v>
      </c>
      <c r="J22" s="578">
        <v>113</v>
      </c>
      <c r="K22" s="581">
        <v>1600</v>
      </c>
      <c r="L22" s="807">
        <f t="shared" si="1"/>
        <v>1713</v>
      </c>
      <c r="M22" s="814">
        <f t="shared" si="3"/>
        <v>20556</v>
      </c>
      <c r="N22" s="808">
        <v>0.39</v>
      </c>
      <c r="O22" s="814">
        <f t="shared" si="2"/>
        <v>80.168400000000005</v>
      </c>
      <c r="P22" s="808"/>
    </row>
    <row r="23" spans="1:16">
      <c r="A23" s="744">
        <f t="shared" si="0"/>
        <v>12</v>
      </c>
      <c r="B23" s="580" t="s">
        <v>205</v>
      </c>
      <c r="C23" s="751">
        <v>9594953</v>
      </c>
      <c r="D23" s="752">
        <v>26364</v>
      </c>
      <c r="E23" s="747">
        <v>41548</v>
      </c>
      <c r="F23" s="747"/>
      <c r="G23" s="748" t="s">
        <v>206</v>
      </c>
      <c r="H23" s="749" t="s">
        <v>73</v>
      </c>
      <c r="I23" s="590">
        <v>6000</v>
      </c>
      <c r="J23" s="578">
        <v>113</v>
      </c>
      <c r="K23" s="578">
        <v>6000</v>
      </c>
      <c r="L23" s="807">
        <f t="shared" si="1"/>
        <v>6113</v>
      </c>
      <c r="M23" s="814">
        <f t="shared" si="3"/>
        <v>73356</v>
      </c>
      <c r="N23" s="808">
        <v>0.39</v>
      </c>
      <c r="O23" s="817">
        <f t="shared" si="2"/>
        <v>286.08839999999998</v>
      </c>
      <c r="P23" s="808"/>
    </row>
    <row r="24" spans="1:16">
      <c r="A24" s="744">
        <f t="shared" si="0"/>
        <v>13</v>
      </c>
      <c r="B24" s="580" t="s">
        <v>221</v>
      </c>
      <c r="C24" s="751">
        <v>71127068</v>
      </c>
      <c r="D24" s="752">
        <v>34500</v>
      </c>
      <c r="E24" s="747">
        <v>43045</v>
      </c>
      <c r="F24" s="747"/>
      <c r="G24" s="748" t="s">
        <v>222</v>
      </c>
      <c r="H24" s="749" t="s">
        <v>144</v>
      </c>
      <c r="I24" s="590">
        <v>2100</v>
      </c>
      <c r="J24" s="578"/>
      <c r="K24" s="578">
        <v>2100</v>
      </c>
      <c r="L24" s="807">
        <f t="shared" si="1"/>
        <v>2100</v>
      </c>
      <c r="M24" s="814">
        <f t="shared" si="3"/>
        <v>25200</v>
      </c>
      <c r="N24" s="808">
        <v>0.15</v>
      </c>
      <c r="O24" s="814">
        <f t="shared" si="2"/>
        <v>37.799999999999997</v>
      </c>
      <c r="P24" s="808"/>
    </row>
    <row r="25" spans="1:16">
      <c r="A25" s="744">
        <f t="shared" si="0"/>
        <v>14</v>
      </c>
      <c r="B25" s="580" t="s">
        <v>255</v>
      </c>
      <c r="C25" s="751" t="s">
        <v>256</v>
      </c>
      <c r="D25" s="752">
        <v>34632</v>
      </c>
      <c r="E25" s="747">
        <v>45537</v>
      </c>
      <c r="F25" s="747"/>
      <c r="G25" s="748" t="s">
        <v>257</v>
      </c>
      <c r="H25" s="749" t="s">
        <v>72</v>
      </c>
      <c r="I25" s="590">
        <v>1700</v>
      </c>
      <c r="J25" s="578"/>
      <c r="K25" s="578">
        <v>1700</v>
      </c>
      <c r="L25" s="807">
        <f t="shared" si="1"/>
        <v>1700</v>
      </c>
      <c r="M25" s="814">
        <f t="shared" si="3"/>
        <v>20400</v>
      </c>
      <c r="N25" s="808">
        <v>0.15</v>
      </c>
      <c r="O25" s="814">
        <f t="shared" si="2"/>
        <v>30.6</v>
      </c>
      <c r="P25" s="808"/>
    </row>
    <row r="26" spans="1:16">
      <c r="A26" s="744">
        <f t="shared" si="0"/>
        <v>15</v>
      </c>
      <c r="B26" s="580" t="s">
        <v>258</v>
      </c>
      <c r="C26" s="751" t="s">
        <v>259</v>
      </c>
      <c r="D26" s="752">
        <v>35803</v>
      </c>
      <c r="E26" s="747">
        <v>45581</v>
      </c>
      <c r="F26" s="747"/>
      <c r="G26" s="748" t="s">
        <v>257</v>
      </c>
      <c r="H26" s="749" t="s">
        <v>71</v>
      </c>
      <c r="I26" s="590">
        <v>2000</v>
      </c>
      <c r="J26" s="578"/>
      <c r="K26" s="578">
        <v>1800</v>
      </c>
      <c r="L26" s="807">
        <f t="shared" si="1"/>
        <v>1800</v>
      </c>
      <c r="M26" s="814">
        <f t="shared" si="3"/>
        <v>21600</v>
      </c>
      <c r="N26" s="808">
        <v>0.15</v>
      </c>
      <c r="O26" s="814">
        <f t="shared" si="2"/>
        <v>32.4</v>
      </c>
      <c r="P26" s="808"/>
    </row>
    <row r="27" spans="1:16">
      <c r="A27" s="744">
        <f t="shared" si="0"/>
        <v>16</v>
      </c>
      <c r="B27" s="580" t="s">
        <v>313</v>
      </c>
      <c r="C27" s="751" t="s">
        <v>312</v>
      </c>
      <c r="D27" s="752">
        <v>33567</v>
      </c>
      <c r="E27" s="747">
        <v>45691</v>
      </c>
      <c r="F27" s="747"/>
      <c r="G27" s="748" t="s">
        <v>518</v>
      </c>
      <c r="H27" s="749" t="s">
        <v>71</v>
      </c>
      <c r="I27" s="590">
        <v>3200</v>
      </c>
      <c r="J27" s="578"/>
      <c r="K27" s="578">
        <v>3200</v>
      </c>
      <c r="L27" s="807">
        <f t="shared" si="1"/>
        <v>3200</v>
      </c>
      <c r="M27" s="814">
        <f t="shared" si="3"/>
        <v>38400</v>
      </c>
      <c r="N27" s="808">
        <v>0.15</v>
      </c>
      <c r="O27" s="814">
        <f t="shared" si="2"/>
        <v>57.6</v>
      </c>
      <c r="P27" s="808"/>
    </row>
    <row r="28" spans="1:16">
      <c r="A28" s="744">
        <v>1</v>
      </c>
      <c r="B28" s="580" t="s">
        <v>201</v>
      </c>
      <c r="C28" s="745">
        <v>10305226</v>
      </c>
      <c r="D28" s="819">
        <v>27747</v>
      </c>
      <c r="E28" s="747">
        <v>39114</v>
      </c>
      <c r="F28" s="747"/>
      <c r="G28" s="748" t="s">
        <v>202</v>
      </c>
      <c r="H28" s="749" t="s">
        <v>71</v>
      </c>
      <c r="I28" s="590">
        <v>12000</v>
      </c>
      <c r="J28" s="578">
        <v>113</v>
      </c>
      <c r="K28" s="774">
        <f>12027.91-113</f>
        <v>11914.91</v>
      </c>
      <c r="L28" s="807">
        <f t="shared" si="1"/>
        <v>12027.91</v>
      </c>
      <c r="M28" s="814">
        <f t="shared" si="3"/>
        <v>144334.91999999998</v>
      </c>
      <c r="N28" s="808">
        <v>0.39</v>
      </c>
      <c r="O28" s="814">
        <f t="shared" si="2"/>
        <v>562.90618799999993</v>
      </c>
      <c r="P28" s="808"/>
    </row>
    <row r="29" spans="1:16">
      <c r="A29" s="744">
        <f t="shared" ref="A29:A45" si="4">+A28+1</f>
        <v>2</v>
      </c>
      <c r="B29" s="580" t="s">
        <v>214</v>
      </c>
      <c r="C29" s="751">
        <v>44425022</v>
      </c>
      <c r="D29" s="752">
        <v>31996</v>
      </c>
      <c r="E29" s="747">
        <v>42917</v>
      </c>
      <c r="F29" s="747"/>
      <c r="G29" s="748" t="s">
        <v>215</v>
      </c>
      <c r="H29" s="749" t="s">
        <v>71</v>
      </c>
      <c r="I29" s="590">
        <v>3360</v>
      </c>
      <c r="J29" s="578"/>
      <c r="K29" s="578">
        <v>3360</v>
      </c>
      <c r="L29" s="807">
        <f t="shared" si="1"/>
        <v>3360</v>
      </c>
      <c r="M29" s="814">
        <f t="shared" si="3"/>
        <v>40320</v>
      </c>
      <c r="N29" s="808">
        <v>0.39</v>
      </c>
      <c r="O29" s="814">
        <f t="shared" si="2"/>
        <v>157.24800000000002</v>
      </c>
      <c r="P29" s="808"/>
    </row>
    <row r="30" spans="1:16">
      <c r="A30" s="744">
        <f t="shared" si="4"/>
        <v>3</v>
      </c>
      <c r="B30" s="580" t="s">
        <v>230</v>
      </c>
      <c r="C30" s="745" t="s">
        <v>231</v>
      </c>
      <c r="D30" s="752">
        <v>30874</v>
      </c>
      <c r="E30" s="747">
        <v>44697</v>
      </c>
      <c r="F30" s="747"/>
      <c r="G30" s="748" t="s">
        <v>232</v>
      </c>
      <c r="H30" s="749" t="s">
        <v>73</v>
      </c>
      <c r="I30" s="590">
        <v>1200</v>
      </c>
      <c r="J30" s="578">
        <v>113</v>
      </c>
      <c r="K30" s="578">
        <v>1200</v>
      </c>
      <c r="L30" s="807">
        <f t="shared" si="1"/>
        <v>1313</v>
      </c>
      <c r="M30" s="814">
        <f t="shared" si="3"/>
        <v>15756</v>
      </c>
      <c r="N30" s="808">
        <v>0.39</v>
      </c>
      <c r="O30" s="814">
        <f t="shared" si="2"/>
        <v>61.448399999999999</v>
      </c>
      <c r="P30" s="808"/>
    </row>
    <row r="31" spans="1:16">
      <c r="A31" s="744">
        <f t="shared" si="4"/>
        <v>4</v>
      </c>
      <c r="B31" s="580" t="s">
        <v>217</v>
      </c>
      <c r="C31" s="751">
        <v>43172155</v>
      </c>
      <c r="D31" s="752">
        <v>31249</v>
      </c>
      <c r="E31" s="747">
        <v>42948</v>
      </c>
      <c r="F31" s="747"/>
      <c r="G31" s="748" t="s">
        <v>218</v>
      </c>
      <c r="H31" s="749" t="s">
        <v>71</v>
      </c>
      <c r="I31" s="590">
        <v>6000</v>
      </c>
      <c r="J31" s="578">
        <v>113</v>
      </c>
      <c r="K31" s="578">
        <v>6000</v>
      </c>
      <c r="L31" s="807">
        <f t="shared" si="1"/>
        <v>6113</v>
      </c>
      <c r="M31" s="814">
        <f t="shared" si="3"/>
        <v>73356</v>
      </c>
      <c r="N31" s="808">
        <v>0.39</v>
      </c>
      <c r="O31" s="814">
        <f t="shared" si="2"/>
        <v>286.08839999999998</v>
      </c>
      <c r="P31" s="808"/>
    </row>
    <row r="32" spans="1:16">
      <c r="A32" s="744">
        <f t="shared" si="4"/>
        <v>5</v>
      </c>
      <c r="B32" s="580" t="s">
        <v>248</v>
      </c>
      <c r="C32" s="751">
        <v>45654429</v>
      </c>
      <c r="D32" s="752">
        <v>30383</v>
      </c>
      <c r="E32" s="747">
        <v>45398</v>
      </c>
      <c r="F32" s="747"/>
      <c r="G32" s="748" t="s">
        <v>249</v>
      </c>
      <c r="H32" s="749" t="s">
        <v>144</v>
      </c>
      <c r="I32" s="590">
        <v>1130</v>
      </c>
      <c r="J32" s="578"/>
      <c r="K32" s="578">
        <v>1130</v>
      </c>
      <c r="L32" s="807">
        <f t="shared" si="1"/>
        <v>1130</v>
      </c>
      <c r="M32" s="814">
        <f t="shared" si="3"/>
        <v>13560</v>
      </c>
      <c r="N32" s="808">
        <v>0.39</v>
      </c>
      <c r="O32" s="814">
        <f t="shared" si="2"/>
        <v>52.884000000000007</v>
      </c>
      <c r="P32" s="808"/>
    </row>
    <row r="33" spans="1:16">
      <c r="A33" s="744">
        <f t="shared" si="4"/>
        <v>6</v>
      </c>
      <c r="B33" s="580" t="s">
        <v>228</v>
      </c>
      <c r="C33" s="751" t="s">
        <v>310</v>
      </c>
      <c r="D33" s="752">
        <v>26945</v>
      </c>
      <c r="E33" s="747">
        <v>44593</v>
      </c>
      <c r="F33" s="747"/>
      <c r="G33" s="748" t="s">
        <v>229</v>
      </c>
      <c r="H33" s="749" t="s">
        <v>72</v>
      </c>
      <c r="I33" s="590">
        <v>3500</v>
      </c>
      <c r="J33" s="578">
        <v>113</v>
      </c>
      <c r="K33" s="774">
        <f>6895.21-113</f>
        <v>6782.21</v>
      </c>
      <c r="L33" s="807">
        <f t="shared" si="1"/>
        <v>6895.21</v>
      </c>
      <c r="M33" s="814">
        <f t="shared" si="3"/>
        <v>82742.52</v>
      </c>
      <c r="N33" s="808">
        <v>0.39</v>
      </c>
      <c r="O33" s="814">
        <f t="shared" si="2"/>
        <v>322.69582800000006</v>
      </c>
      <c r="P33" s="808"/>
    </row>
    <row r="34" spans="1:16">
      <c r="A34" s="744">
        <f t="shared" si="4"/>
        <v>7</v>
      </c>
      <c r="B34" s="580" t="s">
        <v>515</v>
      </c>
      <c r="C34" s="751">
        <v>43831490</v>
      </c>
      <c r="D34" s="752">
        <v>31666</v>
      </c>
      <c r="E34" s="747">
        <v>45628</v>
      </c>
      <c r="F34" s="747"/>
      <c r="G34" s="748" t="s">
        <v>516</v>
      </c>
      <c r="H34" s="749" t="s">
        <v>70</v>
      </c>
      <c r="I34" s="590">
        <v>2800</v>
      </c>
      <c r="J34" s="578"/>
      <c r="K34" s="581">
        <v>2800</v>
      </c>
      <c r="L34" s="807">
        <f t="shared" si="1"/>
        <v>2800</v>
      </c>
      <c r="M34" s="814">
        <f t="shared" si="3"/>
        <v>33600</v>
      </c>
      <c r="N34" s="808">
        <v>0.39</v>
      </c>
      <c r="O34" s="814">
        <f t="shared" si="2"/>
        <v>131.04</v>
      </c>
      <c r="P34" s="808"/>
    </row>
    <row r="35" spans="1:16">
      <c r="A35" s="744">
        <f t="shared" si="4"/>
        <v>8</v>
      </c>
      <c r="B35" s="580" t="s">
        <v>243</v>
      </c>
      <c r="C35" s="745" t="s">
        <v>244</v>
      </c>
      <c r="D35" s="752">
        <v>34355</v>
      </c>
      <c r="E35" s="747">
        <v>45307</v>
      </c>
      <c r="F35" s="747"/>
      <c r="G35" s="748" t="s">
        <v>257</v>
      </c>
      <c r="H35" s="749" t="s">
        <v>70</v>
      </c>
      <c r="I35" s="590">
        <v>2000</v>
      </c>
      <c r="J35" s="578"/>
      <c r="K35" s="581">
        <v>2000</v>
      </c>
      <c r="L35" s="807">
        <f t="shared" si="1"/>
        <v>2000</v>
      </c>
      <c r="M35" s="814">
        <f t="shared" si="3"/>
        <v>24000</v>
      </c>
      <c r="N35" s="808">
        <v>0.15</v>
      </c>
      <c r="O35" s="814">
        <f t="shared" si="2"/>
        <v>36</v>
      </c>
      <c r="P35" s="808"/>
    </row>
    <row r="36" spans="1:16">
      <c r="A36" s="744">
        <f t="shared" si="4"/>
        <v>9</v>
      </c>
      <c r="B36" s="580" t="s">
        <v>276</v>
      </c>
      <c r="C36" s="751" t="s">
        <v>277</v>
      </c>
      <c r="D36" s="752">
        <v>30308</v>
      </c>
      <c r="E36" s="747">
        <v>45446</v>
      </c>
      <c r="F36" s="747"/>
      <c r="G36" s="748" t="s">
        <v>249</v>
      </c>
      <c r="H36" s="749" t="s">
        <v>144</v>
      </c>
      <c r="I36" s="590">
        <v>2000</v>
      </c>
      <c r="J36" s="578">
        <v>113</v>
      </c>
      <c r="K36" s="581">
        <v>2000</v>
      </c>
      <c r="L36" s="807">
        <f t="shared" si="1"/>
        <v>2113</v>
      </c>
      <c r="M36" s="814">
        <f t="shared" si="3"/>
        <v>25356</v>
      </c>
      <c r="N36" s="808">
        <v>0.39</v>
      </c>
      <c r="O36" s="814">
        <f t="shared" si="2"/>
        <v>98.888400000000004</v>
      </c>
      <c r="P36" s="808"/>
    </row>
    <row r="37" spans="1:16">
      <c r="A37" s="744">
        <f t="shared" si="4"/>
        <v>10</v>
      </c>
      <c r="B37" s="580" t="s">
        <v>247</v>
      </c>
      <c r="C37" s="751">
        <v>42953954</v>
      </c>
      <c r="D37" s="752">
        <v>31117</v>
      </c>
      <c r="E37" s="747">
        <v>45398</v>
      </c>
      <c r="F37" s="747"/>
      <c r="G37" s="748" t="s">
        <v>511</v>
      </c>
      <c r="H37" s="749" t="s">
        <v>71</v>
      </c>
      <c r="I37" s="590">
        <v>2500</v>
      </c>
      <c r="J37" s="578">
        <v>113</v>
      </c>
      <c r="K37" s="581">
        <v>2500</v>
      </c>
      <c r="L37" s="807">
        <f t="shared" si="1"/>
        <v>2613</v>
      </c>
      <c r="M37" s="814">
        <f t="shared" si="3"/>
        <v>31356</v>
      </c>
      <c r="N37" s="808">
        <v>0.39</v>
      </c>
      <c r="O37" s="814">
        <f t="shared" si="2"/>
        <v>122.2884</v>
      </c>
      <c r="P37" s="808"/>
    </row>
    <row r="38" spans="1:16">
      <c r="A38" s="744">
        <f t="shared" si="4"/>
        <v>11</v>
      </c>
      <c r="B38" s="580" t="s">
        <v>208</v>
      </c>
      <c r="C38" s="745">
        <v>46335654</v>
      </c>
      <c r="D38" s="752">
        <v>33029</v>
      </c>
      <c r="E38" s="747">
        <v>42327</v>
      </c>
      <c r="F38" s="747"/>
      <c r="G38" s="748" t="s">
        <v>508</v>
      </c>
      <c r="H38" s="749" t="s">
        <v>71</v>
      </c>
      <c r="I38" s="590">
        <v>3000</v>
      </c>
      <c r="J38" s="578">
        <v>113</v>
      </c>
      <c r="K38" s="581">
        <v>3000</v>
      </c>
      <c r="L38" s="807">
        <f t="shared" si="1"/>
        <v>3113</v>
      </c>
      <c r="M38" s="814">
        <f t="shared" si="3"/>
        <v>37356</v>
      </c>
      <c r="N38" s="808">
        <v>0.15</v>
      </c>
      <c r="O38" s="814">
        <f t="shared" si="2"/>
        <v>56.033999999999999</v>
      </c>
      <c r="P38" s="808"/>
    </row>
    <row r="39" spans="1:16">
      <c r="A39" s="744">
        <f t="shared" si="4"/>
        <v>12</v>
      </c>
      <c r="B39" s="580" t="s">
        <v>238</v>
      </c>
      <c r="C39" s="745" t="s">
        <v>239</v>
      </c>
      <c r="D39" s="752">
        <v>34906</v>
      </c>
      <c r="E39" s="747">
        <v>44972</v>
      </c>
      <c r="F39" s="747"/>
      <c r="G39" s="748" t="s">
        <v>240</v>
      </c>
      <c r="H39" s="749" t="s">
        <v>71</v>
      </c>
      <c r="I39" s="590">
        <v>2000</v>
      </c>
      <c r="J39" s="578"/>
      <c r="K39" s="581">
        <v>2000</v>
      </c>
      <c r="L39" s="807">
        <f t="shared" si="1"/>
        <v>2000</v>
      </c>
      <c r="M39" s="814">
        <f t="shared" si="3"/>
        <v>24000</v>
      </c>
      <c r="N39" s="808">
        <v>0.15</v>
      </c>
      <c r="O39" s="814">
        <f t="shared" si="2"/>
        <v>36</v>
      </c>
      <c r="P39" s="808"/>
    </row>
    <row r="40" spans="1:16">
      <c r="A40" s="744">
        <f t="shared" si="4"/>
        <v>13</v>
      </c>
      <c r="B40" s="580" t="s">
        <v>268</v>
      </c>
      <c r="C40" s="751" t="s">
        <v>311</v>
      </c>
      <c r="D40" s="752">
        <v>36161</v>
      </c>
      <c r="E40" s="747">
        <v>45689</v>
      </c>
      <c r="F40" s="747"/>
      <c r="G40" s="748" t="s">
        <v>229</v>
      </c>
      <c r="H40" s="749" t="s">
        <v>71</v>
      </c>
      <c r="I40" s="590">
        <v>2500</v>
      </c>
      <c r="J40" s="578"/>
      <c r="K40" s="581">
        <v>2500</v>
      </c>
      <c r="L40" s="807">
        <f t="shared" si="1"/>
        <v>2500</v>
      </c>
      <c r="M40" s="814">
        <f t="shared" si="3"/>
        <v>30000</v>
      </c>
      <c r="N40" s="808">
        <v>0.15</v>
      </c>
      <c r="O40" s="814">
        <f t="shared" si="2"/>
        <v>45</v>
      </c>
      <c r="P40" s="808"/>
    </row>
    <row r="41" spans="1:16">
      <c r="A41" s="744">
        <f t="shared" si="4"/>
        <v>14</v>
      </c>
      <c r="B41" s="580" t="s">
        <v>264</v>
      </c>
      <c r="C41" s="751" t="s">
        <v>265</v>
      </c>
      <c r="D41" s="752">
        <v>32383</v>
      </c>
      <c r="E41" s="747">
        <v>45658</v>
      </c>
      <c r="F41" s="747"/>
      <c r="G41" s="748" t="s">
        <v>236</v>
      </c>
      <c r="H41" s="749" t="s">
        <v>72</v>
      </c>
      <c r="I41" s="590">
        <v>2400</v>
      </c>
      <c r="J41" s="578"/>
      <c r="K41" s="581">
        <v>2400</v>
      </c>
      <c r="L41" s="807">
        <f t="shared" si="1"/>
        <v>2400</v>
      </c>
      <c r="M41" s="814">
        <f t="shared" si="3"/>
        <v>28800</v>
      </c>
      <c r="N41" s="808">
        <v>0.15</v>
      </c>
      <c r="O41" s="814">
        <f t="shared" si="2"/>
        <v>43.2</v>
      </c>
      <c r="P41" s="808"/>
    </row>
    <row r="42" spans="1:16">
      <c r="A42" s="744">
        <f t="shared" si="4"/>
        <v>15</v>
      </c>
      <c r="B42" s="580" t="s">
        <v>223</v>
      </c>
      <c r="C42" s="751">
        <v>46497553</v>
      </c>
      <c r="D42" s="752">
        <v>33124</v>
      </c>
      <c r="E42" s="747">
        <v>44018</v>
      </c>
      <c r="F42" s="747"/>
      <c r="G42" s="748" t="s">
        <v>224</v>
      </c>
      <c r="H42" s="749" t="s">
        <v>71</v>
      </c>
      <c r="I42" s="590">
        <v>2500</v>
      </c>
      <c r="J42" s="578"/>
      <c r="K42" s="581">
        <v>2500</v>
      </c>
      <c r="L42" s="807">
        <f t="shared" si="1"/>
        <v>2500</v>
      </c>
      <c r="M42" s="814">
        <f t="shared" si="3"/>
        <v>30000</v>
      </c>
      <c r="N42" s="808">
        <v>0.15</v>
      </c>
      <c r="O42" s="814">
        <f t="shared" si="2"/>
        <v>45</v>
      </c>
      <c r="P42" s="808"/>
    </row>
    <row r="43" spans="1:16">
      <c r="A43" s="744">
        <f t="shared" si="4"/>
        <v>16</v>
      </c>
      <c r="B43" s="580" t="s">
        <v>332</v>
      </c>
      <c r="C43" s="751" t="s">
        <v>510</v>
      </c>
      <c r="D43" s="752">
        <v>36115</v>
      </c>
      <c r="E43" s="747">
        <v>45306</v>
      </c>
      <c r="F43" s="747"/>
      <c r="G43" s="748" t="s">
        <v>229</v>
      </c>
      <c r="H43" s="749" t="s">
        <v>72</v>
      </c>
      <c r="I43" s="590">
        <v>2000</v>
      </c>
      <c r="J43" s="578">
        <v>113</v>
      </c>
      <c r="K43" s="820">
        <f>2737.4-J43</f>
        <v>2624.4</v>
      </c>
      <c r="L43" s="807">
        <f t="shared" si="1"/>
        <v>2737.4</v>
      </c>
      <c r="M43" s="814">
        <f t="shared" si="3"/>
        <v>32848.800000000003</v>
      </c>
      <c r="N43" s="808">
        <v>0.15</v>
      </c>
      <c r="O43" s="814">
        <f t="shared" si="2"/>
        <v>49.273200000000003</v>
      </c>
      <c r="P43" s="808"/>
    </row>
    <row r="44" spans="1:16">
      <c r="A44" s="744">
        <f t="shared" si="4"/>
        <v>17</v>
      </c>
      <c r="B44" s="580" t="s">
        <v>260</v>
      </c>
      <c r="C44" s="751" t="s">
        <v>261</v>
      </c>
      <c r="D44" s="752" t="s">
        <v>262</v>
      </c>
      <c r="E44" s="747">
        <v>45627</v>
      </c>
      <c r="F44" s="747"/>
      <c r="G44" s="748" t="s">
        <v>263</v>
      </c>
      <c r="H44" s="749" t="s">
        <v>71</v>
      </c>
      <c r="I44" s="590">
        <v>2200</v>
      </c>
      <c r="J44" s="578"/>
      <c r="K44" s="581">
        <v>2200</v>
      </c>
      <c r="L44" s="807">
        <f t="shared" si="1"/>
        <v>2200</v>
      </c>
      <c r="M44" s="814">
        <f t="shared" si="3"/>
        <v>26400</v>
      </c>
      <c r="N44" s="808">
        <v>0.15</v>
      </c>
      <c r="O44" s="814">
        <f t="shared" si="2"/>
        <v>39.6</v>
      </c>
      <c r="P44" s="808"/>
    </row>
    <row r="45" spans="1:16">
      <c r="A45" s="744">
        <f t="shared" si="4"/>
        <v>18</v>
      </c>
      <c r="B45" s="580" t="s">
        <v>250</v>
      </c>
      <c r="C45" s="751" t="s">
        <v>308</v>
      </c>
      <c r="D45" s="752">
        <v>34560</v>
      </c>
      <c r="E45" s="747">
        <v>45418</v>
      </c>
      <c r="F45" s="747"/>
      <c r="G45" s="748" t="s">
        <v>251</v>
      </c>
      <c r="H45" s="749" t="s">
        <v>71</v>
      </c>
      <c r="I45" s="590">
        <v>2000</v>
      </c>
      <c r="J45" s="578"/>
      <c r="K45" s="581">
        <v>2000</v>
      </c>
      <c r="L45" s="807">
        <f t="shared" si="1"/>
        <v>2000</v>
      </c>
      <c r="M45" s="814">
        <f t="shared" si="3"/>
        <v>24000</v>
      </c>
      <c r="N45" s="808">
        <v>0.15</v>
      </c>
      <c r="O45" s="814">
        <f>+M45*N45/100</f>
        <v>36</v>
      </c>
      <c r="P45" s="808"/>
    </row>
    <row r="46" spans="1:16">
      <c r="A46" s="744">
        <f t="shared" ref="A46:A47" si="5">+A45+1</f>
        <v>19</v>
      </c>
      <c r="B46" s="580" t="s">
        <v>522</v>
      </c>
      <c r="C46" s="751">
        <v>46544434</v>
      </c>
      <c r="D46" s="752">
        <v>33107</v>
      </c>
      <c r="E46" s="747">
        <v>45719</v>
      </c>
      <c r="F46" s="747"/>
      <c r="G46" s="748" t="s">
        <v>523</v>
      </c>
      <c r="H46" s="749" t="s">
        <v>73</v>
      </c>
      <c r="I46" s="590">
        <v>1500</v>
      </c>
      <c r="J46" s="578"/>
      <c r="K46" s="581">
        <f>50*29</f>
        <v>1450</v>
      </c>
      <c r="L46" s="807">
        <f t="shared" ref="L46:L47" si="6">+J46+K46</f>
        <v>1450</v>
      </c>
      <c r="M46" s="814">
        <f t="shared" ref="M46:M48" si="7">+L46*12</f>
        <v>17400</v>
      </c>
      <c r="N46" s="808"/>
      <c r="O46" s="814">
        <f t="shared" ref="O46:O48" si="8">+M46*N46/100</f>
        <v>0</v>
      </c>
      <c r="P46" s="808"/>
    </row>
    <row r="47" spans="1:16">
      <c r="A47" s="744">
        <f t="shared" si="5"/>
        <v>20</v>
      </c>
      <c r="B47" s="580" t="s">
        <v>271</v>
      </c>
      <c r="C47" s="751">
        <v>48461873</v>
      </c>
      <c r="D47" s="752">
        <v>34304</v>
      </c>
      <c r="E47" s="747">
        <v>45719</v>
      </c>
      <c r="F47" s="747"/>
      <c r="G47" s="748" t="s">
        <v>524</v>
      </c>
      <c r="H47" s="749" t="s">
        <v>71</v>
      </c>
      <c r="I47" s="590">
        <v>1700</v>
      </c>
      <c r="J47" s="578"/>
      <c r="K47" s="581">
        <v>1700</v>
      </c>
      <c r="L47" s="807">
        <f t="shared" si="6"/>
        <v>1700</v>
      </c>
      <c r="M47" s="814">
        <f t="shared" si="7"/>
        <v>20400</v>
      </c>
      <c r="N47" s="808"/>
      <c r="O47" s="814">
        <f t="shared" si="8"/>
        <v>0</v>
      </c>
      <c r="P47" s="808"/>
    </row>
    <row r="48" spans="1:16">
      <c r="A48" s="744"/>
      <c r="B48" s="580"/>
      <c r="C48" s="751"/>
      <c r="D48" s="752"/>
      <c r="E48" s="747"/>
      <c r="F48" s="747"/>
      <c r="G48" s="748"/>
      <c r="H48" s="749"/>
      <c r="I48" s="590"/>
      <c r="J48" s="578"/>
      <c r="K48" s="576">
        <v>2850</v>
      </c>
      <c r="L48" s="576">
        <v>2850</v>
      </c>
      <c r="M48" s="814">
        <f t="shared" si="7"/>
        <v>34200</v>
      </c>
      <c r="N48" s="808"/>
      <c r="O48" s="814">
        <f t="shared" si="8"/>
        <v>0</v>
      </c>
      <c r="P48" s="808"/>
    </row>
    <row r="49" spans="1:16" ht="15.75" thickBot="1">
      <c r="A49" s="795"/>
      <c r="B49" s="584"/>
      <c r="C49" s="604"/>
      <c r="D49" s="583"/>
      <c r="E49" s="606"/>
      <c r="F49" s="606"/>
      <c r="G49" s="606"/>
      <c r="H49" s="605"/>
      <c r="I49" s="632"/>
      <c r="J49" s="632"/>
      <c r="K49" s="578"/>
      <c r="L49" s="809"/>
      <c r="M49" s="815"/>
      <c r="N49" s="810"/>
      <c r="O49" s="810"/>
      <c r="P49" s="810"/>
    </row>
    <row r="50" spans="1:16" ht="15.75" thickBot="1">
      <c r="A50" s="782"/>
      <c r="B50" s="782"/>
      <c r="C50" s="782"/>
      <c r="D50" s="782"/>
      <c r="E50" s="782"/>
      <c r="F50" s="782"/>
      <c r="G50" s="782"/>
      <c r="H50" s="782"/>
      <c r="I50" s="782"/>
      <c r="J50" s="796">
        <f t="shared" ref="J50" si="9">SUM(J12:J49)</f>
        <v>1582</v>
      </c>
      <c r="K50" s="796">
        <f t="shared" ref="K50" si="10">SUM(K12:K49)</f>
        <v>116277.22</v>
      </c>
      <c r="O50" s="821">
        <f>SUM(O12:O49)</f>
        <v>4239.9599760000001</v>
      </c>
    </row>
    <row r="51" spans="1:16">
      <c r="A51" s="782"/>
      <c r="B51" s="782"/>
      <c r="C51" s="782"/>
      <c r="D51" s="782"/>
      <c r="E51" s="782"/>
      <c r="F51" s="782"/>
      <c r="G51" s="782"/>
      <c r="H51" s="782"/>
      <c r="I51" s="782"/>
      <c r="J51" s="782"/>
      <c r="K51" s="587"/>
    </row>
    <row r="52" spans="1:16">
      <c r="B52" s="789"/>
      <c r="C52" s="789"/>
      <c r="D52" s="789"/>
      <c r="E52" s="789"/>
      <c r="F52" s="789"/>
      <c r="G52" s="789"/>
      <c r="O52" s="287">
        <v>4239.96</v>
      </c>
    </row>
    <row r="53" spans="1:16">
      <c r="O53" s="821">
        <f>+O52-O50</f>
        <v>2.3999999939405825E-5</v>
      </c>
    </row>
    <row r="58" spans="1:16">
      <c r="B58" s="634"/>
      <c r="C58" s="634"/>
      <c r="D58" s="634"/>
      <c r="E58" s="634"/>
      <c r="F58" s="634"/>
      <c r="G58" s="634"/>
    </row>
    <row r="59" spans="1:16">
      <c r="B59" s="634"/>
      <c r="C59" s="634"/>
      <c r="D59" s="634"/>
      <c r="E59" s="634"/>
      <c r="F59" s="634"/>
      <c r="G59" s="634"/>
    </row>
  </sheetData>
  <sortState xmlns:xlrd2="http://schemas.microsoft.com/office/spreadsheetml/2017/richdata2" ref="A12:P45">
    <sortCondition ref="B12:B45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A8B5-51BF-4B16-A1A5-462D9D00D576}">
  <dimension ref="A1"/>
  <sheetViews>
    <sheetView workbookViewId="0">
      <selection activeCell="M61" sqref="M61"/>
    </sheetView>
  </sheetViews>
  <sheetFormatPr baseColWidth="10" defaultColWidth="11.42578125" defaultRowHeight="1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9B4C2-A103-4921-99EB-FA9269C6469D}">
  <dimension ref="A1:S144"/>
  <sheetViews>
    <sheetView topLeftCell="A7" workbookViewId="0">
      <selection activeCell="L29" sqref="L29"/>
    </sheetView>
  </sheetViews>
  <sheetFormatPr baseColWidth="10" defaultColWidth="11.42578125" defaultRowHeight="12"/>
  <cols>
    <col min="1" max="1" width="11.42578125" style="1267"/>
    <col min="2" max="2" width="39" style="1267" customWidth="1"/>
    <col min="3" max="3" width="11.42578125" style="1267"/>
    <col min="4" max="4" width="14.28515625" style="1267" customWidth="1"/>
    <col min="5" max="5" width="11.42578125" style="1267"/>
    <col min="6" max="7" width="11" style="1267" customWidth="1"/>
    <col min="8" max="16384" width="11.42578125" style="1267"/>
  </cols>
  <sheetData>
    <row r="1" spans="1:12">
      <c r="A1" s="1264" t="s">
        <v>798</v>
      </c>
      <c r="B1" s="1265"/>
      <c r="C1" s="1265"/>
      <c r="D1" s="1265"/>
      <c r="E1" s="1265"/>
      <c r="F1" s="1265"/>
      <c r="G1" s="1265"/>
      <c r="H1" s="1265"/>
      <c r="I1" s="1265"/>
      <c r="J1" s="1266"/>
      <c r="K1" s="1265"/>
      <c r="L1" s="1265"/>
    </row>
    <row r="2" spans="1:12">
      <c r="A2" s="1266"/>
      <c r="B2" s="1265"/>
      <c r="C2" s="1265"/>
      <c r="D2" s="1265"/>
      <c r="E2" s="1265"/>
      <c r="F2" s="1265"/>
      <c r="G2" s="1265"/>
      <c r="H2" s="1265"/>
      <c r="I2" s="1265"/>
      <c r="J2" s="1266"/>
      <c r="K2" s="1265"/>
      <c r="L2" s="1265"/>
    </row>
    <row r="3" spans="1:12">
      <c r="A3" s="1578" t="s">
        <v>799</v>
      </c>
      <c r="B3" s="1578"/>
      <c r="C3" s="1578"/>
      <c r="D3" s="1578"/>
      <c r="E3" s="1578"/>
      <c r="F3" s="1578"/>
      <c r="G3" s="1578"/>
      <c r="H3" s="1578"/>
      <c r="I3" s="1578"/>
      <c r="J3" s="1578"/>
      <c r="K3" s="1578"/>
      <c r="L3" s="1265"/>
    </row>
    <row r="4" spans="1:12">
      <c r="A4" s="1264" t="s">
        <v>800</v>
      </c>
      <c r="B4" s="1265"/>
      <c r="C4" s="1264" t="s">
        <v>801</v>
      </c>
      <c r="D4" s="1264"/>
      <c r="E4" s="1265"/>
      <c r="F4" s="1264"/>
      <c r="G4" s="1265"/>
      <c r="H4" s="1265"/>
      <c r="I4" s="1265"/>
      <c r="J4" s="1264"/>
      <c r="K4" s="1265"/>
      <c r="L4" s="1265"/>
    </row>
    <row r="5" spans="1:12">
      <c r="A5" s="1264" t="s">
        <v>802</v>
      </c>
      <c r="B5" s="1265"/>
      <c r="C5" s="1264" t="s">
        <v>803</v>
      </c>
      <c r="D5" s="1264"/>
      <c r="E5" s="1265"/>
      <c r="F5" s="1264"/>
      <c r="G5" s="1265"/>
      <c r="H5" s="1265"/>
      <c r="I5" s="1265"/>
      <c r="J5" s="1264"/>
      <c r="K5" s="1265"/>
      <c r="L5" s="1265"/>
    </row>
    <row r="6" spans="1:12">
      <c r="A6" s="1264" t="s">
        <v>804</v>
      </c>
      <c r="B6" s="1265"/>
      <c r="C6" s="1264" t="s">
        <v>805</v>
      </c>
      <c r="D6" s="1264"/>
      <c r="E6" s="1265"/>
      <c r="F6" s="1264" t="s">
        <v>806</v>
      </c>
      <c r="G6" s="1265" t="s">
        <v>807</v>
      </c>
      <c r="H6" s="1265"/>
      <c r="I6" s="1265"/>
      <c r="J6" s="1264"/>
      <c r="K6" s="1265"/>
      <c r="L6" s="1265"/>
    </row>
    <row r="7" spans="1:12">
      <c r="A7" s="1268"/>
      <c r="B7" s="1268"/>
      <c r="C7" s="1268"/>
      <c r="D7" s="1268"/>
      <c r="E7" s="1268"/>
      <c r="F7" s="1269" t="s">
        <v>808</v>
      </c>
      <c r="G7" s="1269" t="s">
        <v>808</v>
      </c>
      <c r="H7" s="1268"/>
      <c r="I7" s="1268"/>
      <c r="J7" s="1268"/>
      <c r="K7" s="1268"/>
      <c r="L7" s="1265"/>
    </row>
    <row r="8" spans="1:12">
      <c r="A8" s="1270" t="s">
        <v>809</v>
      </c>
      <c r="B8" s="1270" t="s">
        <v>810</v>
      </c>
      <c r="C8" s="1270" t="s">
        <v>811</v>
      </c>
      <c r="D8" s="1270" t="s">
        <v>812</v>
      </c>
      <c r="E8" s="1270" t="s">
        <v>813</v>
      </c>
      <c r="F8" s="1270" t="s">
        <v>814</v>
      </c>
      <c r="G8" s="1270" t="s">
        <v>815</v>
      </c>
      <c r="H8" s="1270" t="s">
        <v>816</v>
      </c>
      <c r="I8" s="1270" t="s">
        <v>817</v>
      </c>
      <c r="J8" s="1270" t="s">
        <v>818</v>
      </c>
      <c r="K8" s="1270" t="s">
        <v>819</v>
      </c>
      <c r="L8" s="1265"/>
    </row>
    <row r="9" spans="1:12" ht="12.95" customHeight="1">
      <c r="A9" s="1266" t="s">
        <v>820</v>
      </c>
      <c r="B9" s="1266" t="s">
        <v>821</v>
      </c>
      <c r="C9" s="1266"/>
      <c r="D9" s="1266" t="s">
        <v>204</v>
      </c>
      <c r="E9" s="1266" t="s">
        <v>287</v>
      </c>
      <c r="F9" s="1271">
        <f>+'[13]PLANILLA MENSUAL'!Q64</f>
        <v>9130</v>
      </c>
      <c r="G9" s="1271">
        <v>0</v>
      </c>
      <c r="H9" s="1272" t="s">
        <v>822</v>
      </c>
      <c r="I9" s="1266" t="s">
        <v>823</v>
      </c>
      <c r="J9" s="1273">
        <v>45747</v>
      </c>
      <c r="K9" s="1266" t="s">
        <v>824</v>
      </c>
      <c r="L9" s="1265"/>
    </row>
    <row r="10" spans="1:12" ht="12.95" customHeight="1">
      <c r="A10" s="1266" t="s">
        <v>825</v>
      </c>
      <c r="B10" s="1266" t="s">
        <v>826</v>
      </c>
      <c r="C10" s="1266"/>
      <c r="D10" s="1266" t="s">
        <v>204</v>
      </c>
      <c r="E10" s="1266" t="s">
        <v>287</v>
      </c>
      <c r="F10" s="1271">
        <f>+'[13]PLANILLA MENSUAL'!R64</f>
        <v>226</v>
      </c>
      <c r="G10" s="1271">
        <v>0</v>
      </c>
      <c r="H10" s="1272" t="s">
        <v>822</v>
      </c>
      <c r="I10" s="1266" t="s">
        <v>823</v>
      </c>
      <c r="J10" s="1273">
        <v>45747</v>
      </c>
      <c r="K10" s="1266" t="s">
        <v>824</v>
      </c>
      <c r="L10" s="1265"/>
    </row>
    <row r="11" spans="1:12" ht="12.95" customHeight="1">
      <c r="A11" s="1266" t="s">
        <v>827</v>
      </c>
      <c r="B11" s="1266" t="s">
        <v>828</v>
      </c>
      <c r="C11" s="1266"/>
      <c r="D11" s="1266" t="s">
        <v>204</v>
      </c>
      <c r="E11" s="1266" t="s">
        <v>287</v>
      </c>
      <c r="F11" s="1271">
        <f>+'[13]PLANILLA MENSUAL'!X64</f>
        <v>100</v>
      </c>
      <c r="G11" s="1271">
        <v>0</v>
      </c>
      <c r="H11" s="1272" t="s">
        <v>822</v>
      </c>
      <c r="I11" s="1266" t="s">
        <v>823</v>
      </c>
      <c r="J11" s="1273">
        <v>45747</v>
      </c>
      <c r="K11" s="1266" t="s">
        <v>824</v>
      </c>
      <c r="L11" s="1265"/>
    </row>
    <row r="12" spans="1:12" ht="12.95" customHeight="1">
      <c r="A12" s="1266" t="s">
        <v>829</v>
      </c>
      <c r="B12" s="1266" t="s">
        <v>830</v>
      </c>
      <c r="C12" s="1266"/>
      <c r="D12" s="1266" t="s">
        <v>204</v>
      </c>
      <c r="E12" s="1266" t="s">
        <v>287</v>
      </c>
      <c r="F12" s="1271">
        <f>+'[13]PLANILLA MENSUAL'!BI64</f>
        <v>842.04000000000008</v>
      </c>
      <c r="G12" s="1271">
        <v>0</v>
      </c>
      <c r="H12" s="1272" t="s">
        <v>822</v>
      </c>
      <c r="I12" s="1266" t="s">
        <v>823</v>
      </c>
      <c r="J12" s="1273">
        <v>45747</v>
      </c>
      <c r="K12" s="1266" t="s">
        <v>824</v>
      </c>
      <c r="L12" s="1265"/>
    </row>
    <row r="13" spans="1:12" ht="6" customHeight="1">
      <c r="A13" s="1266"/>
      <c r="B13" s="1266"/>
      <c r="C13" s="1266"/>
      <c r="D13" s="1266"/>
      <c r="E13" s="1266"/>
      <c r="F13" s="1271"/>
      <c r="G13" s="1271"/>
      <c r="H13" s="1266"/>
      <c r="I13" s="1266"/>
      <c r="J13" s="1273"/>
      <c r="K13" s="1266"/>
      <c r="L13" s="1265"/>
    </row>
    <row r="14" spans="1:12" ht="12.95" customHeight="1">
      <c r="A14" s="1266" t="s">
        <v>820</v>
      </c>
      <c r="B14" s="1266" t="s">
        <v>821</v>
      </c>
      <c r="C14" s="1266"/>
      <c r="D14" s="1266" t="s">
        <v>233</v>
      </c>
      <c r="E14" s="1266" t="s">
        <v>294</v>
      </c>
      <c r="F14" s="1271">
        <f>+'[13]PLANILLA MENSUAL'!Q65</f>
        <v>8300</v>
      </c>
      <c r="G14" s="1271">
        <v>0</v>
      </c>
      <c r="H14" s="1272" t="s">
        <v>822</v>
      </c>
      <c r="I14" s="1266" t="s">
        <v>823</v>
      </c>
      <c r="J14" s="1273">
        <v>45747</v>
      </c>
      <c r="K14" s="1266" t="s">
        <v>824</v>
      </c>
      <c r="L14" s="1265"/>
    </row>
    <row r="15" spans="1:12" ht="12.95" customHeight="1">
      <c r="A15" s="1266" t="s">
        <v>827</v>
      </c>
      <c r="B15" s="1266" t="s">
        <v>828</v>
      </c>
      <c r="C15" s="1266"/>
      <c r="D15" s="1266" t="s">
        <v>233</v>
      </c>
      <c r="E15" s="1266" t="s">
        <v>294</v>
      </c>
      <c r="F15" s="1271">
        <f>+'[13]PLANILLA MENSUAL'!X65</f>
        <v>100</v>
      </c>
      <c r="G15" s="1271">
        <v>0</v>
      </c>
      <c r="H15" s="1272" t="s">
        <v>822</v>
      </c>
      <c r="I15" s="1266" t="s">
        <v>823</v>
      </c>
      <c r="J15" s="1273">
        <v>45747</v>
      </c>
      <c r="K15" s="1266" t="s">
        <v>824</v>
      </c>
      <c r="L15" s="1265"/>
    </row>
    <row r="16" spans="1:12" ht="12.95" customHeight="1">
      <c r="A16" s="1266" t="s">
        <v>829</v>
      </c>
      <c r="B16" s="1266" t="s">
        <v>830</v>
      </c>
      <c r="C16" s="1266"/>
      <c r="D16" s="1266" t="s">
        <v>233</v>
      </c>
      <c r="E16" s="1266" t="s">
        <v>294</v>
      </c>
      <c r="F16" s="1271">
        <f>+'[13]PLANILLA MENSUAL'!BI65</f>
        <v>747</v>
      </c>
      <c r="G16" s="1271">
        <v>0</v>
      </c>
      <c r="H16" s="1272" t="s">
        <v>822</v>
      </c>
      <c r="I16" s="1266" t="s">
        <v>823</v>
      </c>
      <c r="J16" s="1273">
        <v>45747</v>
      </c>
      <c r="K16" s="1266" t="s">
        <v>824</v>
      </c>
      <c r="L16" s="1265"/>
    </row>
    <row r="17" spans="1:12" ht="4.5" customHeight="1">
      <c r="A17" s="1266"/>
      <c r="B17" s="1266"/>
      <c r="C17" s="1266"/>
      <c r="D17" s="1266"/>
      <c r="E17" s="1266"/>
      <c r="F17" s="1271"/>
      <c r="G17" s="1271"/>
      <c r="H17" s="1266"/>
      <c r="I17" s="1266"/>
      <c r="J17" s="1273"/>
      <c r="K17" s="1266"/>
      <c r="L17" s="1265"/>
    </row>
    <row r="18" spans="1:12" ht="12.95" customHeight="1">
      <c r="A18" s="1266" t="s">
        <v>820</v>
      </c>
      <c r="B18" s="1266" t="s">
        <v>821</v>
      </c>
      <c r="C18" s="1266"/>
      <c r="D18" s="1266" t="s">
        <v>213</v>
      </c>
      <c r="E18" s="1266" t="s">
        <v>295</v>
      </c>
      <c r="F18" s="1271">
        <f>+'[13]PLANILLA MENSUAL'!Q66</f>
        <v>4960</v>
      </c>
      <c r="G18" s="1271">
        <v>0</v>
      </c>
      <c r="H18" s="1272" t="s">
        <v>822</v>
      </c>
      <c r="I18" s="1266" t="s">
        <v>823</v>
      </c>
      <c r="J18" s="1273">
        <v>45747</v>
      </c>
      <c r="K18" s="1266" t="s">
        <v>824</v>
      </c>
      <c r="L18" s="1265"/>
    </row>
    <row r="19" spans="1:12" ht="12.95" customHeight="1">
      <c r="A19" s="1266" t="s">
        <v>827</v>
      </c>
      <c r="B19" s="1266" t="s">
        <v>828</v>
      </c>
      <c r="C19" s="1266"/>
      <c r="D19" s="1266" t="s">
        <v>213</v>
      </c>
      <c r="E19" s="1266" t="s">
        <v>295</v>
      </c>
      <c r="F19" s="1271">
        <f>+'[13]PLANILLA MENSUAL'!X66</f>
        <v>76.190476190476161</v>
      </c>
      <c r="G19" s="1271">
        <v>0</v>
      </c>
      <c r="H19" s="1272" t="s">
        <v>822</v>
      </c>
      <c r="I19" s="1266" t="s">
        <v>823</v>
      </c>
      <c r="J19" s="1273">
        <v>45747</v>
      </c>
      <c r="K19" s="1266" t="s">
        <v>824</v>
      </c>
      <c r="L19" s="1265"/>
    </row>
    <row r="20" spans="1:12" ht="12.95" customHeight="1">
      <c r="A20" s="1266" t="s">
        <v>829</v>
      </c>
      <c r="B20" s="1266" t="s">
        <v>830</v>
      </c>
      <c r="C20" s="1266"/>
      <c r="D20" s="1266" t="s">
        <v>213</v>
      </c>
      <c r="E20" s="1266" t="s">
        <v>295</v>
      </c>
      <c r="F20" s="1271">
        <f>+'[13]PLANILLA MENSUAL'!BI66</f>
        <v>579.59999999999991</v>
      </c>
      <c r="G20" s="1271">
        <v>0</v>
      </c>
      <c r="H20" s="1272" t="s">
        <v>822</v>
      </c>
      <c r="I20" s="1266" t="s">
        <v>823</v>
      </c>
      <c r="J20" s="1273">
        <v>45747</v>
      </c>
      <c r="K20" s="1266" t="s">
        <v>824</v>
      </c>
      <c r="L20" s="1265"/>
    </row>
    <row r="21" spans="1:12" ht="5.25" customHeight="1">
      <c r="A21" s="1266"/>
      <c r="B21" s="1266"/>
      <c r="C21" s="1266"/>
      <c r="D21" s="1266"/>
      <c r="E21" s="1266"/>
      <c r="F21" s="1271"/>
      <c r="G21" s="1271"/>
      <c r="H21" s="1266"/>
      <c r="I21" s="1266"/>
      <c r="J21" s="1273"/>
      <c r="K21" s="1266"/>
      <c r="L21" s="1265"/>
    </row>
    <row r="22" spans="1:12" ht="12.95" customHeight="1">
      <c r="A22" s="1266" t="s">
        <v>831</v>
      </c>
      <c r="B22" s="1266" t="s">
        <v>821</v>
      </c>
      <c r="C22" s="1266"/>
      <c r="D22" s="1266" t="s">
        <v>832</v>
      </c>
      <c r="E22" s="1266" t="s">
        <v>296</v>
      </c>
      <c r="F22" s="1271">
        <f>+'[13]PLANILLA MENSUAL'!Q68</f>
        <v>38800</v>
      </c>
      <c r="G22" s="1271">
        <v>0</v>
      </c>
      <c r="H22" s="1272" t="s">
        <v>822</v>
      </c>
      <c r="I22" s="1266" t="s">
        <v>823</v>
      </c>
      <c r="J22" s="1273">
        <v>45747</v>
      </c>
      <c r="K22" s="1266" t="s">
        <v>824</v>
      </c>
      <c r="L22" s="1265"/>
    </row>
    <row r="23" spans="1:12" ht="12.95" customHeight="1">
      <c r="A23" s="1266" t="s">
        <v>833</v>
      </c>
      <c r="B23" s="1266" t="s">
        <v>826</v>
      </c>
      <c r="C23" s="1266"/>
      <c r="D23" s="1266" t="s">
        <v>832</v>
      </c>
      <c r="E23" s="1266" t="s">
        <v>296</v>
      </c>
      <c r="F23" s="1271">
        <f>+'[13]PLANILLA MENSUAL'!R68</f>
        <v>452</v>
      </c>
      <c r="G23" s="1271">
        <v>0</v>
      </c>
      <c r="H23" s="1272" t="s">
        <v>822</v>
      </c>
      <c r="I23" s="1266" t="s">
        <v>823</v>
      </c>
      <c r="J23" s="1273">
        <v>45747</v>
      </c>
      <c r="K23" s="1266" t="s">
        <v>824</v>
      </c>
      <c r="L23" s="1265"/>
    </row>
    <row r="24" spans="1:12" ht="12.95" customHeight="1">
      <c r="A24" s="1266" t="s">
        <v>834</v>
      </c>
      <c r="B24" s="1266" t="s">
        <v>835</v>
      </c>
      <c r="C24" s="1266"/>
      <c r="D24" s="1266" t="s">
        <v>832</v>
      </c>
      <c r="E24" s="1266" t="s">
        <v>296</v>
      </c>
      <c r="F24" s="1271">
        <f>+'[13]PLANILLA MENSUAL'!S68</f>
        <v>23159.636756440679</v>
      </c>
      <c r="G24" s="1271">
        <v>0</v>
      </c>
      <c r="H24" s="1272" t="s">
        <v>822</v>
      </c>
      <c r="I24" s="1266" t="s">
        <v>823</v>
      </c>
      <c r="J24" s="1273">
        <v>45747</v>
      </c>
      <c r="K24" s="1266" t="s">
        <v>824</v>
      </c>
      <c r="L24" s="1265"/>
    </row>
    <row r="25" spans="1:12" ht="12.95" customHeight="1">
      <c r="A25" s="1266" t="s">
        <v>836</v>
      </c>
      <c r="B25" s="1266" t="s">
        <v>830</v>
      </c>
      <c r="C25" s="1266"/>
      <c r="D25" s="1266" t="s">
        <v>832</v>
      </c>
      <c r="E25" s="1266" t="s">
        <v>296</v>
      </c>
      <c r="F25" s="1271">
        <f>+'[13]PLANILLA MENSUAL'!BI68</f>
        <v>5689.0473080796601</v>
      </c>
      <c r="G25" s="1271">
        <v>0</v>
      </c>
      <c r="H25" s="1272" t="s">
        <v>822</v>
      </c>
      <c r="I25" s="1266" t="s">
        <v>823</v>
      </c>
      <c r="J25" s="1273">
        <v>45747</v>
      </c>
      <c r="K25" s="1266" t="s">
        <v>824</v>
      </c>
      <c r="L25" s="1265"/>
    </row>
    <row r="26" spans="1:12" ht="4.5" customHeight="1">
      <c r="A26" s="1266"/>
      <c r="B26" s="1266"/>
      <c r="C26" s="1266"/>
      <c r="D26" s="1266"/>
      <c r="E26" s="1266"/>
      <c r="F26" s="1271"/>
      <c r="G26" s="1271"/>
      <c r="H26" s="1266"/>
      <c r="I26" s="1266"/>
      <c r="J26" s="1273"/>
      <c r="K26" s="1266"/>
      <c r="L26" s="1265"/>
    </row>
    <row r="27" spans="1:12" ht="12.95" customHeight="1">
      <c r="A27" s="1266" t="s">
        <v>831</v>
      </c>
      <c r="B27" s="1266" t="s">
        <v>821</v>
      </c>
      <c r="C27" s="1266"/>
      <c r="D27" s="1266" t="s">
        <v>207</v>
      </c>
      <c r="E27" s="1266" t="s">
        <v>297</v>
      </c>
      <c r="F27" s="1271">
        <f>+'[13]PLANILLA MENSUAL'!Q69</f>
        <v>19300</v>
      </c>
      <c r="G27" s="1271">
        <v>0</v>
      </c>
      <c r="H27" s="1272" t="s">
        <v>822</v>
      </c>
      <c r="I27" s="1266" t="s">
        <v>823</v>
      </c>
      <c r="J27" s="1273">
        <v>45747</v>
      </c>
      <c r="K27" s="1266" t="s">
        <v>824</v>
      </c>
      <c r="L27" s="1265"/>
    </row>
    <row r="28" spans="1:12" ht="12.95" customHeight="1">
      <c r="A28" s="1266" t="s">
        <v>833</v>
      </c>
      <c r="B28" s="1266" t="s">
        <v>826</v>
      </c>
      <c r="C28" s="1266"/>
      <c r="D28" s="1266" t="s">
        <v>207</v>
      </c>
      <c r="E28" s="1266" t="s">
        <v>297</v>
      </c>
      <c r="F28" s="1271">
        <f>+'[13]PLANILLA MENSUAL'!R69</f>
        <v>339</v>
      </c>
      <c r="G28" s="1271">
        <v>0</v>
      </c>
      <c r="H28" s="1272" t="s">
        <v>822</v>
      </c>
      <c r="I28" s="1266" t="s">
        <v>823</v>
      </c>
      <c r="J28" s="1273">
        <v>45747</v>
      </c>
      <c r="K28" s="1266" t="s">
        <v>824</v>
      </c>
      <c r="L28" s="1265"/>
    </row>
    <row r="29" spans="1:12" ht="12.95" customHeight="1">
      <c r="A29" s="1266" t="s">
        <v>837</v>
      </c>
      <c r="B29" s="1266" t="s">
        <v>307</v>
      </c>
      <c r="C29" s="1266"/>
      <c r="D29" s="1266" t="s">
        <v>207</v>
      </c>
      <c r="E29" s="1266" t="s">
        <v>297</v>
      </c>
      <c r="F29" s="1271">
        <f>+'[13]PLANILLA MENSUAL'!U69+'[13]PLANILLA MENSUAL'!V69</f>
        <v>0</v>
      </c>
      <c r="G29" s="1271">
        <v>0</v>
      </c>
      <c r="H29" s="1272" t="s">
        <v>822</v>
      </c>
      <c r="I29" s="1266" t="s">
        <v>823</v>
      </c>
      <c r="J29" s="1273">
        <v>45747</v>
      </c>
      <c r="K29" s="1266" t="s">
        <v>824</v>
      </c>
      <c r="L29" s="1265"/>
    </row>
    <row r="30" spans="1:12" ht="12.95" customHeight="1">
      <c r="A30" s="1266" t="s">
        <v>838</v>
      </c>
      <c r="B30" s="1266" t="s">
        <v>828</v>
      </c>
      <c r="C30" s="1266"/>
      <c r="D30" s="1266" t="s">
        <v>207</v>
      </c>
      <c r="E30" s="1266" t="s">
        <v>297</v>
      </c>
      <c r="F30" s="1271">
        <f>+'[13]PLANILLA MENSUAL'!X69</f>
        <v>100</v>
      </c>
      <c r="G30" s="1271">
        <v>0</v>
      </c>
      <c r="H30" s="1272" t="s">
        <v>822</v>
      </c>
      <c r="I30" s="1266" t="s">
        <v>823</v>
      </c>
      <c r="J30" s="1273">
        <v>45747</v>
      </c>
      <c r="K30" s="1266" t="s">
        <v>824</v>
      </c>
      <c r="L30" s="1265"/>
    </row>
    <row r="31" spans="1:12" ht="12.95" customHeight="1">
      <c r="A31" s="1266" t="s">
        <v>836</v>
      </c>
      <c r="B31" s="1266" t="s">
        <v>830</v>
      </c>
      <c r="C31" s="1266"/>
      <c r="D31" s="1266" t="s">
        <v>207</v>
      </c>
      <c r="E31" s="1266" t="s">
        <v>297</v>
      </c>
      <c r="F31" s="1271">
        <f>+'[13]PLANILLA MENSUAL'!BI69</f>
        <v>1767.51</v>
      </c>
      <c r="G31" s="1271">
        <v>0</v>
      </c>
      <c r="H31" s="1272" t="s">
        <v>822</v>
      </c>
      <c r="I31" s="1266" t="s">
        <v>823</v>
      </c>
      <c r="J31" s="1273">
        <v>45747</v>
      </c>
      <c r="K31" s="1266" t="s">
        <v>824</v>
      </c>
      <c r="L31" s="1265"/>
    </row>
    <row r="32" spans="1:12" ht="6" customHeight="1">
      <c r="A32" s="1266"/>
      <c r="B32" s="1266"/>
      <c r="C32" s="1266"/>
      <c r="D32" s="1266"/>
      <c r="E32" s="1266"/>
      <c r="F32" s="1271"/>
      <c r="G32" s="1271"/>
      <c r="H32" s="1266"/>
      <c r="I32" s="1266"/>
      <c r="J32" s="1273"/>
      <c r="K32" s="1266"/>
      <c r="L32" s="1265"/>
    </row>
    <row r="33" spans="1:12" ht="12.95" customHeight="1">
      <c r="A33" s="1266" t="s">
        <v>831</v>
      </c>
      <c r="B33" s="1266" t="s">
        <v>821</v>
      </c>
      <c r="C33" s="1266"/>
      <c r="D33" s="1266" t="s">
        <v>237</v>
      </c>
      <c r="E33" s="1266" t="s">
        <v>298</v>
      </c>
      <c r="F33" s="1271">
        <f>+'[13]PLANILLA MENSUAL'!Q70</f>
        <v>3200</v>
      </c>
      <c r="G33" s="1271">
        <v>0</v>
      </c>
      <c r="H33" s="1272" t="s">
        <v>822</v>
      </c>
      <c r="I33" s="1266" t="s">
        <v>823</v>
      </c>
      <c r="J33" s="1273">
        <v>45747</v>
      </c>
      <c r="K33" s="1266" t="s">
        <v>824</v>
      </c>
      <c r="L33" s="1265"/>
    </row>
    <row r="34" spans="1:12" ht="12.95" customHeight="1">
      <c r="A34" s="1266" t="s">
        <v>836</v>
      </c>
      <c r="B34" s="1266" t="s">
        <v>830</v>
      </c>
      <c r="C34" s="1266"/>
      <c r="D34" s="1266" t="s">
        <v>237</v>
      </c>
      <c r="E34" s="1266" t="s">
        <v>298</v>
      </c>
      <c r="F34" s="1271">
        <f>+'[13]PLANILLA MENSUAL'!BI70</f>
        <v>288.00000000000006</v>
      </c>
      <c r="G34" s="1271">
        <v>0</v>
      </c>
      <c r="H34" s="1272" t="s">
        <v>822</v>
      </c>
      <c r="I34" s="1266" t="s">
        <v>823</v>
      </c>
      <c r="J34" s="1273">
        <v>45747</v>
      </c>
      <c r="K34" s="1266" t="s">
        <v>824</v>
      </c>
      <c r="L34" s="1265"/>
    </row>
    <row r="35" spans="1:12" ht="5.25" customHeight="1">
      <c r="A35" s="1266"/>
      <c r="B35" s="1266"/>
      <c r="C35" s="1266"/>
      <c r="D35" s="1266"/>
      <c r="E35" s="1266"/>
      <c r="F35" s="1271"/>
      <c r="G35" s="1271"/>
      <c r="H35" s="1266"/>
      <c r="I35" s="1266"/>
      <c r="J35" s="1273"/>
      <c r="K35" s="1266"/>
      <c r="L35" s="1265"/>
    </row>
    <row r="36" spans="1:12" ht="12.95" customHeight="1">
      <c r="A36" s="1266" t="s">
        <v>831</v>
      </c>
      <c r="B36" s="1266" t="s">
        <v>821</v>
      </c>
      <c r="C36" s="1266"/>
      <c r="D36" s="1266" t="s">
        <v>301</v>
      </c>
      <c r="E36" s="1266" t="s">
        <v>300</v>
      </c>
      <c r="F36" s="1271">
        <f>+'[13]PLANILLA MENSUAL'!Q71</f>
        <v>12050</v>
      </c>
      <c r="G36" s="1271">
        <v>0</v>
      </c>
      <c r="H36" s="1272" t="s">
        <v>822</v>
      </c>
      <c r="I36" s="1266" t="s">
        <v>823</v>
      </c>
      <c r="J36" s="1273">
        <v>45747</v>
      </c>
      <c r="K36" s="1266" t="s">
        <v>824</v>
      </c>
      <c r="L36" s="1265"/>
    </row>
    <row r="37" spans="1:12" ht="12.95" customHeight="1">
      <c r="A37" s="1266" t="s">
        <v>833</v>
      </c>
      <c r="B37" s="1266" t="s">
        <v>826</v>
      </c>
      <c r="C37" s="1266"/>
      <c r="D37" s="1266" t="s">
        <v>301</v>
      </c>
      <c r="E37" s="1266" t="s">
        <v>300</v>
      </c>
      <c r="F37" s="1271">
        <f>+'[13]PLANILLA MENSUAL'!R71</f>
        <v>113</v>
      </c>
      <c r="G37" s="1271">
        <v>0</v>
      </c>
      <c r="H37" s="1272" t="s">
        <v>822</v>
      </c>
      <c r="I37" s="1266" t="s">
        <v>823</v>
      </c>
      <c r="J37" s="1273">
        <v>45747</v>
      </c>
      <c r="K37" s="1266" t="s">
        <v>824</v>
      </c>
      <c r="L37" s="1265"/>
    </row>
    <row r="38" spans="1:12" ht="12.95" customHeight="1">
      <c r="A38" s="1266" t="s">
        <v>836</v>
      </c>
      <c r="B38" s="1266" t="s">
        <v>830</v>
      </c>
      <c r="C38" s="1266"/>
      <c r="D38" s="1266" t="s">
        <v>301</v>
      </c>
      <c r="E38" s="1266" t="s">
        <v>300</v>
      </c>
      <c r="F38" s="1271">
        <f>+'[13]PLANILLA MENSUAL'!BI71</f>
        <v>1114.2450000000001</v>
      </c>
      <c r="G38" s="1271">
        <v>0</v>
      </c>
      <c r="H38" s="1272" t="s">
        <v>822</v>
      </c>
      <c r="I38" s="1266" t="s">
        <v>823</v>
      </c>
      <c r="J38" s="1273">
        <v>45747</v>
      </c>
      <c r="K38" s="1266" t="s">
        <v>824</v>
      </c>
      <c r="L38" s="1265"/>
    </row>
    <row r="39" spans="1:12" ht="5.25" customHeight="1">
      <c r="A39" s="1266"/>
      <c r="B39" s="1266"/>
      <c r="C39" s="1266"/>
      <c r="D39" s="1266"/>
      <c r="E39" s="1266"/>
      <c r="F39" s="1271"/>
      <c r="G39" s="1271"/>
      <c r="H39" s="1266"/>
      <c r="I39" s="1266"/>
      <c r="J39" s="1273"/>
      <c r="K39" s="1266"/>
      <c r="L39" s="1265"/>
    </row>
    <row r="40" spans="1:12" ht="12.95" customHeight="1">
      <c r="A40" s="1266" t="s">
        <v>831</v>
      </c>
      <c r="B40" s="1266" t="s">
        <v>821</v>
      </c>
      <c r="C40" s="1266"/>
      <c r="D40" s="1266" t="s">
        <v>225</v>
      </c>
      <c r="E40" s="1266" t="s">
        <v>302</v>
      </c>
      <c r="F40" s="1271">
        <f>+'[13]PLANILLA MENSUAL'!Q72</f>
        <v>13006.966666666667</v>
      </c>
      <c r="G40" s="1271">
        <v>0</v>
      </c>
      <c r="H40" s="1272" t="s">
        <v>822</v>
      </c>
      <c r="I40" s="1266" t="s">
        <v>823</v>
      </c>
      <c r="J40" s="1273">
        <v>45747</v>
      </c>
      <c r="K40" s="1266" t="s">
        <v>824</v>
      </c>
      <c r="L40" s="1265"/>
    </row>
    <row r="41" spans="1:12" ht="12.95" customHeight="1">
      <c r="A41" s="1266" t="s">
        <v>833</v>
      </c>
      <c r="B41" s="1266" t="s">
        <v>826</v>
      </c>
      <c r="C41" s="1266"/>
      <c r="D41" s="1266" t="s">
        <v>225</v>
      </c>
      <c r="E41" s="1266" t="s">
        <v>302</v>
      </c>
      <c r="F41" s="1271">
        <f>+'[13]PLANILLA MENSUAL'!R72</f>
        <v>452</v>
      </c>
      <c r="G41" s="1271">
        <v>0</v>
      </c>
      <c r="H41" s="1272" t="s">
        <v>822</v>
      </c>
      <c r="I41" s="1266" t="s">
        <v>823</v>
      </c>
      <c r="J41" s="1273">
        <v>45747</v>
      </c>
      <c r="K41" s="1266" t="s">
        <v>824</v>
      </c>
      <c r="L41" s="1265"/>
    </row>
    <row r="42" spans="1:12" ht="12.95" customHeight="1">
      <c r="A42" s="1266" t="s">
        <v>837</v>
      </c>
      <c r="B42" s="1266" t="s">
        <v>307</v>
      </c>
      <c r="C42" s="1266"/>
      <c r="D42" s="1266" t="s">
        <v>225</v>
      </c>
      <c r="E42" s="1266" t="s">
        <v>302</v>
      </c>
      <c r="F42" s="1271">
        <f>+'[13]PLANILLA MENSUAL'!U72+'[13]PLANILLA MENSUAL'!V72</f>
        <v>0</v>
      </c>
      <c r="G42" s="1271">
        <v>0</v>
      </c>
      <c r="H42" s="1272" t="s">
        <v>822</v>
      </c>
      <c r="I42" s="1266" t="s">
        <v>823</v>
      </c>
      <c r="J42" s="1273">
        <v>45747</v>
      </c>
      <c r="K42" s="1266" t="s">
        <v>824</v>
      </c>
      <c r="L42" s="1265"/>
    </row>
    <row r="43" spans="1:12" ht="12.95" customHeight="1">
      <c r="A43" s="1266" t="s">
        <v>838</v>
      </c>
      <c r="B43" s="1266" t="s">
        <v>828</v>
      </c>
      <c r="C43" s="1266"/>
      <c r="D43" s="1266" t="s">
        <v>225</v>
      </c>
      <c r="E43" s="1266" t="s">
        <v>302</v>
      </c>
      <c r="F43" s="1271">
        <f>+'[13]PLANILLA MENSUAL'!X72</f>
        <v>100</v>
      </c>
      <c r="G43" s="1271">
        <v>0</v>
      </c>
      <c r="H43" s="1272" t="s">
        <v>822</v>
      </c>
      <c r="I43" s="1266" t="s">
        <v>823</v>
      </c>
      <c r="J43" s="1273">
        <v>45747</v>
      </c>
      <c r="K43" s="1266" t="s">
        <v>824</v>
      </c>
      <c r="L43" s="1265"/>
    </row>
    <row r="44" spans="1:12" ht="12.95" customHeight="1">
      <c r="A44" s="1266" t="s">
        <v>836</v>
      </c>
      <c r="B44" s="1266" t="s">
        <v>830</v>
      </c>
      <c r="C44" s="1266"/>
      <c r="D44" s="1266" t="s">
        <v>225</v>
      </c>
      <c r="E44" s="1266" t="s">
        <v>302</v>
      </c>
      <c r="F44" s="1271">
        <f>+'[13]PLANILLA MENSUAL'!BI72</f>
        <v>1249.3800000000001</v>
      </c>
      <c r="G44" s="1271">
        <v>0</v>
      </c>
      <c r="H44" s="1272" t="s">
        <v>822</v>
      </c>
      <c r="I44" s="1266" t="s">
        <v>823</v>
      </c>
      <c r="J44" s="1273">
        <v>45747</v>
      </c>
      <c r="K44" s="1266" t="s">
        <v>824</v>
      </c>
      <c r="L44" s="1265"/>
    </row>
    <row r="45" spans="1:12" ht="6" customHeight="1">
      <c r="A45" s="1266"/>
      <c r="B45" s="1266"/>
      <c r="C45" s="1266"/>
      <c r="D45" s="1266"/>
      <c r="E45" s="1266"/>
      <c r="F45" s="1271"/>
      <c r="G45" s="1271"/>
      <c r="H45" s="1272"/>
      <c r="I45" s="1266"/>
      <c r="J45" s="1273"/>
      <c r="K45" s="1266"/>
      <c r="L45" s="1265"/>
    </row>
    <row r="46" spans="1:12" ht="12.95" customHeight="1">
      <c r="A46" s="1266" t="s">
        <v>839</v>
      </c>
      <c r="B46" s="1266" t="s">
        <v>840</v>
      </c>
      <c r="C46" s="1274" t="s">
        <v>841</v>
      </c>
      <c r="D46" s="1266" t="s">
        <v>226</v>
      </c>
      <c r="E46" s="1265"/>
      <c r="F46" s="1271"/>
      <c r="G46" s="1271">
        <f>+'[13]PLANILLA MENSUAL'!AZ21</f>
        <v>500</v>
      </c>
      <c r="H46" s="1272" t="s">
        <v>822</v>
      </c>
      <c r="I46" s="1266" t="s">
        <v>842</v>
      </c>
      <c r="J46" s="1273">
        <v>45747</v>
      </c>
      <c r="K46" s="1266" t="s">
        <v>824</v>
      </c>
      <c r="L46" s="1265"/>
    </row>
    <row r="47" spans="1:12" ht="12.95" customHeight="1">
      <c r="A47" s="1266" t="s">
        <v>839</v>
      </c>
      <c r="B47" s="1266" t="s">
        <v>840</v>
      </c>
      <c r="C47" s="1266" t="s">
        <v>308</v>
      </c>
      <c r="D47" s="1266" t="s">
        <v>250</v>
      </c>
      <c r="E47" s="1265"/>
      <c r="F47" s="1271"/>
      <c r="G47" s="1271">
        <f>+'[13]PLANILLA MENSUAL'!AZ30</f>
        <v>500</v>
      </c>
      <c r="H47" s="1272" t="s">
        <v>822</v>
      </c>
      <c r="I47" s="1266" t="s">
        <v>843</v>
      </c>
      <c r="J47" s="1273">
        <v>45747</v>
      </c>
      <c r="K47" s="1266" t="s">
        <v>824</v>
      </c>
      <c r="L47" s="1265"/>
    </row>
    <row r="48" spans="1:12" ht="12.95" customHeight="1">
      <c r="A48" s="1266" t="s">
        <v>844</v>
      </c>
      <c r="B48" s="1266" t="s">
        <v>845</v>
      </c>
      <c r="C48" s="1266" t="s">
        <v>846</v>
      </c>
      <c r="D48" s="1266" t="s">
        <v>201</v>
      </c>
      <c r="E48" s="1265"/>
      <c r="F48" s="1271"/>
      <c r="G48" s="1271">
        <f>+'[13]PLANILLA MENSUAL'!AY12</f>
        <v>10338.514593013182</v>
      </c>
      <c r="H48" s="1272" t="s">
        <v>822</v>
      </c>
      <c r="I48" s="1266" t="s">
        <v>823</v>
      </c>
      <c r="J48" s="1273">
        <v>45747</v>
      </c>
      <c r="K48" s="1266" t="s">
        <v>824</v>
      </c>
      <c r="L48" s="1265"/>
    </row>
    <row r="49" spans="1:12" ht="12.95" customHeight="1">
      <c r="A49" s="1266" t="s">
        <v>844</v>
      </c>
      <c r="B49" s="1266" t="s">
        <v>845</v>
      </c>
      <c r="C49" s="1274" t="s">
        <v>847</v>
      </c>
      <c r="D49" s="1266" t="s">
        <v>205</v>
      </c>
      <c r="E49" s="1265"/>
      <c r="F49" s="1271"/>
      <c r="G49" s="1271">
        <f>+'[13]PLANILLA MENSUAL'!AY13</f>
        <v>3565.916666666667</v>
      </c>
      <c r="H49" s="1272" t="s">
        <v>822</v>
      </c>
      <c r="I49" s="1266" t="s">
        <v>823</v>
      </c>
      <c r="J49" s="1273">
        <v>45747</v>
      </c>
      <c r="K49" s="1266" t="s">
        <v>824</v>
      </c>
      <c r="L49" s="1265"/>
    </row>
    <row r="50" spans="1:12" ht="12.95" customHeight="1">
      <c r="A50" s="1266" t="s">
        <v>844</v>
      </c>
      <c r="B50" s="1266" t="s">
        <v>845</v>
      </c>
      <c r="C50" s="1266" t="s">
        <v>309</v>
      </c>
      <c r="D50" s="1266" t="s">
        <v>208</v>
      </c>
      <c r="E50" s="1265"/>
      <c r="F50" s="1271"/>
      <c r="G50" s="1271">
        <f>+'[13]PLANILLA MENSUAL'!AY14</f>
        <v>2410.1266666666666</v>
      </c>
      <c r="H50" s="1272" t="s">
        <v>822</v>
      </c>
      <c r="I50" s="1266" t="s">
        <v>823</v>
      </c>
      <c r="J50" s="1273">
        <v>45747</v>
      </c>
      <c r="K50" s="1266" t="s">
        <v>824</v>
      </c>
      <c r="L50" s="1265"/>
    </row>
    <row r="51" spans="1:12" ht="12.95" customHeight="1">
      <c r="A51" s="1266" t="s">
        <v>844</v>
      </c>
      <c r="B51" s="1266" t="s">
        <v>845</v>
      </c>
      <c r="C51" s="1266" t="s">
        <v>848</v>
      </c>
      <c r="D51" s="1266" t="s">
        <v>211</v>
      </c>
      <c r="E51" s="1265"/>
      <c r="F51" s="1271"/>
      <c r="G51" s="1271">
        <f>+'[13]PLANILLA MENSUAL'!AY15</f>
        <v>2399.25</v>
      </c>
      <c r="H51" s="1272" t="s">
        <v>822</v>
      </c>
      <c r="I51" s="1266" t="s">
        <v>823</v>
      </c>
      <c r="J51" s="1273">
        <v>45747</v>
      </c>
      <c r="K51" s="1266" t="s">
        <v>824</v>
      </c>
      <c r="L51" s="1265"/>
    </row>
    <row r="52" spans="1:12" ht="12.95" customHeight="1">
      <c r="A52" s="1266" t="s">
        <v>844</v>
      </c>
      <c r="B52" s="1266" t="s">
        <v>845</v>
      </c>
      <c r="C52" s="1266" t="s">
        <v>849</v>
      </c>
      <c r="D52" s="1266" t="s">
        <v>214</v>
      </c>
      <c r="E52" s="1265"/>
      <c r="F52" s="1271"/>
      <c r="G52" s="1271">
        <f>+'[13]PLANILLA MENSUAL'!AY16</f>
        <v>2302.2222222222222</v>
      </c>
      <c r="H52" s="1272" t="s">
        <v>822</v>
      </c>
      <c r="I52" s="1266" t="s">
        <v>823</v>
      </c>
      <c r="J52" s="1273">
        <v>45747</v>
      </c>
      <c r="K52" s="1266" t="s">
        <v>824</v>
      </c>
      <c r="L52" s="1265"/>
    </row>
    <row r="53" spans="1:12" ht="12.95" customHeight="1">
      <c r="A53" s="1266" t="s">
        <v>844</v>
      </c>
      <c r="B53" s="1266" t="s">
        <v>845</v>
      </c>
      <c r="C53" s="1266" t="s">
        <v>850</v>
      </c>
      <c r="D53" s="1266" t="s">
        <v>217</v>
      </c>
      <c r="E53" s="1265"/>
      <c r="F53" s="1271"/>
      <c r="G53" s="1271">
        <f>+'[13]PLANILLA MENSUAL'!AY17</f>
        <v>3565.916666666667</v>
      </c>
      <c r="H53" s="1272" t="s">
        <v>822</v>
      </c>
      <c r="I53" s="1266" t="s">
        <v>823</v>
      </c>
      <c r="J53" s="1273">
        <v>45747</v>
      </c>
      <c r="K53" s="1266" t="s">
        <v>824</v>
      </c>
      <c r="L53" s="1265"/>
    </row>
    <row r="54" spans="1:12" ht="12.95" customHeight="1">
      <c r="A54" s="1266" t="s">
        <v>844</v>
      </c>
      <c r="B54" s="1266" t="s">
        <v>845</v>
      </c>
      <c r="C54" s="1266" t="s">
        <v>851</v>
      </c>
      <c r="D54" s="1266" t="s">
        <v>219</v>
      </c>
      <c r="E54" s="1265"/>
      <c r="F54" s="1271"/>
      <c r="G54" s="1271">
        <f>+'[13]PLANILLA MENSUAL'!AY18</f>
        <v>7206.1772197222226</v>
      </c>
      <c r="H54" s="1272" t="s">
        <v>822</v>
      </c>
      <c r="I54" s="1266" t="s">
        <v>823</v>
      </c>
      <c r="J54" s="1273">
        <v>45747</v>
      </c>
      <c r="K54" s="1266" t="s">
        <v>824</v>
      </c>
      <c r="L54" s="1265"/>
    </row>
    <row r="55" spans="1:12" ht="12.95" customHeight="1">
      <c r="A55" s="1266" t="s">
        <v>844</v>
      </c>
      <c r="B55" s="1266" t="s">
        <v>845</v>
      </c>
      <c r="C55" s="1266" t="s">
        <v>852</v>
      </c>
      <c r="D55" s="1266" t="s">
        <v>221</v>
      </c>
      <c r="E55" s="1265"/>
      <c r="F55" s="1271"/>
      <c r="G55" s="1271">
        <f>+'[13]PLANILLA MENSUAL'!AY19</f>
        <v>1625</v>
      </c>
      <c r="H55" s="1272" t="s">
        <v>822</v>
      </c>
      <c r="I55" s="1266" t="s">
        <v>823</v>
      </c>
      <c r="J55" s="1273">
        <v>45747</v>
      </c>
      <c r="K55" s="1266" t="s">
        <v>824</v>
      </c>
      <c r="L55" s="1265"/>
    </row>
    <row r="56" spans="1:12" ht="12.95" customHeight="1">
      <c r="A56" s="1266" t="s">
        <v>844</v>
      </c>
      <c r="B56" s="1266" t="s">
        <v>845</v>
      </c>
      <c r="C56" s="1266" t="s">
        <v>853</v>
      </c>
      <c r="D56" s="1266" t="s">
        <v>223</v>
      </c>
      <c r="E56" s="1265"/>
      <c r="F56" s="1271"/>
      <c r="G56" s="1271">
        <f>+'[13]PLANILLA MENSUAL'!AY20</f>
        <v>1458.3333333333333</v>
      </c>
      <c r="H56" s="1272" t="s">
        <v>822</v>
      </c>
      <c r="I56" s="1266" t="s">
        <v>823</v>
      </c>
      <c r="J56" s="1273">
        <v>45747</v>
      </c>
      <c r="K56" s="1266" t="s">
        <v>824</v>
      </c>
      <c r="L56" s="1265"/>
    </row>
    <row r="57" spans="1:12" ht="12.95" customHeight="1">
      <c r="A57" s="1266" t="s">
        <v>844</v>
      </c>
      <c r="B57" s="1266" t="s">
        <v>845</v>
      </c>
      <c r="C57" s="1266" t="s">
        <v>841</v>
      </c>
      <c r="D57" s="1266" t="s">
        <v>226</v>
      </c>
      <c r="E57" s="1265"/>
      <c r="F57" s="1271"/>
      <c r="G57" s="1271">
        <f>+'[13]PLANILLA MENSUAL'!AY21</f>
        <v>1232.5833333333333</v>
      </c>
      <c r="H57" s="1272" t="s">
        <v>822</v>
      </c>
      <c r="I57" s="1266" t="s">
        <v>823</v>
      </c>
      <c r="J57" s="1273">
        <v>45747</v>
      </c>
      <c r="K57" s="1266" t="s">
        <v>824</v>
      </c>
      <c r="L57" s="1265"/>
    </row>
    <row r="58" spans="1:12" ht="12.95" customHeight="1">
      <c r="A58" s="1266" t="s">
        <v>844</v>
      </c>
      <c r="B58" s="1266" t="s">
        <v>845</v>
      </c>
      <c r="C58" s="1266" t="s">
        <v>310</v>
      </c>
      <c r="D58" s="1266" t="s">
        <v>228</v>
      </c>
      <c r="E58" s="1265"/>
      <c r="F58" s="1271"/>
      <c r="G58" s="1271">
        <f>+'[13]PLANILLA MENSUAL'!AY22</f>
        <v>3536.7371083333337</v>
      </c>
      <c r="H58" s="1272" t="s">
        <v>822</v>
      </c>
      <c r="I58" s="1266" t="s">
        <v>823</v>
      </c>
      <c r="J58" s="1273">
        <v>45747</v>
      </c>
      <c r="K58" s="1266" t="s">
        <v>824</v>
      </c>
      <c r="L58" s="1265"/>
    </row>
    <row r="59" spans="1:12" ht="12.95" customHeight="1">
      <c r="A59" s="1266" t="s">
        <v>844</v>
      </c>
      <c r="B59" s="1266" t="s">
        <v>845</v>
      </c>
      <c r="C59" s="1266" t="s">
        <v>231</v>
      </c>
      <c r="D59" s="1266" t="s">
        <v>230</v>
      </c>
      <c r="E59" s="1265"/>
      <c r="F59" s="1271"/>
      <c r="G59" s="1271">
        <f>+'[13]PLANILLA MENSUAL'!AY23</f>
        <v>765.91666666666663</v>
      </c>
      <c r="H59" s="1272" t="s">
        <v>822</v>
      </c>
      <c r="I59" s="1266" t="s">
        <v>823</v>
      </c>
      <c r="J59" s="1273">
        <v>45747</v>
      </c>
      <c r="K59" s="1266" t="s">
        <v>824</v>
      </c>
      <c r="L59" s="1265"/>
    </row>
    <row r="60" spans="1:12" ht="12.95" customHeight="1">
      <c r="A60" s="1266" t="s">
        <v>844</v>
      </c>
      <c r="B60" s="1266" t="s">
        <v>845</v>
      </c>
      <c r="C60" s="1266" t="s">
        <v>235</v>
      </c>
      <c r="D60" s="1266" t="s">
        <v>234</v>
      </c>
      <c r="E60" s="1265"/>
      <c r="F60" s="1271"/>
      <c r="G60" s="1271">
        <f>+'[13]PLANILLA MENSUAL'!AY24</f>
        <v>1633.3333333333335</v>
      </c>
      <c r="H60" s="1272" t="s">
        <v>822</v>
      </c>
      <c r="I60" s="1266" t="s">
        <v>823</v>
      </c>
      <c r="J60" s="1273">
        <v>45747</v>
      </c>
      <c r="K60" s="1266" t="s">
        <v>824</v>
      </c>
      <c r="L60" s="1265"/>
    </row>
    <row r="61" spans="1:12" ht="12.95" customHeight="1">
      <c r="A61" s="1266" t="s">
        <v>844</v>
      </c>
      <c r="B61" s="1266" t="s">
        <v>845</v>
      </c>
      <c r="C61" s="1266" t="s">
        <v>239</v>
      </c>
      <c r="D61" s="1266" t="s">
        <v>238</v>
      </c>
      <c r="E61" s="1265"/>
      <c r="F61" s="1271"/>
      <c r="G61" s="1271" t="e">
        <f>+'[13]PLANILLA MENSUAL'!#REF!</f>
        <v>#REF!</v>
      </c>
      <c r="H61" s="1272" t="s">
        <v>822</v>
      </c>
      <c r="I61" s="1266" t="s">
        <v>823</v>
      </c>
      <c r="J61" s="1273">
        <v>45747</v>
      </c>
      <c r="K61" s="1266" t="s">
        <v>824</v>
      </c>
      <c r="L61" s="1265"/>
    </row>
    <row r="62" spans="1:12" ht="12.95" customHeight="1">
      <c r="A62" s="1266" t="s">
        <v>844</v>
      </c>
      <c r="B62" s="1266" t="s">
        <v>845</v>
      </c>
      <c r="C62" s="1274" t="s">
        <v>242</v>
      </c>
      <c r="D62" s="1266" t="s">
        <v>241</v>
      </c>
      <c r="E62" s="1265"/>
      <c r="F62" s="1271"/>
      <c r="G62" s="1271">
        <f>+'[13]PLANILLA MENSUAL'!AY25</f>
        <v>1750</v>
      </c>
      <c r="H62" s="1272" t="s">
        <v>822</v>
      </c>
      <c r="I62" s="1266" t="s">
        <v>823</v>
      </c>
      <c r="J62" s="1273">
        <v>45747</v>
      </c>
      <c r="K62" s="1266" t="s">
        <v>824</v>
      </c>
      <c r="L62" s="1265"/>
    </row>
    <row r="63" spans="1:12" ht="12.95" customHeight="1">
      <c r="A63" s="1266" t="s">
        <v>844</v>
      </c>
      <c r="B63" s="1266" t="s">
        <v>845</v>
      </c>
      <c r="C63" s="1266" t="s">
        <v>244</v>
      </c>
      <c r="D63" s="1266" t="s">
        <v>243</v>
      </c>
      <c r="E63" s="1265"/>
      <c r="F63" s="1271"/>
      <c r="G63" s="1271">
        <f>+'[13]PLANILLA MENSUAL'!AY26</f>
        <v>1633.3333333333335</v>
      </c>
      <c r="H63" s="1272" t="s">
        <v>822</v>
      </c>
      <c r="I63" s="1266" t="s">
        <v>823</v>
      </c>
      <c r="J63" s="1273">
        <v>45747</v>
      </c>
      <c r="K63" s="1266" t="s">
        <v>824</v>
      </c>
      <c r="L63" s="1265"/>
    </row>
    <row r="64" spans="1:12" ht="12.95" customHeight="1">
      <c r="A64" s="1266" t="s">
        <v>844</v>
      </c>
      <c r="B64" s="1266" t="s">
        <v>845</v>
      </c>
      <c r="C64" s="1266" t="s">
        <v>854</v>
      </c>
      <c r="D64" s="1266" t="s">
        <v>245</v>
      </c>
      <c r="E64" s="1265"/>
      <c r="F64" s="1271"/>
      <c r="G64" s="1271">
        <f>+'[13]PLANILLA MENSUAL'!AY27</f>
        <v>2739.7348467172787</v>
      </c>
      <c r="H64" s="1272" t="s">
        <v>822</v>
      </c>
      <c r="I64" s="1266" t="s">
        <v>823</v>
      </c>
      <c r="J64" s="1273">
        <v>45747</v>
      </c>
      <c r="K64" s="1266" t="s">
        <v>824</v>
      </c>
      <c r="L64" s="1265"/>
    </row>
    <row r="65" spans="1:12" ht="12.95" customHeight="1">
      <c r="A65" s="1266" t="s">
        <v>844</v>
      </c>
      <c r="B65" s="1266" t="s">
        <v>845</v>
      </c>
      <c r="C65" s="1266" t="s">
        <v>855</v>
      </c>
      <c r="D65" s="1266" t="s">
        <v>247</v>
      </c>
      <c r="E65" s="1265"/>
      <c r="F65" s="1271"/>
      <c r="G65" s="1271">
        <f>+'[13]PLANILLA MENSUAL'!AY28</f>
        <v>1524.25</v>
      </c>
      <c r="H65" s="1272" t="s">
        <v>822</v>
      </c>
      <c r="I65" s="1266" t="s">
        <v>823</v>
      </c>
      <c r="J65" s="1273">
        <v>45747</v>
      </c>
      <c r="K65" s="1266" t="s">
        <v>824</v>
      </c>
      <c r="L65" s="1265"/>
    </row>
    <row r="66" spans="1:12" ht="12.95" customHeight="1">
      <c r="A66" s="1266" t="s">
        <v>844</v>
      </c>
      <c r="B66" s="1266" t="s">
        <v>845</v>
      </c>
      <c r="C66" s="1266" t="s">
        <v>856</v>
      </c>
      <c r="D66" s="1266" t="s">
        <v>248</v>
      </c>
      <c r="E66" s="1265"/>
      <c r="F66" s="1271"/>
      <c r="G66" s="1271">
        <f>+'[13]PLANILLA MENSUAL'!AY29</f>
        <v>659.16666666666663</v>
      </c>
      <c r="H66" s="1272" t="s">
        <v>822</v>
      </c>
      <c r="I66" s="1266" t="s">
        <v>823</v>
      </c>
      <c r="J66" s="1273">
        <v>45747</v>
      </c>
      <c r="K66" s="1266" t="s">
        <v>824</v>
      </c>
      <c r="L66" s="1265"/>
    </row>
    <row r="67" spans="1:12" ht="12.95" customHeight="1">
      <c r="A67" s="1266" t="s">
        <v>844</v>
      </c>
      <c r="B67" s="1266" t="s">
        <v>845</v>
      </c>
      <c r="C67" s="1266" t="s">
        <v>308</v>
      </c>
      <c r="D67" s="1266" t="s">
        <v>250</v>
      </c>
      <c r="E67" s="1265"/>
      <c r="F67" s="1271"/>
      <c r="G67" s="1271">
        <f>+'[13]PLANILLA MENSUAL'!AY30</f>
        <v>1465.2415277777777</v>
      </c>
      <c r="H67" s="1272" t="s">
        <v>822</v>
      </c>
      <c r="I67" s="1266" t="s">
        <v>823</v>
      </c>
      <c r="J67" s="1273">
        <v>45747</v>
      </c>
      <c r="K67" s="1266" t="s">
        <v>824</v>
      </c>
      <c r="L67" s="1265"/>
    </row>
    <row r="68" spans="1:12" ht="12.95" customHeight="1">
      <c r="A68" s="1266" t="s">
        <v>844</v>
      </c>
      <c r="B68" s="1266" t="s">
        <v>845</v>
      </c>
      <c r="C68" s="1266" t="s">
        <v>253</v>
      </c>
      <c r="D68" s="1266" t="s">
        <v>252</v>
      </c>
      <c r="E68" s="1265"/>
      <c r="F68" s="1271"/>
      <c r="G68" s="1271">
        <f>+'[13]PLANILLA MENSUAL'!AY31</f>
        <v>1458.3333333333333</v>
      </c>
      <c r="H68" s="1272" t="s">
        <v>822</v>
      </c>
      <c r="I68" s="1266" t="s">
        <v>823</v>
      </c>
      <c r="J68" s="1273">
        <v>45747</v>
      </c>
      <c r="K68" s="1266" t="s">
        <v>824</v>
      </c>
      <c r="L68" s="1265"/>
    </row>
    <row r="69" spans="1:12" ht="12.95" customHeight="1">
      <c r="A69" s="1266" t="s">
        <v>844</v>
      </c>
      <c r="B69" s="1266" t="s">
        <v>845</v>
      </c>
      <c r="C69" s="1266" t="s">
        <v>256</v>
      </c>
      <c r="D69" s="1266" t="s">
        <v>255</v>
      </c>
      <c r="E69" s="1265"/>
      <c r="F69" s="1271"/>
      <c r="G69" s="1271">
        <f>+'[13]PLANILLA MENSUAL'!AY32</f>
        <v>1171.5093055555556</v>
      </c>
      <c r="H69" s="1272" t="s">
        <v>822</v>
      </c>
      <c r="I69" s="1266" t="s">
        <v>823</v>
      </c>
      <c r="J69" s="1273">
        <v>45747</v>
      </c>
      <c r="K69" s="1266" t="s">
        <v>824</v>
      </c>
      <c r="L69" s="1265"/>
    </row>
    <row r="70" spans="1:12" ht="12.95" customHeight="1">
      <c r="A70" s="1266" t="s">
        <v>844</v>
      </c>
      <c r="B70" s="1266" t="s">
        <v>845</v>
      </c>
      <c r="C70" s="1266" t="s">
        <v>259</v>
      </c>
      <c r="D70" s="1266" t="s">
        <v>258</v>
      </c>
      <c r="E70" s="1265"/>
      <c r="F70" s="1271"/>
      <c r="G70" s="1271">
        <f>+'[13]PLANILLA MENSUAL'!AY33</f>
        <v>1173.3506944444443</v>
      </c>
      <c r="H70" s="1272" t="s">
        <v>822</v>
      </c>
      <c r="I70" s="1266" t="s">
        <v>823</v>
      </c>
      <c r="J70" s="1273">
        <v>45747</v>
      </c>
      <c r="K70" s="1266" t="s">
        <v>824</v>
      </c>
      <c r="L70" s="1265"/>
    </row>
    <row r="71" spans="1:12" ht="12.95" customHeight="1">
      <c r="A71" s="1266" t="s">
        <v>844</v>
      </c>
      <c r="B71" s="1266" t="s">
        <v>845</v>
      </c>
      <c r="C71" s="1266" t="s">
        <v>857</v>
      </c>
      <c r="D71" s="1266" t="s">
        <v>260</v>
      </c>
      <c r="E71" s="1265"/>
      <c r="F71" s="1271"/>
      <c r="G71" s="1271">
        <f>+'[13]PLANILLA MENSUAL'!AY34</f>
        <v>1283.3333333333333</v>
      </c>
      <c r="H71" s="1272" t="s">
        <v>822</v>
      </c>
      <c r="I71" s="1266" t="s">
        <v>823</v>
      </c>
      <c r="J71" s="1273">
        <v>45747</v>
      </c>
      <c r="K71" s="1266" t="s">
        <v>824</v>
      </c>
      <c r="L71" s="1265"/>
    </row>
    <row r="72" spans="1:12" ht="12.95" customHeight="1">
      <c r="A72" s="1266" t="s">
        <v>844</v>
      </c>
      <c r="B72" s="1266" t="s">
        <v>845</v>
      </c>
      <c r="C72" s="1266" t="s">
        <v>858</v>
      </c>
      <c r="D72" s="1266" t="s">
        <v>859</v>
      </c>
      <c r="E72" s="1265"/>
      <c r="F72" s="1271"/>
      <c r="G72" s="1271">
        <f>+'[13]PLANILLA MENSUAL'!AY35</f>
        <v>1458.3333333333333</v>
      </c>
      <c r="H72" s="1272" t="s">
        <v>822</v>
      </c>
      <c r="I72" s="1266" t="s">
        <v>823</v>
      </c>
      <c r="J72" s="1273">
        <v>45747</v>
      </c>
      <c r="K72" s="1266" t="s">
        <v>824</v>
      </c>
      <c r="L72" s="1265"/>
    </row>
    <row r="73" spans="1:12" ht="12.95" customHeight="1">
      <c r="A73" s="1266" t="s">
        <v>844</v>
      </c>
      <c r="B73" s="1266" t="s">
        <v>845</v>
      </c>
      <c r="C73" s="1266" t="s">
        <v>267</v>
      </c>
      <c r="D73" s="1266" t="s">
        <v>860</v>
      </c>
      <c r="E73" s="1265"/>
      <c r="F73" s="1271"/>
      <c r="G73" s="1271">
        <f>+'[13]PLANILLA MENSUAL'!AY36</f>
        <v>2212.0566004943503</v>
      </c>
      <c r="H73" s="1272" t="s">
        <v>822</v>
      </c>
      <c r="I73" s="1266" t="s">
        <v>823</v>
      </c>
      <c r="J73" s="1273">
        <v>45747</v>
      </c>
      <c r="K73" s="1266" t="s">
        <v>824</v>
      </c>
      <c r="L73" s="1265"/>
    </row>
    <row r="74" spans="1:12" ht="12.95" customHeight="1">
      <c r="A74" s="1266" t="s">
        <v>844</v>
      </c>
      <c r="B74" s="1266" t="s">
        <v>845</v>
      </c>
      <c r="C74" s="1266" t="s">
        <v>311</v>
      </c>
      <c r="D74" s="1266" t="s">
        <v>268</v>
      </c>
      <c r="E74" s="1265"/>
      <c r="F74" s="1271"/>
      <c r="G74" s="1271">
        <f>+'[13]PLANILLA MENSUAL'!AY37</f>
        <v>2182.2730277777778</v>
      </c>
      <c r="H74" s="1272" t="s">
        <v>822</v>
      </c>
      <c r="I74" s="1266" t="s">
        <v>823</v>
      </c>
      <c r="J74" s="1273">
        <v>45747</v>
      </c>
      <c r="K74" s="1266" t="s">
        <v>824</v>
      </c>
      <c r="L74" s="1265"/>
    </row>
    <row r="75" spans="1:12" ht="12.95" customHeight="1">
      <c r="A75" s="1266" t="s">
        <v>844</v>
      </c>
      <c r="B75" s="1266" t="s">
        <v>845</v>
      </c>
      <c r="C75" s="1266" t="s">
        <v>312</v>
      </c>
      <c r="D75" s="1266" t="s">
        <v>313</v>
      </c>
      <c r="E75" s="1265"/>
      <c r="F75" s="1271"/>
      <c r="G75" s="1271" t="e">
        <f>+'[13]PLANILLA MENSUAL'!#REF!</f>
        <v>#REF!</v>
      </c>
      <c r="H75" s="1272" t="s">
        <v>822</v>
      </c>
      <c r="I75" s="1266" t="s">
        <v>823</v>
      </c>
      <c r="J75" s="1273">
        <v>45747</v>
      </c>
      <c r="K75" s="1266" t="s">
        <v>824</v>
      </c>
      <c r="L75" s="1265"/>
    </row>
    <row r="76" spans="1:12" ht="12.95" customHeight="1">
      <c r="A76" s="1266" t="s">
        <v>844</v>
      </c>
      <c r="B76" s="1266" t="s">
        <v>845</v>
      </c>
      <c r="C76" s="1266" t="s">
        <v>861</v>
      </c>
      <c r="D76" s="1266" t="s">
        <v>269</v>
      </c>
      <c r="E76" s="1265"/>
      <c r="F76" s="1271"/>
      <c r="G76" s="1271">
        <f>+'[13]PLANILLA MENSUAL'!AY38</f>
        <v>1633.3333333333335</v>
      </c>
      <c r="H76" s="1272" t="s">
        <v>822</v>
      </c>
      <c r="I76" s="1266" t="s">
        <v>823</v>
      </c>
      <c r="J76" s="1273">
        <v>45747</v>
      </c>
      <c r="K76" s="1266" t="s">
        <v>824</v>
      </c>
      <c r="L76" s="1265"/>
    </row>
    <row r="77" spans="1:12" ht="12.95" customHeight="1">
      <c r="A77" s="1266" t="s">
        <v>844</v>
      </c>
      <c r="B77" s="1266" t="s">
        <v>845</v>
      </c>
      <c r="C77" s="1266" t="s">
        <v>862</v>
      </c>
      <c r="D77" s="1266" t="s">
        <v>271</v>
      </c>
      <c r="E77" s="1265"/>
      <c r="F77" s="1271"/>
      <c r="G77" s="1271">
        <f>+'[13]PLANILLA MENSUAL'!AY39</f>
        <v>999.86430555555557</v>
      </c>
      <c r="H77" s="1272" t="s">
        <v>822</v>
      </c>
      <c r="I77" s="1266" t="s">
        <v>823</v>
      </c>
      <c r="J77" s="1273">
        <v>45747</v>
      </c>
      <c r="K77" s="1266" t="s">
        <v>824</v>
      </c>
      <c r="L77" s="1265"/>
    </row>
    <row r="78" spans="1:12" ht="12.95" customHeight="1">
      <c r="A78" s="1266"/>
      <c r="B78" s="1266"/>
      <c r="C78" s="1266"/>
      <c r="D78" s="1266"/>
      <c r="E78" s="1265"/>
      <c r="F78" s="1271"/>
      <c r="G78" s="1271"/>
      <c r="H78" s="1272"/>
      <c r="I78" s="1266"/>
      <c r="J78" s="1273"/>
      <c r="K78" s="1266"/>
      <c r="L78" s="1265"/>
    </row>
    <row r="79" spans="1:12" ht="12.95" customHeight="1">
      <c r="A79" s="1266"/>
      <c r="B79" s="1266"/>
      <c r="C79" s="1266"/>
      <c r="D79" s="1266"/>
      <c r="E79" s="1265"/>
      <c r="F79" s="1271"/>
      <c r="G79" s="1271"/>
      <c r="H79" s="1272"/>
      <c r="I79" s="1266"/>
      <c r="J79" s="1273"/>
      <c r="K79" s="1266"/>
      <c r="L79" s="1265"/>
    </row>
    <row r="80" spans="1:12" ht="12.95" customHeight="1">
      <c r="A80" s="1266"/>
      <c r="B80" s="1266"/>
      <c r="C80" s="1266"/>
      <c r="D80" s="1266"/>
      <c r="E80" s="1265"/>
      <c r="F80" s="1271"/>
      <c r="G80" s="1271"/>
      <c r="H80" s="1272"/>
      <c r="I80" s="1266"/>
      <c r="J80" s="1273"/>
      <c r="K80" s="1266"/>
      <c r="L80" s="1265"/>
    </row>
    <row r="81" spans="1:19" ht="12.95" customHeight="1">
      <c r="A81" s="1266"/>
      <c r="B81" s="1266"/>
      <c r="C81" s="1266"/>
      <c r="D81" s="1266"/>
      <c r="E81" s="1265"/>
      <c r="F81" s="1271"/>
      <c r="G81" s="1271"/>
      <c r="H81" s="1272"/>
      <c r="I81" s="1266"/>
      <c r="J81" s="1273"/>
      <c r="K81" s="1266"/>
      <c r="L81" s="1265"/>
    </row>
    <row r="82" spans="1:19" ht="12.95" customHeight="1">
      <c r="A82" s="1266"/>
      <c r="B82" s="1266"/>
      <c r="C82" s="1266"/>
      <c r="D82" s="1266"/>
      <c r="E82" s="1265"/>
      <c r="F82" s="1271"/>
      <c r="G82" s="1271"/>
      <c r="H82" s="1272"/>
      <c r="I82" s="1266"/>
      <c r="J82" s="1273"/>
      <c r="K82" s="1266"/>
      <c r="L82" s="1265"/>
    </row>
    <row r="83" spans="1:19" ht="12.95" customHeight="1">
      <c r="A83" s="1266"/>
      <c r="B83" s="1266"/>
      <c r="C83" s="1266"/>
      <c r="D83" s="1266"/>
      <c r="E83" s="1265"/>
      <c r="F83" s="1271"/>
      <c r="G83" s="1271"/>
      <c r="H83" s="1272"/>
      <c r="I83" s="1266"/>
      <c r="J83" s="1273"/>
      <c r="K83" s="1266"/>
      <c r="L83" s="1265"/>
    </row>
    <row r="84" spans="1:19" ht="12.95" customHeight="1">
      <c r="A84" s="1266"/>
      <c r="B84" s="1266"/>
      <c r="C84" s="1266"/>
      <c r="D84" s="1266"/>
      <c r="E84" s="1265"/>
      <c r="F84" s="1271"/>
      <c r="G84" s="1271"/>
      <c r="H84" s="1272"/>
      <c r="I84" s="1266"/>
      <c r="J84" s="1273"/>
      <c r="K84" s="1266"/>
      <c r="L84" s="1265"/>
    </row>
    <row r="85" spans="1:19" ht="12.95" customHeight="1">
      <c r="A85" s="1275" t="s">
        <v>863</v>
      </c>
      <c r="B85" s="1266" t="s">
        <v>864</v>
      </c>
      <c r="C85" s="1276" t="s">
        <v>865</v>
      </c>
      <c r="D85" s="1266" t="s">
        <v>866</v>
      </c>
      <c r="E85" s="1265"/>
      <c r="F85" s="1271"/>
      <c r="G85" s="1271" t="e">
        <f>+'[13]PLANILLA MENSUAL'!#REF!</f>
        <v>#REF!</v>
      </c>
      <c r="H85" s="1272" t="s">
        <v>867</v>
      </c>
      <c r="I85" s="1266" t="s">
        <v>868</v>
      </c>
      <c r="J85" s="1273">
        <v>45747</v>
      </c>
      <c r="K85" s="1266" t="s">
        <v>824</v>
      </c>
      <c r="L85" s="1265"/>
      <c r="N85" s="1276">
        <v>10305226</v>
      </c>
      <c r="O85" s="1266" t="s">
        <v>201</v>
      </c>
      <c r="R85" s="1267">
        <v>302.92</v>
      </c>
      <c r="S85" s="1277" t="e">
        <f>+G85-R85</f>
        <v>#REF!</v>
      </c>
    </row>
    <row r="86" spans="1:19" ht="12.95" customHeight="1">
      <c r="A86" s="1275" t="s">
        <v>863</v>
      </c>
      <c r="B86" s="1266" t="s">
        <v>864</v>
      </c>
      <c r="C86" s="1276" t="s">
        <v>865</v>
      </c>
      <c r="D86" s="1266" t="s">
        <v>866</v>
      </c>
      <c r="E86" s="1265"/>
      <c r="F86" s="1271"/>
      <c r="G86" s="1271" t="e">
        <f>+'[13]PLANILLA MENSUAL'!#REF!</f>
        <v>#REF!</v>
      </c>
      <c r="H86" s="1272" t="s">
        <v>867</v>
      </c>
      <c r="I86" s="1266" t="s">
        <v>869</v>
      </c>
      <c r="J86" s="1273">
        <v>45747</v>
      </c>
      <c r="K86" s="1266" t="s">
        <v>824</v>
      </c>
      <c r="L86" s="1265"/>
      <c r="N86" s="1276">
        <v>9594953</v>
      </c>
      <c r="O86" s="1266" t="s">
        <v>205</v>
      </c>
      <c r="R86" s="1278">
        <f>543.33/2</f>
        <v>271.66500000000002</v>
      </c>
      <c r="S86" s="1277" t="e">
        <f>+G86-R86</f>
        <v>#REF!</v>
      </c>
    </row>
    <row r="87" spans="1:19" ht="12.95" customHeight="1">
      <c r="A87" s="1275" t="s">
        <v>863</v>
      </c>
      <c r="B87" s="1266" t="s">
        <v>864</v>
      </c>
      <c r="C87" s="1276" t="s">
        <v>865</v>
      </c>
      <c r="D87" s="1266" t="s">
        <v>866</v>
      </c>
      <c r="E87" s="1265"/>
      <c r="F87" s="1271"/>
      <c r="G87" s="1271" t="e">
        <f>+'[13]PLANILLA MENSUAL'!#REF!</f>
        <v>#REF!</v>
      </c>
      <c r="H87" s="1272" t="s">
        <v>867</v>
      </c>
      <c r="I87" s="1266" t="s">
        <v>870</v>
      </c>
      <c r="J87" s="1273">
        <v>45747</v>
      </c>
      <c r="K87" s="1266" t="s">
        <v>824</v>
      </c>
      <c r="L87" s="1265"/>
      <c r="N87" s="1276">
        <v>44425022</v>
      </c>
      <c r="O87" s="1266" t="s">
        <v>214</v>
      </c>
      <c r="R87" s="1267">
        <v>158.34</v>
      </c>
      <c r="S87" s="1277" t="e">
        <f>+G87-R87</f>
        <v>#REF!</v>
      </c>
    </row>
    <row r="88" spans="1:19" ht="12.95" customHeight="1">
      <c r="A88" s="1275" t="s">
        <v>863</v>
      </c>
      <c r="B88" s="1266" t="s">
        <v>864</v>
      </c>
      <c r="C88" s="1276" t="s">
        <v>865</v>
      </c>
      <c r="D88" s="1266" t="s">
        <v>866</v>
      </c>
      <c r="E88" s="1265"/>
      <c r="F88" s="1271"/>
      <c r="G88" s="1271" t="e">
        <f>+'[13]PLANILLA MENSUAL'!#REF!</f>
        <v>#REF!</v>
      </c>
      <c r="H88" s="1272" t="s">
        <v>867</v>
      </c>
      <c r="I88" s="1266" t="s">
        <v>871</v>
      </c>
      <c r="J88" s="1273">
        <v>45747</v>
      </c>
      <c r="K88" s="1266" t="s">
        <v>824</v>
      </c>
      <c r="L88" s="1265"/>
      <c r="N88" s="1276">
        <v>43172155</v>
      </c>
      <c r="O88" s="1266" t="s">
        <v>217</v>
      </c>
      <c r="R88" s="1267">
        <v>285</v>
      </c>
      <c r="S88" s="1277" t="e">
        <f>+G88-R88</f>
        <v>#REF!</v>
      </c>
    </row>
    <row r="89" spans="1:19" s="1286" customFormat="1" ht="12.95" customHeight="1">
      <c r="A89" s="1279" t="s">
        <v>863</v>
      </c>
      <c r="B89" s="1280" t="s">
        <v>864</v>
      </c>
      <c r="C89" s="1281" t="s">
        <v>856</v>
      </c>
      <c r="D89" s="1280" t="s">
        <v>248</v>
      </c>
      <c r="E89" s="1282"/>
      <c r="F89" s="1283"/>
      <c r="G89" s="1283">
        <f>+'[13]PLANILLA MENSUAL'!BB29</f>
        <v>0</v>
      </c>
      <c r="H89" s="1284" t="s">
        <v>822</v>
      </c>
      <c r="I89" s="1280" t="s">
        <v>823</v>
      </c>
      <c r="J89" s="1285">
        <v>45747</v>
      </c>
      <c r="K89" s="1280" t="s">
        <v>824</v>
      </c>
      <c r="L89" s="1282"/>
      <c r="N89" s="1286" t="s">
        <v>872</v>
      </c>
    </row>
    <row r="90" spans="1:19" ht="12.95" customHeight="1">
      <c r="A90" s="1276" t="s">
        <v>844</v>
      </c>
      <c r="B90" s="1276" t="s">
        <v>845</v>
      </c>
      <c r="C90" s="1266" t="s">
        <v>308</v>
      </c>
      <c r="D90" s="1266" t="s">
        <v>250</v>
      </c>
      <c r="E90" s="1265"/>
      <c r="F90" s="1271"/>
      <c r="G90" s="1271">
        <f>+'[13]PLANILLA MENSUAL'!BB30</f>
        <v>0</v>
      </c>
      <c r="H90" s="1272" t="s">
        <v>822</v>
      </c>
      <c r="I90" s="1266" t="s">
        <v>873</v>
      </c>
      <c r="J90" s="1273">
        <v>45747</v>
      </c>
      <c r="K90" s="1266" t="s">
        <v>824</v>
      </c>
      <c r="L90" s="1265"/>
    </row>
    <row r="91" spans="1:19" ht="12.95" customHeight="1">
      <c r="A91" s="1266" t="s">
        <v>874</v>
      </c>
      <c r="B91" s="1266" t="s">
        <v>875</v>
      </c>
      <c r="C91" s="1266" t="s">
        <v>876</v>
      </c>
      <c r="D91" s="1266" t="s">
        <v>877</v>
      </c>
      <c r="E91" s="1265"/>
      <c r="F91" s="1271"/>
      <c r="G91" s="1283">
        <f>+'[13]PLANILLA MENSUAL'!BE54</f>
        <v>-11422.285143478852</v>
      </c>
      <c r="H91" s="1272" t="s">
        <v>822</v>
      </c>
      <c r="I91" s="1266" t="s">
        <v>823</v>
      </c>
      <c r="J91" s="1273">
        <v>45747</v>
      </c>
      <c r="K91" s="1266" t="s">
        <v>824</v>
      </c>
      <c r="L91" s="1265"/>
    </row>
    <row r="92" spans="1:19" ht="12.95" customHeight="1">
      <c r="A92" s="1266" t="s">
        <v>878</v>
      </c>
      <c r="B92" s="1266" t="s">
        <v>11</v>
      </c>
      <c r="C92" s="1266" t="s">
        <v>876</v>
      </c>
      <c r="D92" s="1266" t="s">
        <v>877</v>
      </c>
      <c r="E92" s="1265"/>
      <c r="F92" s="1271"/>
      <c r="G92" s="1287">
        <f>+'[13]PLANILLA MENSUAL'!AT66</f>
        <v>12926.042308079665</v>
      </c>
      <c r="H92" s="1272" t="s">
        <v>822</v>
      </c>
      <c r="I92" s="1266" t="s">
        <v>823</v>
      </c>
      <c r="J92" s="1273">
        <v>45747</v>
      </c>
      <c r="K92" s="1266" t="s">
        <v>824</v>
      </c>
      <c r="L92" s="1265"/>
    </row>
    <row r="93" spans="1:19" ht="12.95" customHeight="1">
      <c r="A93" s="1266" t="s">
        <v>879</v>
      </c>
      <c r="B93" s="1266" t="s">
        <v>144</v>
      </c>
      <c r="C93" s="1266" t="s">
        <v>876</v>
      </c>
      <c r="D93" s="1266" t="s">
        <v>877</v>
      </c>
      <c r="E93" s="1265"/>
      <c r="F93" s="1271"/>
      <c r="G93" s="1287">
        <f>+'[13]PLANILLA MENSUAL'!AT65</f>
        <v>3018.4661192355934</v>
      </c>
      <c r="H93" s="1272" t="s">
        <v>822</v>
      </c>
      <c r="I93" s="1266" t="s">
        <v>823</v>
      </c>
      <c r="J93" s="1273">
        <v>45747</v>
      </c>
      <c r="K93" s="1266" t="s">
        <v>824</v>
      </c>
      <c r="L93" s="1265"/>
    </row>
    <row r="94" spans="1:19" ht="12.95" customHeight="1">
      <c r="A94" s="1266" t="s">
        <v>880</v>
      </c>
      <c r="B94" s="1266" t="s">
        <v>881</v>
      </c>
      <c r="C94" s="1266" t="s">
        <v>882</v>
      </c>
      <c r="D94" s="1266" t="s">
        <v>72</v>
      </c>
      <c r="E94" s="1265"/>
      <c r="F94" s="1271"/>
      <c r="G94" s="1271">
        <f>+'[13]PLANILLA MENSUAL'!AT68</f>
        <v>4452.7931506768364</v>
      </c>
      <c r="H94" s="1272" t="s">
        <v>822</v>
      </c>
      <c r="I94" s="1266" t="s">
        <v>823</v>
      </c>
      <c r="J94" s="1273">
        <v>45747</v>
      </c>
      <c r="K94" s="1266" t="s">
        <v>824</v>
      </c>
      <c r="L94" s="1265"/>
    </row>
    <row r="95" spans="1:19" ht="12.95" customHeight="1">
      <c r="A95" s="1266" t="s">
        <v>883</v>
      </c>
      <c r="B95" s="1266" t="s">
        <v>884</v>
      </c>
      <c r="C95" s="1266" t="s">
        <v>885</v>
      </c>
      <c r="D95" s="1266" t="s">
        <v>71</v>
      </c>
      <c r="E95" s="1265"/>
      <c r="F95" s="1271"/>
      <c r="G95" s="1271">
        <f>+'[13]PLANILLA MENSUAL'!AT69</f>
        <v>7711.2219980968639</v>
      </c>
      <c r="H95" s="1272" t="s">
        <v>822</v>
      </c>
      <c r="I95" s="1266" t="s">
        <v>823</v>
      </c>
      <c r="J95" s="1273">
        <v>45747</v>
      </c>
      <c r="K95" s="1266" t="s">
        <v>824</v>
      </c>
      <c r="L95" s="1265"/>
    </row>
    <row r="96" spans="1:19" ht="12.95" customHeight="1">
      <c r="A96" s="1266" t="s">
        <v>886</v>
      </c>
      <c r="B96" s="1266" t="s">
        <v>887</v>
      </c>
      <c r="C96" s="1266" t="s">
        <v>888</v>
      </c>
      <c r="D96" s="1266" t="s">
        <v>73</v>
      </c>
      <c r="E96" s="1265"/>
      <c r="F96" s="1271"/>
      <c r="G96" s="1271">
        <f>+'[13]PLANILLA MENSUAL'!AT70</f>
        <v>1404.8772000000001</v>
      </c>
      <c r="H96" s="1272" t="s">
        <v>822</v>
      </c>
      <c r="I96" s="1266" t="s">
        <v>823</v>
      </c>
      <c r="J96" s="1273">
        <v>45747</v>
      </c>
      <c r="K96" s="1266" t="s">
        <v>824</v>
      </c>
      <c r="L96" s="1265"/>
    </row>
    <row r="97" spans="1:12" ht="12.95" customHeight="1">
      <c r="A97" s="1266" t="s">
        <v>889</v>
      </c>
      <c r="B97" s="1266" t="s">
        <v>890</v>
      </c>
      <c r="C97" s="1266" t="s">
        <v>891</v>
      </c>
      <c r="D97" s="1266" t="s">
        <v>892</v>
      </c>
      <c r="E97" s="1265"/>
      <c r="F97" s="1271"/>
      <c r="G97" s="1271">
        <f>+'[13]PLANILLA MENSUAL'!AT71</f>
        <v>626.82810000000006</v>
      </c>
      <c r="H97" s="1272" t="s">
        <v>822</v>
      </c>
      <c r="I97" s="1266" t="s">
        <v>823</v>
      </c>
      <c r="J97" s="1273">
        <v>45747</v>
      </c>
      <c r="K97" s="1266" t="s">
        <v>824</v>
      </c>
      <c r="L97" s="1265"/>
    </row>
    <row r="98" spans="1:12" ht="12.95" customHeight="1">
      <c r="A98" s="1275" t="s">
        <v>893</v>
      </c>
      <c r="B98" s="1266" t="s">
        <v>821</v>
      </c>
      <c r="C98" s="1266" t="s">
        <v>846</v>
      </c>
      <c r="D98" s="1266" t="s">
        <v>201</v>
      </c>
      <c r="E98" s="1265"/>
      <c r="F98" s="1271"/>
      <c r="G98" s="1271">
        <f>+'[13]PLANILLA MENSUAL'!BG12</f>
        <v>7600.2169711730094</v>
      </c>
      <c r="H98" s="1272" t="s">
        <v>822</v>
      </c>
      <c r="I98" s="1266" t="s">
        <v>823</v>
      </c>
      <c r="J98" s="1273">
        <v>45747</v>
      </c>
      <c r="K98" s="1266" t="s">
        <v>824</v>
      </c>
      <c r="L98" s="1265"/>
    </row>
    <row r="99" spans="1:12" ht="12.95" customHeight="1">
      <c r="A99" s="1275" t="s">
        <v>893</v>
      </c>
      <c r="B99" s="1266" t="s">
        <v>821</v>
      </c>
      <c r="C99" s="1274" t="s">
        <v>847</v>
      </c>
      <c r="D99" s="1266" t="s">
        <v>205</v>
      </c>
      <c r="E99" s="1265"/>
      <c r="F99" s="1271"/>
      <c r="G99" s="1271">
        <f>+'[13]PLANILLA MENSUAL'!BG13</f>
        <v>2483.2015271960081</v>
      </c>
      <c r="H99" s="1272" t="s">
        <v>822</v>
      </c>
      <c r="I99" s="1266" t="s">
        <v>823</v>
      </c>
      <c r="J99" s="1273">
        <v>45747</v>
      </c>
      <c r="K99" s="1266" t="s">
        <v>824</v>
      </c>
      <c r="L99" s="1265"/>
    </row>
    <row r="100" spans="1:12" ht="12.95" customHeight="1">
      <c r="A100" s="1275" t="s">
        <v>893</v>
      </c>
      <c r="B100" s="1266" t="s">
        <v>821</v>
      </c>
      <c r="C100" s="1266" t="s">
        <v>309</v>
      </c>
      <c r="D100" s="1266" t="s">
        <v>208</v>
      </c>
      <c r="E100" s="1265"/>
      <c r="F100" s="1271"/>
      <c r="G100" s="1271">
        <f>+'[13]PLANILLA MENSUAL'!BG14</f>
        <v>1718.2537659090913</v>
      </c>
      <c r="H100" s="1272" t="s">
        <v>822</v>
      </c>
      <c r="I100" s="1266" t="s">
        <v>823</v>
      </c>
      <c r="J100" s="1273">
        <v>45747</v>
      </c>
      <c r="K100" s="1266" t="s">
        <v>824</v>
      </c>
      <c r="L100" s="1265"/>
    </row>
    <row r="101" spans="1:12" ht="12.95" customHeight="1">
      <c r="A101" s="1275" t="s">
        <v>893</v>
      </c>
      <c r="B101" s="1266" t="s">
        <v>821</v>
      </c>
      <c r="C101" s="1266" t="s">
        <v>848</v>
      </c>
      <c r="D101" s="1266" t="s">
        <v>211</v>
      </c>
      <c r="E101" s="1265"/>
      <c r="F101" s="1271"/>
      <c r="G101" s="1271">
        <f>+'[13]PLANILLA MENSUAL'!BG15</f>
        <v>1821.9270438852809</v>
      </c>
      <c r="H101" s="1272" t="s">
        <v>822</v>
      </c>
      <c r="I101" s="1266" t="s">
        <v>823</v>
      </c>
      <c r="J101" s="1273">
        <v>45747</v>
      </c>
      <c r="K101" s="1266" t="s">
        <v>824</v>
      </c>
      <c r="L101" s="1265"/>
    </row>
    <row r="102" spans="1:12" ht="12.95" customHeight="1">
      <c r="A102" s="1275" t="s">
        <v>893</v>
      </c>
      <c r="B102" s="1266" t="s">
        <v>821</v>
      </c>
      <c r="C102" s="1266" t="s">
        <v>849</v>
      </c>
      <c r="D102" s="1266" t="s">
        <v>214</v>
      </c>
      <c r="E102" s="1265"/>
      <c r="F102" s="1271"/>
      <c r="G102" s="1271">
        <f>+'[13]PLANILLA MENSUAL'!BG16</f>
        <v>1975.2048631594389</v>
      </c>
      <c r="H102" s="1272" t="s">
        <v>822</v>
      </c>
      <c r="I102" s="1266" t="s">
        <v>823</v>
      </c>
      <c r="J102" s="1273">
        <v>45747</v>
      </c>
      <c r="K102" s="1266" t="s">
        <v>824</v>
      </c>
      <c r="L102" s="1265"/>
    </row>
    <row r="103" spans="1:12" ht="12.95" customHeight="1">
      <c r="A103" s="1275" t="s">
        <v>893</v>
      </c>
      <c r="B103" s="1266" t="s">
        <v>821</v>
      </c>
      <c r="C103" s="1266" t="s">
        <v>850</v>
      </c>
      <c r="D103" s="1266" t="s">
        <v>217</v>
      </c>
      <c r="E103" s="1265"/>
      <c r="F103" s="1271"/>
      <c r="G103" s="1271">
        <f>+'[13]PLANILLA MENSUAL'!BG17</f>
        <v>1355.3325919491526</v>
      </c>
      <c r="H103" s="1272" t="s">
        <v>822</v>
      </c>
      <c r="I103" s="1266" t="s">
        <v>823</v>
      </c>
      <c r="J103" s="1273">
        <v>45747</v>
      </c>
      <c r="K103" s="1266" t="s">
        <v>824</v>
      </c>
      <c r="L103" s="1265"/>
    </row>
    <row r="104" spans="1:12" ht="12.95" customHeight="1">
      <c r="A104" s="1275" t="s">
        <v>893</v>
      </c>
      <c r="B104" s="1266" t="s">
        <v>821</v>
      </c>
      <c r="C104" s="1266" t="s">
        <v>851</v>
      </c>
      <c r="D104" s="1266" t="s">
        <v>219</v>
      </c>
      <c r="E104" s="1265"/>
      <c r="F104" s="1271"/>
      <c r="G104" s="1271">
        <f>+'[13]PLANILLA MENSUAL'!BG18</f>
        <v>6474.1597730558206</v>
      </c>
      <c r="H104" s="1272" t="s">
        <v>822</v>
      </c>
      <c r="I104" s="1266" t="s">
        <v>823</v>
      </c>
      <c r="J104" s="1273">
        <v>45747</v>
      </c>
      <c r="K104" s="1266" t="s">
        <v>824</v>
      </c>
      <c r="L104" s="1265"/>
    </row>
    <row r="105" spans="1:12" ht="12.95" customHeight="1">
      <c r="A105" s="1275" t="s">
        <v>893</v>
      </c>
      <c r="B105" s="1266" t="s">
        <v>821</v>
      </c>
      <c r="C105" s="1266" t="s">
        <v>852</v>
      </c>
      <c r="D105" s="1266" t="s">
        <v>221</v>
      </c>
      <c r="E105" s="1265"/>
      <c r="F105" s="1271"/>
      <c r="G105" s="1271">
        <f>+'[13]PLANILLA MENSUAL'!BG19</f>
        <v>1836.297503701498</v>
      </c>
      <c r="H105" s="1272" t="s">
        <v>822</v>
      </c>
      <c r="I105" s="1266" t="s">
        <v>823</v>
      </c>
      <c r="J105" s="1273">
        <v>45747</v>
      </c>
      <c r="K105" s="1266" t="s">
        <v>824</v>
      </c>
      <c r="L105" s="1265"/>
    </row>
    <row r="106" spans="1:12" ht="12.95" customHeight="1">
      <c r="A106" s="1275" t="s">
        <v>893</v>
      </c>
      <c r="B106" s="1266" t="s">
        <v>821</v>
      </c>
      <c r="C106" s="1266" t="s">
        <v>853</v>
      </c>
      <c r="D106" s="1266" t="s">
        <v>223</v>
      </c>
      <c r="E106" s="1265"/>
      <c r="F106" s="1271"/>
      <c r="G106" s="1271">
        <f>+'[13]PLANILLA MENSUAL'!BG20</f>
        <v>1070.766594610589</v>
      </c>
      <c r="H106" s="1272" t="s">
        <v>822</v>
      </c>
      <c r="I106" s="1266" t="s">
        <v>823</v>
      </c>
      <c r="J106" s="1273">
        <v>45747</v>
      </c>
      <c r="K106" s="1266" t="s">
        <v>824</v>
      </c>
      <c r="L106" s="1265"/>
    </row>
    <row r="107" spans="1:12" ht="12.95" customHeight="1">
      <c r="A107" s="1275" t="s">
        <v>893</v>
      </c>
      <c r="B107" s="1266" t="s">
        <v>821</v>
      </c>
      <c r="C107" s="1266" t="s">
        <v>841</v>
      </c>
      <c r="D107" s="1266" t="s">
        <v>226</v>
      </c>
      <c r="E107" s="1265"/>
      <c r="F107" s="1271"/>
      <c r="G107" s="1271">
        <f>+'[13]PLANILLA MENSUAL'!BG21</f>
        <v>613.00390000000016</v>
      </c>
      <c r="H107" s="1272" t="s">
        <v>822</v>
      </c>
      <c r="I107" s="1266" t="s">
        <v>823</v>
      </c>
      <c r="J107" s="1273">
        <v>45747</v>
      </c>
      <c r="K107" s="1266" t="s">
        <v>824</v>
      </c>
      <c r="L107" s="1265"/>
    </row>
    <row r="108" spans="1:12" ht="12.95" customHeight="1">
      <c r="A108" s="1275" t="s">
        <v>893</v>
      </c>
      <c r="B108" s="1266" t="s">
        <v>821</v>
      </c>
      <c r="C108" s="1266" t="s">
        <v>310</v>
      </c>
      <c r="D108" s="1266" t="s">
        <v>228</v>
      </c>
      <c r="E108" s="1265"/>
      <c r="F108" s="1271"/>
      <c r="G108" s="1271">
        <f>+'[13]PLANILLA MENSUAL'!BG22</f>
        <v>4262.5647098332947</v>
      </c>
      <c r="H108" s="1272" t="s">
        <v>822</v>
      </c>
      <c r="I108" s="1266" t="s">
        <v>823</v>
      </c>
      <c r="J108" s="1273">
        <v>45747</v>
      </c>
      <c r="K108" s="1266" t="s">
        <v>824</v>
      </c>
      <c r="L108" s="1265"/>
    </row>
    <row r="109" spans="1:12" ht="12.95" customHeight="1">
      <c r="A109" s="1275" t="s">
        <v>893</v>
      </c>
      <c r="B109" s="1266" t="s">
        <v>821</v>
      </c>
      <c r="C109" s="1266" t="s">
        <v>231</v>
      </c>
      <c r="D109" s="1266" t="s">
        <v>230</v>
      </c>
      <c r="E109" s="1265"/>
      <c r="F109" s="1271"/>
      <c r="G109" s="1271">
        <f>+'[13]PLANILLA MENSUAL'!BG23</f>
        <v>719.60190000000011</v>
      </c>
      <c r="H109" s="1272" t="s">
        <v>822</v>
      </c>
      <c r="I109" s="1266" t="s">
        <v>823</v>
      </c>
      <c r="J109" s="1273">
        <v>45747</v>
      </c>
      <c r="K109" s="1266" t="s">
        <v>824</v>
      </c>
      <c r="L109" s="1265"/>
    </row>
    <row r="110" spans="1:12" ht="12.95" customHeight="1">
      <c r="A110" s="1275" t="s">
        <v>893</v>
      </c>
      <c r="B110" s="1266" t="s">
        <v>821</v>
      </c>
      <c r="C110" s="1266" t="s">
        <v>235</v>
      </c>
      <c r="D110" s="1266" t="s">
        <v>234</v>
      </c>
      <c r="E110" s="1265"/>
      <c r="F110" s="1271"/>
      <c r="G110" s="1271">
        <f>+'[13]PLANILLA MENSUAL'!BG24</f>
        <v>1143.4047345240092</v>
      </c>
      <c r="H110" s="1272" t="s">
        <v>822</v>
      </c>
      <c r="I110" s="1266" t="s">
        <v>823</v>
      </c>
      <c r="J110" s="1273">
        <v>45747</v>
      </c>
      <c r="K110" s="1266" t="s">
        <v>824</v>
      </c>
      <c r="L110" s="1265"/>
    </row>
    <row r="111" spans="1:12" ht="12.95" customHeight="1">
      <c r="A111" s="1275" t="s">
        <v>893</v>
      </c>
      <c r="B111" s="1266" t="s">
        <v>821</v>
      </c>
      <c r="C111" s="1266" t="s">
        <v>239</v>
      </c>
      <c r="D111" s="1266" t="s">
        <v>238</v>
      </c>
      <c r="E111" s="1265"/>
      <c r="F111" s="1271"/>
      <c r="G111" s="1271" t="e">
        <f>+'[13]PLANILLA MENSUAL'!#REF!</f>
        <v>#REF!</v>
      </c>
      <c r="H111" s="1272" t="s">
        <v>822</v>
      </c>
      <c r="I111" s="1266" t="s">
        <v>823</v>
      </c>
      <c r="J111" s="1273">
        <v>45747</v>
      </c>
      <c r="K111" s="1266" t="s">
        <v>824</v>
      </c>
      <c r="L111" s="1265"/>
    </row>
    <row r="112" spans="1:12" ht="12.95" customHeight="1">
      <c r="A112" s="1275" t="s">
        <v>893</v>
      </c>
      <c r="B112" s="1266" t="s">
        <v>821</v>
      </c>
      <c r="C112" s="1274" t="s">
        <v>242</v>
      </c>
      <c r="D112" s="1266" t="s">
        <v>241</v>
      </c>
      <c r="E112" s="1265"/>
      <c r="F112" s="1271"/>
      <c r="G112" s="1271">
        <f>+'[13]PLANILLA MENSUAL'!BG25</f>
        <v>1331.9097689828832</v>
      </c>
      <c r="H112" s="1272" t="s">
        <v>822</v>
      </c>
      <c r="I112" s="1266" t="s">
        <v>823</v>
      </c>
      <c r="J112" s="1273">
        <v>45747</v>
      </c>
      <c r="K112" s="1266" t="s">
        <v>824</v>
      </c>
      <c r="L112" s="1265"/>
    </row>
    <row r="113" spans="1:12" ht="12.95" customHeight="1">
      <c r="A113" s="1275" t="s">
        <v>893</v>
      </c>
      <c r="B113" s="1266" t="s">
        <v>821</v>
      </c>
      <c r="C113" s="1266" t="s">
        <v>244</v>
      </c>
      <c r="D113" s="1266" t="s">
        <v>243</v>
      </c>
      <c r="E113" s="1265"/>
      <c r="F113" s="1271"/>
      <c r="G113" s="1271">
        <f>+'[13]PLANILLA MENSUAL'!BG26</f>
        <v>1366.0950000000003</v>
      </c>
      <c r="H113" s="1272" t="s">
        <v>822</v>
      </c>
      <c r="I113" s="1266" t="s">
        <v>823</v>
      </c>
      <c r="J113" s="1273">
        <v>45747</v>
      </c>
      <c r="K113" s="1266" t="s">
        <v>824</v>
      </c>
      <c r="L113" s="1265"/>
    </row>
    <row r="114" spans="1:12" ht="12.95" customHeight="1">
      <c r="A114" s="1275" t="s">
        <v>893</v>
      </c>
      <c r="B114" s="1266" t="s">
        <v>821</v>
      </c>
      <c r="C114" s="1266" t="s">
        <v>854</v>
      </c>
      <c r="D114" s="1266" t="s">
        <v>245</v>
      </c>
      <c r="E114" s="1265"/>
      <c r="F114" s="1271"/>
      <c r="G114" s="1271">
        <f>+'[13]PLANILLA MENSUAL'!BG27</f>
        <v>1836.1624159791509</v>
      </c>
      <c r="H114" s="1272" t="s">
        <v>822</v>
      </c>
      <c r="I114" s="1266" t="s">
        <v>823</v>
      </c>
      <c r="J114" s="1273">
        <v>45747</v>
      </c>
      <c r="K114" s="1266" t="s">
        <v>824</v>
      </c>
      <c r="L114" s="1265"/>
    </row>
    <row r="115" spans="1:12" ht="12.95" customHeight="1">
      <c r="A115" s="1275" t="s">
        <v>893</v>
      </c>
      <c r="B115" s="1266" t="s">
        <v>821</v>
      </c>
      <c r="C115" s="1266" t="s">
        <v>855</v>
      </c>
      <c r="D115" s="1266" t="s">
        <v>247</v>
      </c>
      <c r="E115" s="1265"/>
      <c r="F115" s="1271"/>
      <c r="G115" s="1271">
        <f>+'[13]PLANILLA MENSUAL'!BG28</f>
        <v>1255.0969999999998</v>
      </c>
      <c r="H115" s="1272" t="s">
        <v>822</v>
      </c>
      <c r="I115" s="1266" t="s">
        <v>823</v>
      </c>
      <c r="J115" s="1273">
        <v>45747</v>
      </c>
      <c r="K115" s="1266" t="s">
        <v>824</v>
      </c>
      <c r="L115" s="1265"/>
    </row>
    <row r="116" spans="1:12" ht="12.95" customHeight="1">
      <c r="A116" s="1275" t="s">
        <v>893</v>
      </c>
      <c r="B116" s="1266" t="s">
        <v>821</v>
      </c>
      <c r="C116" s="1266" t="s">
        <v>856</v>
      </c>
      <c r="D116" s="1266" t="s">
        <v>248</v>
      </c>
      <c r="E116" s="1265"/>
      <c r="F116" s="1271"/>
      <c r="G116" s="1271">
        <f>+'[13]PLANILLA MENSUAL'!BG29</f>
        <v>470.74</v>
      </c>
      <c r="H116" s="1272" t="s">
        <v>822</v>
      </c>
      <c r="I116" s="1266" t="s">
        <v>823</v>
      </c>
      <c r="J116" s="1273">
        <v>45747</v>
      </c>
      <c r="K116" s="1266" t="s">
        <v>824</v>
      </c>
      <c r="L116" s="1265"/>
    </row>
    <row r="117" spans="1:12" ht="12.95" customHeight="1">
      <c r="A117" s="1275" t="s">
        <v>893</v>
      </c>
      <c r="B117" s="1266" t="s">
        <v>821</v>
      </c>
      <c r="C117" s="1266" t="s">
        <v>308</v>
      </c>
      <c r="D117" s="1266" t="s">
        <v>250</v>
      </c>
      <c r="E117" s="1265"/>
      <c r="F117" s="1271"/>
      <c r="G117" s="1271">
        <f>+'[13]PLANILLA MENSUAL'!BG30</f>
        <v>723.73020833333385</v>
      </c>
      <c r="H117" s="1272" t="s">
        <v>822</v>
      </c>
      <c r="I117" s="1266" t="s">
        <v>823</v>
      </c>
      <c r="J117" s="1273">
        <v>45747</v>
      </c>
      <c r="K117" s="1266" t="s">
        <v>824</v>
      </c>
      <c r="L117" s="1265"/>
    </row>
    <row r="118" spans="1:12" ht="12.95" customHeight="1">
      <c r="A118" s="1275" t="s">
        <v>893</v>
      </c>
      <c r="B118" s="1266" t="s">
        <v>821</v>
      </c>
      <c r="C118" s="1266" t="s">
        <v>253</v>
      </c>
      <c r="D118" s="1266" t="s">
        <v>252</v>
      </c>
      <c r="E118" s="1265"/>
      <c r="F118" s="1271"/>
      <c r="G118" s="1271">
        <f>+'[13]PLANILLA MENSUAL'!BG31</f>
        <v>1133.1865946105891</v>
      </c>
      <c r="H118" s="1272" t="s">
        <v>822</v>
      </c>
      <c r="I118" s="1266" t="s">
        <v>823</v>
      </c>
      <c r="J118" s="1273">
        <v>45747</v>
      </c>
      <c r="K118" s="1266" t="s">
        <v>824</v>
      </c>
      <c r="L118" s="1265"/>
    </row>
    <row r="119" spans="1:12" ht="12.95" customHeight="1">
      <c r="A119" s="1275" t="s">
        <v>893</v>
      </c>
      <c r="B119" s="1266" t="s">
        <v>821</v>
      </c>
      <c r="C119" s="1266" t="s">
        <v>256</v>
      </c>
      <c r="D119" s="1266" t="s">
        <v>255</v>
      </c>
      <c r="E119" s="1265"/>
      <c r="F119" s="1271"/>
      <c r="G119" s="1271">
        <f>+'[13]PLANILLA MENSUAL'!BG32</f>
        <v>1115.75</v>
      </c>
      <c r="H119" s="1272" t="s">
        <v>822</v>
      </c>
      <c r="I119" s="1266" t="s">
        <v>823</v>
      </c>
      <c r="J119" s="1273">
        <v>45747</v>
      </c>
      <c r="K119" s="1266" t="s">
        <v>824</v>
      </c>
      <c r="L119" s="1265"/>
    </row>
    <row r="120" spans="1:12" ht="12.95" customHeight="1">
      <c r="A120" s="1275" t="s">
        <v>893</v>
      </c>
      <c r="B120" s="1266" t="s">
        <v>821</v>
      </c>
      <c r="C120" s="1266" t="s">
        <v>259</v>
      </c>
      <c r="D120" s="1266" t="s">
        <v>258</v>
      </c>
      <c r="E120" s="1265"/>
      <c r="F120" s="1271"/>
      <c r="G120" s="1271">
        <f>+'[13]PLANILLA MENSUAL'!BG33</f>
        <v>1115.75</v>
      </c>
      <c r="H120" s="1272" t="s">
        <v>822</v>
      </c>
      <c r="I120" s="1266" t="s">
        <v>823</v>
      </c>
      <c r="J120" s="1273">
        <v>45747</v>
      </c>
      <c r="K120" s="1266" t="s">
        <v>824</v>
      </c>
      <c r="L120" s="1265"/>
    </row>
    <row r="121" spans="1:12" ht="12.95" customHeight="1">
      <c r="A121" s="1275" t="s">
        <v>893</v>
      </c>
      <c r="B121" s="1266" t="s">
        <v>821</v>
      </c>
      <c r="C121" s="1266" t="s">
        <v>857</v>
      </c>
      <c r="D121" s="1266" t="s">
        <v>260</v>
      </c>
      <c r="E121" s="1265"/>
      <c r="F121" s="1271"/>
      <c r="G121" s="1271">
        <f>+'[13]PLANILLA MENSUAL'!BG34</f>
        <v>1115.75</v>
      </c>
      <c r="H121" s="1272" t="s">
        <v>822</v>
      </c>
      <c r="I121" s="1266" t="s">
        <v>823</v>
      </c>
      <c r="J121" s="1273">
        <v>45747</v>
      </c>
      <c r="K121" s="1266" t="s">
        <v>824</v>
      </c>
      <c r="L121" s="1265"/>
    </row>
    <row r="122" spans="1:12" ht="12.95" customHeight="1">
      <c r="A122" s="1275" t="s">
        <v>893</v>
      </c>
      <c r="B122" s="1266" t="s">
        <v>821</v>
      </c>
      <c r="C122" s="1266" t="s">
        <v>858</v>
      </c>
      <c r="D122" s="1266" t="s">
        <v>859</v>
      </c>
      <c r="E122" s="1265"/>
      <c r="F122" s="1271"/>
      <c r="G122" s="1271">
        <f>+'[13]PLANILLA MENSUAL'!BG35</f>
        <v>1035.1026963055042</v>
      </c>
      <c r="H122" s="1272" t="s">
        <v>822</v>
      </c>
      <c r="I122" s="1266" t="s">
        <v>823</v>
      </c>
      <c r="J122" s="1273">
        <v>45747</v>
      </c>
      <c r="K122" s="1266" t="s">
        <v>824</v>
      </c>
      <c r="L122" s="1265"/>
    </row>
    <row r="123" spans="1:12" ht="12.95" customHeight="1">
      <c r="A123" s="1275" t="s">
        <v>893</v>
      </c>
      <c r="B123" s="1266" t="s">
        <v>821</v>
      </c>
      <c r="C123" s="1266" t="s">
        <v>267</v>
      </c>
      <c r="D123" s="1266" t="s">
        <v>860</v>
      </c>
      <c r="E123" s="1265"/>
      <c r="F123" s="1271"/>
      <c r="G123" s="1271">
        <f>+'[13]PLANILLA MENSUAL'!BG36</f>
        <v>2561.4771363719246</v>
      </c>
      <c r="H123" s="1272" t="s">
        <v>822</v>
      </c>
      <c r="I123" s="1266" t="s">
        <v>823</v>
      </c>
      <c r="J123" s="1273">
        <v>45747</v>
      </c>
      <c r="K123" s="1266" t="s">
        <v>824</v>
      </c>
      <c r="L123" s="1265"/>
    </row>
    <row r="124" spans="1:12" ht="12.95" customHeight="1">
      <c r="A124" s="1275" t="s">
        <v>893</v>
      </c>
      <c r="B124" s="1266" t="s">
        <v>821</v>
      </c>
      <c r="C124" s="1266" t="s">
        <v>311</v>
      </c>
      <c r="D124" s="1266" t="s">
        <v>268</v>
      </c>
      <c r="E124" s="1265"/>
      <c r="F124" s="1271"/>
      <c r="G124" s="1271">
        <f>+'[13]PLANILLA MENSUAL'!BG37</f>
        <v>1671.0850420249999</v>
      </c>
      <c r="H124" s="1272" t="s">
        <v>822</v>
      </c>
      <c r="I124" s="1266" t="s">
        <v>823</v>
      </c>
      <c r="J124" s="1273">
        <v>45747</v>
      </c>
      <c r="K124" s="1266" t="s">
        <v>824</v>
      </c>
      <c r="L124" s="1265"/>
    </row>
    <row r="125" spans="1:12" ht="12.95" customHeight="1">
      <c r="A125" s="1275" t="s">
        <v>893</v>
      </c>
      <c r="B125" s="1266" t="s">
        <v>821</v>
      </c>
      <c r="C125" s="1266" t="s">
        <v>312</v>
      </c>
      <c r="D125" s="1266" t="s">
        <v>313</v>
      </c>
      <c r="E125" s="1265"/>
      <c r="F125" s="1271"/>
      <c r="G125" s="1271" t="e">
        <f>+'[13]PLANILLA MENSUAL'!#REF!</f>
        <v>#REF!</v>
      </c>
      <c r="H125" s="1272" t="s">
        <v>822</v>
      </c>
      <c r="I125" s="1266" t="s">
        <v>823</v>
      </c>
      <c r="J125" s="1273">
        <v>45747</v>
      </c>
      <c r="K125" s="1266" t="s">
        <v>824</v>
      </c>
      <c r="L125" s="1265"/>
    </row>
    <row r="126" spans="1:12" ht="12.95" customHeight="1">
      <c r="A126" s="1275" t="s">
        <v>893</v>
      </c>
      <c r="B126" s="1266" t="s">
        <v>821</v>
      </c>
      <c r="C126" s="1266" t="s">
        <v>861</v>
      </c>
      <c r="D126" s="1266" t="s">
        <v>269</v>
      </c>
      <c r="E126" s="1265"/>
      <c r="F126" s="1271"/>
      <c r="G126" s="1271">
        <f>+'[13]PLANILLA MENSUAL'!BG38</f>
        <v>1227.9733333333338</v>
      </c>
      <c r="H126" s="1272" t="s">
        <v>822</v>
      </c>
      <c r="I126" s="1266" t="s">
        <v>823</v>
      </c>
      <c r="J126" s="1273">
        <v>45747</v>
      </c>
      <c r="K126" s="1266" t="s">
        <v>824</v>
      </c>
      <c r="L126" s="1265"/>
    </row>
    <row r="127" spans="1:12" ht="12.95" customHeight="1">
      <c r="A127" s="1275" t="s">
        <v>893</v>
      </c>
      <c r="B127" s="1266" t="s">
        <v>821</v>
      </c>
      <c r="C127" s="1266" t="s">
        <v>862</v>
      </c>
      <c r="D127" s="1266" t="s">
        <v>271</v>
      </c>
      <c r="E127" s="1265"/>
      <c r="F127" s="1271"/>
      <c r="G127" s="1271">
        <f>+'[13]PLANILLA MENSUAL'!BG39</f>
        <v>892.60000000000036</v>
      </c>
      <c r="H127" s="1272" t="s">
        <v>822</v>
      </c>
      <c r="I127" s="1266" t="s">
        <v>823</v>
      </c>
      <c r="J127" s="1273">
        <v>45747</v>
      </c>
      <c r="K127" s="1266" t="s">
        <v>824</v>
      </c>
      <c r="L127" s="1265"/>
    </row>
    <row r="128" spans="1:12" ht="12.95" customHeight="1">
      <c r="A128" s="1275"/>
      <c r="B128" s="1266"/>
      <c r="C128" s="1266"/>
      <c r="D128" s="1266"/>
      <c r="E128" s="1265"/>
      <c r="F128" s="1271"/>
      <c r="G128" s="1271"/>
      <c r="H128" s="1272"/>
      <c r="I128" s="1266"/>
      <c r="J128" s="1273"/>
      <c r="K128" s="1266"/>
      <c r="L128" s="1265"/>
    </row>
    <row r="129" spans="1:12" ht="12.95" customHeight="1">
      <c r="A129" s="1275"/>
      <c r="B129" s="1266"/>
      <c r="C129" s="1266"/>
      <c r="D129" s="1266"/>
      <c r="E129" s="1265"/>
      <c r="F129" s="1271"/>
      <c r="G129" s="1271"/>
      <c r="H129" s="1272"/>
      <c r="I129" s="1266"/>
      <c r="J129" s="1273"/>
      <c r="K129" s="1266"/>
      <c r="L129" s="1265"/>
    </row>
    <row r="130" spans="1:12" ht="12.95" customHeight="1">
      <c r="A130" s="1275"/>
      <c r="B130" s="1266"/>
      <c r="C130" s="1266"/>
      <c r="D130" s="1266"/>
      <c r="E130" s="1265"/>
      <c r="F130" s="1271"/>
      <c r="G130" s="1271"/>
      <c r="H130" s="1272"/>
      <c r="I130" s="1266"/>
      <c r="J130" s="1273"/>
      <c r="K130" s="1266"/>
      <c r="L130" s="1265"/>
    </row>
    <row r="131" spans="1:12" ht="12.95" customHeight="1">
      <c r="A131" s="1275"/>
      <c r="B131" s="1266"/>
      <c r="C131" s="1266"/>
      <c r="D131" s="1266"/>
      <c r="E131" s="1265"/>
      <c r="F131" s="1271"/>
      <c r="G131" s="1271"/>
      <c r="H131" s="1272"/>
      <c r="I131" s="1266"/>
      <c r="J131" s="1273"/>
      <c r="K131" s="1266"/>
      <c r="L131" s="1265"/>
    </row>
    <row r="132" spans="1:12" ht="12.95" customHeight="1">
      <c r="A132" s="1275"/>
      <c r="B132" s="1266"/>
      <c r="C132" s="1266"/>
      <c r="D132" s="1266"/>
      <c r="E132" s="1265"/>
      <c r="F132" s="1271"/>
      <c r="G132" s="1271"/>
      <c r="H132" s="1272"/>
      <c r="I132" s="1266"/>
      <c r="J132" s="1273"/>
      <c r="K132" s="1266"/>
      <c r="L132" s="1265"/>
    </row>
    <row r="133" spans="1:12" ht="12.95" customHeight="1">
      <c r="A133" s="1275"/>
      <c r="B133" s="1266"/>
      <c r="C133" s="1266"/>
      <c r="D133" s="1266"/>
      <c r="E133" s="1265"/>
      <c r="F133" s="1271"/>
      <c r="G133" s="1271"/>
      <c r="H133" s="1272"/>
      <c r="I133" s="1266"/>
      <c r="J133" s="1273"/>
      <c r="K133" s="1266"/>
      <c r="L133" s="1265"/>
    </row>
    <row r="134" spans="1:12" ht="12.95" customHeight="1">
      <c r="A134" s="1275"/>
      <c r="B134" s="1266"/>
      <c r="C134" s="1266"/>
      <c r="D134" s="1266"/>
      <c r="E134" s="1265"/>
      <c r="F134" s="1271"/>
      <c r="G134" s="1271"/>
      <c r="H134" s="1272"/>
      <c r="I134" s="1266"/>
      <c r="J134" s="1273"/>
      <c r="K134" s="1266"/>
      <c r="L134" s="1265"/>
    </row>
    <row r="135" spans="1:12" ht="12.95" customHeight="1">
      <c r="A135" s="1275"/>
      <c r="B135" s="1266"/>
      <c r="C135" s="1266"/>
      <c r="D135" s="1266"/>
      <c r="E135" s="1265"/>
      <c r="F135" s="1271"/>
      <c r="G135" s="1271"/>
      <c r="H135" s="1272"/>
      <c r="I135" s="1266"/>
      <c r="J135" s="1273"/>
      <c r="K135" s="1266"/>
      <c r="L135" s="1265"/>
    </row>
    <row r="136" spans="1:12" ht="12.95" customHeight="1">
      <c r="A136" s="1275"/>
      <c r="B136" s="1266"/>
      <c r="C136" s="1266"/>
      <c r="D136" s="1266"/>
      <c r="E136" s="1265"/>
      <c r="F136" s="1271"/>
      <c r="G136" s="1271"/>
      <c r="H136" s="1272"/>
      <c r="I136" s="1266"/>
      <c r="J136" s="1273"/>
      <c r="K136" s="1266"/>
      <c r="L136" s="1265"/>
    </row>
    <row r="137" spans="1:12" ht="12.95" customHeight="1">
      <c r="A137" s="1266" t="s">
        <v>894</v>
      </c>
      <c r="B137" s="1266" t="s">
        <v>895</v>
      </c>
      <c r="C137" s="1266" t="s">
        <v>896</v>
      </c>
      <c r="D137" s="1266" t="s">
        <v>798</v>
      </c>
      <c r="E137" s="1265"/>
      <c r="F137" s="1271"/>
      <c r="G137" s="1271">
        <f>+'[13]PLANILLA MENSUAL'!AV53</f>
        <v>0</v>
      </c>
      <c r="H137" s="1272" t="s">
        <v>822</v>
      </c>
      <c r="I137" s="1266" t="s">
        <v>823</v>
      </c>
      <c r="J137" s="1273">
        <v>45747</v>
      </c>
      <c r="K137" s="1266" t="s">
        <v>824</v>
      </c>
      <c r="L137" s="1265"/>
    </row>
    <row r="138" spans="1:12" ht="12.95" customHeight="1">
      <c r="A138" s="1266"/>
      <c r="B138" s="1266"/>
      <c r="C138" s="1266"/>
      <c r="D138" s="1266"/>
      <c r="E138" s="1265"/>
      <c r="F138" s="1271"/>
      <c r="G138" s="1271"/>
      <c r="H138" s="1266"/>
      <c r="I138" s="1266"/>
      <c r="J138" s="1273"/>
      <c r="K138" s="1266"/>
      <c r="L138" s="1265"/>
    </row>
    <row r="139" spans="1:12" ht="12.95" customHeight="1">
      <c r="A139" s="1266" t="s">
        <v>897</v>
      </c>
      <c r="B139" s="1266" t="s">
        <v>898</v>
      </c>
      <c r="C139" s="1266" t="s">
        <v>854</v>
      </c>
      <c r="D139" s="1266" t="s">
        <v>245</v>
      </c>
      <c r="E139" s="1265"/>
      <c r="F139" s="1271">
        <f>+'[13]PLANILLA MENSUAL'!T68+'[13]PLANILLA MENSUAL'!Z68</f>
        <v>0</v>
      </c>
      <c r="G139" s="1271"/>
      <c r="H139" s="1266"/>
      <c r="I139" s="1266"/>
      <c r="J139" s="1273"/>
      <c r="K139" s="1266"/>
      <c r="L139" s="1265"/>
    </row>
    <row r="140" spans="1:12" ht="12.95" customHeight="1">
      <c r="A140" s="1266" t="s">
        <v>897</v>
      </c>
      <c r="B140" s="1266" t="s">
        <v>898</v>
      </c>
      <c r="C140" s="1266" t="s">
        <v>853</v>
      </c>
      <c r="D140" s="1266" t="s">
        <v>223</v>
      </c>
      <c r="E140" s="1265"/>
      <c r="F140" s="1271">
        <f>+'[13]PLANILLA MENSUAL'!Z71</f>
        <v>0</v>
      </c>
      <c r="G140" s="1271"/>
      <c r="H140" s="1266"/>
      <c r="I140" s="1266"/>
      <c r="J140" s="1273"/>
      <c r="K140" s="1266"/>
      <c r="L140" s="1265"/>
    </row>
    <row r="141" spans="1:12" ht="12.95" customHeight="1">
      <c r="A141" s="1266"/>
      <c r="B141" s="1266"/>
      <c r="C141" s="1266"/>
      <c r="D141" s="1266"/>
      <c r="E141" s="1265"/>
      <c r="F141" s="1271"/>
      <c r="G141" s="1271"/>
      <c r="H141" s="1266"/>
      <c r="I141" s="1266"/>
      <c r="J141" s="1273"/>
      <c r="K141" s="1266"/>
      <c r="L141" s="1265"/>
    </row>
    <row r="142" spans="1:12" ht="12.95" customHeight="1">
      <c r="A142" s="1265"/>
      <c r="B142" s="1265"/>
      <c r="C142" s="1266"/>
      <c r="D142" s="1265"/>
      <c r="E142" s="1265"/>
      <c r="F142" s="1265"/>
      <c r="G142" s="1265"/>
      <c r="H142" s="1265"/>
      <c r="I142" s="1265"/>
      <c r="J142" s="1265"/>
      <c r="K142" s="1265"/>
      <c r="L142" s="1265"/>
    </row>
    <row r="143" spans="1:12">
      <c r="A143" s="1288"/>
      <c r="B143" s="1288"/>
      <c r="C143" s="1288"/>
      <c r="D143" s="1289"/>
      <c r="E143" s="1290" t="s">
        <v>899</v>
      </c>
      <c r="F143" s="1291">
        <f>SUM(F9:F142)</f>
        <v>146241.61620737749</v>
      </c>
      <c r="G143" s="1291" t="e">
        <f>SUM(G9:G142)</f>
        <v>#REF!</v>
      </c>
      <c r="H143" s="1288"/>
      <c r="I143" s="1288"/>
      <c r="J143" s="1292"/>
      <c r="K143" s="1288"/>
      <c r="L143" s="1265"/>
    </row>
    <row r="144" spans="1:12">
      <c r="A144" s="1266"/>
      <c r="B144" s="1266"/>
      <c r="C144" s="1266"/>
      <c r="D144" s="1265"/>
      <c r="E144" s="1265"/>
      <c r="F144" s="1271"/>
      <c r="G144" s="1293" t="e">
        <f>+F143-G143</f>
        <v>#REF!</v>
      </c>
      <c r="H144" s="1266"/>
      <c r="I144" s="1266"/>
      <c r="J144" s="1273"/>
      <c r="K144" s="1266"/>
      <c r="L144" s="1265"/>
    </row>
  </sheetData>
  <mergeCells count="1">
    <mergeCell ref="A3:K3"/>
  </mergeCells>
  <pageMargins left="0.7" right="0.7" top="0.75" bottom="0.75" header="0.3" footer="0.3"/>
  <pageSetup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AF52-45E4-4968-8094-8B125A1E39B4}">
  <dimension ref="B2:I32"/>
  <sheetViews>
    <sheetView topLeftCell="B21" workbookViewId="0">
      <selection activeCell="F22" sqref="F22"/>
    </sheetView>
  </sheetViews>
  <sheetFormatPr baseColWidth="10" defaultRowHeight="15"/>
  <cols>
    <col min="2" max="2" width="37" bestFit="1" customWidth="1"/>
    <col min="4" max="4" width="8.42578125" customWidth="1"/>
    <col min="5" max="5" width="12.42578125" customWidth="1"/>
  </cols>
  <sheetData>
    <row r="2" spans="2:9" ht="30">
      <c r="C2" s="1221" t="s">
        <v>768</v>
      </c>
      <c r="D2" s="1221" t="s">
        <v>769</v>
      </c>
      <c r="E2" s="1221" t="s">
        <v>770</v>
      </c>
      <c r="F2" s="1220" t="s">
        <v>778</v>
      </c>
      <c r="G2" s="1220" t="s">
        <v>779</v>
      </c>
      <c r="H2" s="1216" t="s">
        <v>772</v>
      </c>
      <c r="I2" s="1222" t="s">
        <v>771</v>
      </c>
    </row>
    <row r="3" spans="2:9">
      <c r="B3" s="1209" t="s">
        <v>208</v>
      </c>
      <c r="C3" s="1210">
        <v>4113</v>
      </c>
      <c r="D3" s="1211">
        <f t="shared" ref="D3:D8" si="0">C3/30</f>
        <v>137.1</v>
      </c>
      <c r="E3" s="1211">
        <f t="shared" ref="E3:E8" si="1">D3/8</f>
        <v>17.137499999999999</v>
      </c>
      <c r="F3" s="1212">
        <f>C23*E3*1.25</f>
        <v>267.7734375</v>
      </c>
      <c r="G3" s="1212">
        <f>E3*D23*1.35</f>
        <v>161.949375</v>
      </c>
      <c r="H3" s="1212">
        <f>E3*E23*2</f>
        <v>976.83749999999998</v>
      </c>
      <c r="I3" s="1213">
        <f t="shared" ref="I3:I8" si="2">SUM(F3:H3)</f>
        <v>1406.5603125</v>
      </c>
    </row>
    <row r="4" spans="2:9">
      <c r="B4" s="1209" t="s">
        <v>255</v>
      </c>
      <c r="C4" s="1210">
        <v>2500</v>
      </c>
      <c r="D4" s="1211">
        <f t="shared" si="0"/>
        <v>83.333333333333329</v>
      </c>
      <c r="E4" s="1211">
        <f t="shared" si="1"/>
        <v>10.416666666666666</v>
      </c>
      <c r="F4" s="1212">
        <f t="shared" ref="F4:F8" si="3">C24*E4*1.25</f>
        <v>240.88541666666663</v>
      </c>
      <c r="G4" s="1212">
        <f t="shared" ref="G4:G8" si="4">E4*D24*1.35</f>
        <v>203.90625</v>
      </c>
      <c r="H4" s="1212">
        <f t="shared" ref="H4:H8" si="5">E4*E24*2</f>
        <v>979.16666666666663</v>
      </c>
      <c r="I4" s="1213">
        <f t="shared" si="2"/>
        <v>1423.9583333333333</v>
      </c>
    </row>
    <row r="5" spans="2:9">
      <c r="B5" s="1209" t="s">
        <v>258</v>
      </c>
      <c r="C5" s="1210">
        <v>2500</v>
      </c>
      <c r="D5" s="1211">
        <f t="shared" si="0"/>
        <v>83.333333333333329</v>
      </c>
      <c r="E5" s="1211">
        <f t="shared" si="1"/>
        <v>10.416666666666666</v>
      </c>
      <c r="F5" s="1212">
        <f t="shared" si="3"/>
        <v>286.45833333333331</v>
      </c>
      <c r="G5" s="1212">
        <f t="shared" si="4"/>
        <v>172.265625</v>
      </c>
      <c r="H5" s="1212">
        <f t="shared" si="5"/>
        <v>333.33333333333331</v>
      </c>
      <c r="I5" s="1213">
        <f t="shared" si="2"/>
        <v>792.05729166666663</v>
      </c>
    </row>
    <row r="6" spans="2:9">
      <c r="B6" s="1209" t="s">
        <v>271</v>
      </c>
      <c r="C6" s="1210">
        <v>2000</v>
      </c>
      <c r="D6" s="1211">
        <f t="shared" si="0"/>
        <v>66.666666666666671</v>
      </c>
      <c r="E6" s="1211">
        <f t="shared" si="1"/>
        <v>8.3333333333333339</v>
      </c>
      <c r="F6" s="1212">
        <f t="shared" si="3"/>
        <v>151.04166666666669</v>
      </c>
      <c r="G6" s="1212">
        <f t="shared" si="4"/>
        <v>137.81250000000003</v>
      </c>
      <c r="H6" s="1212">
        <f t="shared" si="5"/>
        <v>608.33333333333337</v>
      </c>
      <c r="I6" s="1213">
        <f t="shared" si="2"/>
        <v>897.18750000000011</v>
      </c>
    </row>
    <row r="7" spans="2:9">
      <c r="B7" s="1209" t="s">
        <v>282</v>
      </c>
      <c r="C7" s="1210">
        <v>1613</v>
      </c>
      <c r="D7" s="1211">
        <f t="shared" si="0"/>
        <v>53.766666666666666</v>
      </c>
      <c r="E7" s="1211">
        <f t="shared" si="1"/>
        <v>6.7208333333333332</v>
      </c>
      <c r="F7" s="1212">
        <f t="shared" si="3"/>
        <v>33.604166666666664</v>
      </c>
      <c r="G7" s="1212">
        <f t="shared" si="4"/>
        <v>31.755937500000002</v>
      </c>
      <c r="H7" s="1212">
        <f t="shared" si="5"/>
        <v>107.53333333333333</v>
      </c>
      <c r="I7" s="1213">
        <f t="shared" si="2"/>
        <v>172.8934375</v>
      </c>
    </row>
    <row r="8" spans="2:9">
      <c r="B8" s="1209" t="s">
        <v>250</v>
      </c>
      <c r="C8" s="1210">
        <v>2800</v>
      </c>
      <c r="D8" s="1211">
        <f t="shared" si="0"/>
        <v>93.333333333333329</v>
      </c>
      <c r="E8" s="1211">
        <f t="shared" si="1"/>
        <v>11.666666666666666</v>
      </c>
      <c r="F8" s="1212">
        <f t="shared" si="3"/>
        <v>247.91666666666663</v>
      </c>
      <c r="G8" s="1212">
        <f t="shared" si="4"/>
        <v>236.25000000000003</v>
      </c>
      <c r="H8" s="1212">
        <f t="shared" si="5"/>
        <v>618.33333333333326</v>
      </c>
      <c r="I8" s="1213">
        <f t="shared" si="2"/>
        <v>1102.5</v>
      </c>
    </row>
    <row r="10" spans="2:9" hidden="1"/>
    <row r="11" spans="2:9" ht="30" hidden="1">
      <c r="B11" s="1214" t="s">
        <v>133</v>
      </c>
      <c r="C11" s="1215">
        <v>0.25</v>
      </c>
      <c r="D11" s="1215">
        <v>0.35</v>
      </c>
      <c r="E11" s="1215">
        <v>1.25</v>
      </c>
      <c r="F11" s="1215">
        <v>1.35</v>
      </c>
      <c r="G11" s="1216" t="s">
        <v>772</v>
      </c>
    </row>
    <row r="12" spans="2:9" hidden="1">
      <c r="B12" s="1217" t="s">
        <v>208</v>
      </c>
      <c r="C12" s="1218">
        <v>8</v>
      </c>
      <c r="D12" s="1218">
        <v>7</v>
      </c>
      <c r="E12" s="1218">
        <v>4.5</v>
      </c>
      <c r="F12" s="1218"/>
      <c r="G12" s="1218">
        <v>3</v>
      </c>
    </row>
    <row r="13" spans="2:9" hidden="1">
      <c r="B13" s="1219" t="s">
        <v>773</v>
      </c>
      <c r="C13" s="1218">
        <v>12</v>
      </c>
      <c r="D13" s="1218">
        <v>14</v>
      </c>
      <c r="E13" s="1218">
        <v>6.5</v>
      </c>
      <c r="F13" s="1218">
        <v>0.5</v>
      </c>
      <c r="G13" s="1218">
        <v>5</v>
      </c>
    </row>
    <row r="14" spans="2:9" hidden="1">
      <c r="B14" s="1219" t="s">
        <v>774</v>
      </c>
      <c r="C14" s="1218">
        <v>22</v>
      </c>
      <c r="D14" s="1218">
        <f>(12*60+15)/60</f>
        <v>12.25</v>
      </c>
      <c r="E14" s="1218"/>
      <c r="F14" s="1218"/>
      <c r="G14" s="1218">
        <v>2</v>
      </c>
    </row>
    <row r="15" spans="2:9" hidden="1">
      <c r="B15" s="1219" t="s">
        <v>775</v>
      </c>
      <c r="C15" s="1218">
        <v>10</v>
      </c>
      <c r="D15" s="1218">
        <f>(12*60+15)/60</f>
        <v>12.25</v>
      </c>
      <c r="E15" s="1218">
        <v>4.5</v>
      </c>
      <c r="F15" s="1218"/>
      <c r="G15" s="1218">
        <v>4</v>
      </c>
    </row>
    <row r="16" spans="2:9" hidden="1">
      <c r="B16" s="1219" t="s">
        <v>776</v>
      </c>
      <c r="C16" s="1218">
        <v>4</v>
      </c>
      <c r="D16" s="1218">
        <v>3.5</v>
      </c>
      <c r="E16" s="1218"/>
      <c r="F16" s="1218"/>
      <c r="G16" s="1218">
        <v>1</v>
      </c>
    </row>
    <row r="17" spans="2:7" hidden="1">
      <c r="B17" s="1219" t="s">
        <v>777</v>
      </c>
      <c r="C17" s="1218">
        <v>15</v>
      </c>
      <c r="D17" s="1218">
        <v>14.5</v>
      </c>
      <c r="E17" s="1218">
        <v>2</v>
      </c>
      <c r="F17" s="1218">
        <v>0.5</v>
      </c>
      <c r="G17" s="1218">
        <v>3</v>
      </c>
    </row>
    <row r="18" spans="2:7" hidden="1"/>
    <row r="19" spans="2:7" hidden="1"/>
    <row r="20" spans="2:7" hidden="1"/>
    <row r="22" spans="2:7" ht="30">
      <c r="B22" s="1214" t="s">
        <v>133</v>
      </c>
      <c r="C22" s="1220" t="s">
        <v>778</v>
      </c>
      <c r="D22" s="1220" t="s">
        <v>779</v>
      </c>
      <c r="E22" s="1216" t="s">
        <v>772</v>
      </c>
    </row>
    <row r="23" spans="2:7">
      <c r="B23" s="1217" t="s">
        <v>208</v>
      </c>
      <c r="C23" s="1218">
        <f>C12+E12</f>
        <v>12.5</v>
      </c>
      <c r="D23" s="1218">
        <v>7</v>
      </c>
      <c r="E23" s="1218">
        <v>28.5</v>
      </c>
    </row>
    <row r="24" spans="2:7">
      <c r="B24" s="1219" t="s">
        <v>773</v>
      </c>
      <c r="C24" s="1218">
        <f t="shared" ref="C24:C28" si="6">C13+E13</f>
        <v>18.5</v>
      </c>
      <c r="D24" s="1218">
        <f>D13+F13</f>
        <v>14.5</v>
      </c>
      <c r="E24" s="1218">
        <v>47</v>
      </c>
    </row>
    <row r="25" spans="2:7">
      <c r="B25" s="1219" t="s">
        <v>774</v>
      </c>
      <c r="C25" s="1218">
        <f t="shared" si="6"/>
        <v>22</v>
      </c>
      <c r="D25" s="1218">
        <f t="shared" ref="D25:D28" si="7">D14+F14</f>
        <v>12.25</v>
      </c>
      <c r="E25" s="1218">
        <v>16</v>
      </c>
    </row>
    <row r="26" spans="2:7">
      <c r="B26" s="1219" t="s">
        <v>775</v>
      </c>
      <c r="C26" s="1218">
        <f t="shared" si="6"/>
        <v>14.5</v>
      </c>
      <c r="D26" s="1218">
        <f t="shared" si="7"/>
        <v>12.25</v>
      </c>
      <c r="E26" s="1218">
        <v>36.5</v>
      </c>
    </row>
    <row r="27" spans="2:7">
      <c r="B27" s="1219" t="s">
        <v>776</v>
      </c>
      <c r="C27" s="1218">
        <f t="shared" si="6"/>
        <v>4</v>
      </c>
      <c r="D27" s="1218">
        <f t="shared" si="7"/>
        <v>3.5</v>
      </c>
      <c r="E27" s="1218">
        <v>8</v>
      </c>
    </row>
    <row r="28" spans="2:7">
      <c r="B28" s="1219" t="s">
        <v>777</v>
      </c>
      <c r="C28" s="1218">
        <f t="shared" si="6"/>
        <v>17</v>
      </c>
      <c r="D28" s="1218">
        <f t="shared" si="7"/>
        <v>15</v>
      </c>
      <c r="E28" s="1218">
        <v>26.5</v>
      </c>
    </row>
    <row r="31" spans="2:7">
      <c r="C31" s="1208">
        <v>2500</v>
      </c>
    </row>
    <row r="32" spans="2:7">
      <c r="B32">
        <f>5500*7</f>
        <v>38500</v>
      </c>
      <c r="C32">
        <f>C31*12</f>
        <v>30000</v>
      </c>
      <c r="D32">
        <f>C31+C31*9%</f>
        <v>2725</v>
      </c>
      <c r="E32">
        <f>2000</f>
        <v>2000</v>
      </c>
    </row>
  </sheetData>
  <conditionalFormatting sqref="B4:B8 B11">
    <cfRule type="duplicateValues" dxfId="1" priority="3"/>
  </conditionalFormatting>
  <conditionalFormatting sqref="B22">
    <cfRule type="duplicateValues" dxfId="0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D106"/>
  <sheetViews>
    <sheetView topLeftCell="AM65" workbookViewId="0">
      <selection activeCell="AR82" sqref="AR82:AU92"/>
    </sheetView>
  </sheetViews>
  <sheetFormatPr baseColWidth="10" defaultColWidth="9.140625" defaultRowHeight="15"/>
  <cols>
    <col min="1" max="1" width="10.140625" customWidth="1"/>
    <col min="2" max="2" width="0.7109375" customWidth="1"/>
    <col min="3" max="3" width="4.28515625" customWidth="1"/>
    <col min="4" max="4" width="13.7109375" customWidth="1"/>
    <col min="5" max="5" width="11.140625" customWidth="1"/>
    <col min="6" max="6" width="10.28515625" customWidth="1"/>
    <col min="7" max="7" width="10.85546875" customWidth="1"/>
    <col min="8" max="8" width="9.5703125" customWidth="1"/>
    <col min="9" max="9" width="17.5703125" style="139" customWidth="1"/>
    <col min="10" max="10" width="14.7109375" hidden="1" customWidth="1"/>
    <col min="11" max="11" width="10" customWidth="1"/>
    <col min="12" max="12" width="13.28515625" customWidth="1"/>
    <col min="13" max="13" width="16.28515625" customWidth="1"/>
    <col min="14" max="14" width="11.7109375" customWidth="1"/>
    <col min="15" max="15" width="13.85546875" customWidth="1"/>
    <col min="16" max="16" width="20.28515625" customWidth="1"/>
    <col min="17" max="17" width="13.7109375" customWidth="1"/>
    <col min="18" max="18" width="21.28515625" customWidth="1"/>
    <col min="19" max="19" width="8.5703125" customWidth="1"/>
    <col min="20" max="21" width="7.140625" customWidth="1"/>
    <col min="22" max="22" width="10.140625" customWidth="1"/>
    <col min="23" max="23" width="6.28515625" customWidth="1"/>
    <col min="24" max="24" width="11.5703125" customWidth="1"/>
    <col min="25" max="25" width="8.7109375" customWidth="1"/>
    <col min="26" max="26" width="6.5703125" customWidth="1"/>
    <col min="27" max="27" width="25" customWidth="1"/>
    <col min="28" max="28" width="12.28515625" customWidth="1"/>
    <col min="29" max="29" width="9.5703125" customWidth="1"/>
    <col min="30" max="30" width="12.42578125" customWidth="1"/>
    <col min="31" max="31" width="6.42578125" customWidth="1"/>
    <col min="32" max="32" width="10.140625" customWidth="1"/>
    <col min="33" max="33" width="10.85546875" customWidth="1"/>
    <col min="34" max="34" width="4.42578125" customWidth="1"/>
    <col min="35" max="35" width="9" customWidth="1"/>
    <col min="36" max="36" width="7.5703125" customWidth="1"/>
    <col min="37" max="37" width="9" customWidth="1"/>
    <col min="38" max="38" width="7.5703125" customWidth="1"/>
    <col min="39" max="39" width="8.28515625" customWidth="1"/>
    <col min="40" max="40" width="7.5703125" customWidth="1"/>
    <col min="41" max="41" width="8.28515625" customWidth="1"/>
    <col min="42" max="42" width="9.140625" customWidth="1"/>
    <col min="43" max="43" width="9" customWidth="1"/>
    <col min="44" max="44" width="9.140625" customWidth="1"/>
    <col min="45" max="45" width="10.140625" style="236" customWidth="1"/>
    <col min="46" max="46" width="8.5703125" customWidth="1"/>
    <col min="47" max="47" width="11" customWidth="1"/>
    <col min="48" max="48" width="10.85546875" customWidth="1"/>
    <col min="49" max="49" width="11.85546875" customWidth="1"/>
    <col min="50" max="50" width="10" customWidth="1"/>
    <col min="51" max="51" width="10.140625" style="292" bestFit="1" customWidth="1"/>
    <col min="52" max="52" width="7" customWidth="1"/>
    <col min="53" max="53" width="10.140625" customWidth="1"/>
    <col min="54" max="54" width="6.85546875" customWidth="1"/>
    <col min="55" max="55" width="8" customWidth="1"/>
    <col min="56" max="56" width="8.28515625" style="477" customWidth="1"/>
    <col min="57" max="57" width="7.85546875" customWidth="1"/>
    <col min="58" max="58" width="13" customWidth="1"/>
    <col min="59" max="60" width="9.140625" style="477"/>
  </cols>
  <sheetData>
    <row r="1" spans="1:159" s="2" customFormat="1" ht="12.75">
      <c r="A1" s="1"/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239">
        <v>7</v>
      </c>
      <c r="J1" s="1">
        <v>8</v>
      </c>
      <c r="K1" s="1">
        <v>9</v>
      </c>
      <c r="L1" s="1">
        <v>10</v>
      </c>
      <c r="M1" s="1">
        <v>11</v>
      </c>
      <c r="N1" s="1"/>
      <c r="O1" s="1">
        <v>12</v>
      </c>
      <c r="P1" s="1">
        <v>13</v>
      </c>
      <c r="Q1" s="1">
        <v>14</v>
      </c>
      <c r="R1" s="1"/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/>
      <c r="AB1" s="1">
        <v>23</v>
      </c>
      <c r="AC1" s="1"/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206">
        <v>39</v>
      </c>
      <c r="AT1" s="1"/>
      <c r="AU1" s="1">
        <v>40</v>
      </c>
      <c r="AV1" s="1"/>
      <c r="AW1" s="1"/>
      <c r="AX1" s="1">
        <v>41</v>
      </c>
      <c r="AY1" s="291">
        <v>42</v>
      </c>
      <c r="AZ1" s="1">
        <v>43</v>
      </c>
      <c r="BA1" s="1">
        <v>44</v>
      </c>
      <c r="BB1" s="1"/>
      <c r="BC1" s="204">
        <v>48</v>
      </c>
      <c r="BD1" s="12"/>
      <c r="BE1" s="1"/>
      <c r="BF1" s="1">
        <v>57</v>
      </c>
      <c r="BG1" s="12">
        <v>58</v>
      </c>
      <c r="BH1" s="12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</row>
    <row r="2" spans="1:159" s="6" customFormat="1" ht="18.75">
      <c r="A2" s="3"/>
      <c r="B2" s="3"/>
      <c r="C2" s="1583" t="s">
        <v>526</v>
      </c>
      <c r="D2" s="1583"/>
      <c r="E2" s="1583"/>
      <c r="F2" s="1583"/>
      <c r="G2" s="1583"/>
      <c r="H2" s="1583"/>
      <c r="I2" s="1583"/>
      <c r="J2" s="1583"/>
      <c r="K2" s="1583"/>
      <c r="L2" s="1583"/>
      <c r="M2" s="1583"/>
      <c r="N2" s="1583"/>
      <c r="O2" s="1583"/>
      <c r="P2" s="1583"/>
      <c r="Q2" s="1583"/>
      <c r="R2" s="1583"/>
      <c r="S2" s="1583"/>
      <c r="T2" s="1583"/>
      <c r="U2" s="1583"/>
      <c r="V2" s="1583"/>
      <c r="W2" s="1583"/>
      <c r="X2" s="1583"/>
      <c r="Y2" s="1583"/>
      <c r="Z2" s="1583"/>
      <c r="AA2" s="1583"/>
      <c r="AB2" s="1583"/>
      <c r="AC2" s="1583"/>
      <c r="AD2" s="1583"/>
      <c r="AE2" s="1583"/>
      <c r="AF2" s="1583"/>
      <c r="AG2" s="1583"/>
      <c r="AH2" s="1583"/>
      <c r="AI2" s="1583"/>
      <c r="AJ2" s="1583"/>
      <c r="AK2" s="1583"/>
      <c r="AL2" s="1583"/>
      <c r="AM2" s="1583"/>
      <c r="AN2" s="1583"/>
      <c r="AO2" s="1583"/>
      <c r="AP2" s="1583"/>
      <c r="AQ2" s="1583"/>
      <c r="AR2" s="1583"/>
      <c r="AS2" s="1583"/>
      <c r="AT2" s="1583"/>
      <c r="AU2" s="1583"/>
      <c r="AV2" s="1583"/>
      <c r="AW2" s="1583"/>
      <c r="AX2" s="1583"/>
      <c r="AY2" s="1583"/>
      <c r="AZ2" s="1583"/>
      <c r="BA2" s="1583"/>
      <c r="BB2" s="4"/>
      <c r="BC2" s="40"/>
      <c r="BD2" s="472"/>
      <c r="BG2" s="12"/>
      <c r="BH2" s="12"/>
    </row>
    <row r="3" spans="1:159" s="6" customFormat="1">
      <c r="A3" s="3"/>
      <c r="B3" s="3"/>
      <c r="C3" s="7" t="s">
        <v>527</v>
      </c>
      <c r="D3" s="8"/>
      <c r="E3" s="8"/>
      <c r="F3" s="8"/>
      <c r="G3" s="8"/>
      <c r="H3" s="8"/>
      <c r="I3" s="240"/>
      <c r="J3" s="3"/>
      <c r="K3" s="3"/>
      <c r="L3" s="3"/>
      <c r="M3" s="3"/>
      <c r="N3" s="3"/>
      <c r="O3" s="5"/>
      <c r="P3" s="3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9"/>
      <c r="AJ3" s="9"/>
      <c r="AK3" s="9"/>
      <c r="AL3" s="9"/>
      <c r="AM3" s="9"/>
      <c r="AN3" s="9"/>
      <c r="AO3" s="9"/>
      <c r="AP3" s="9"/>
      <c r="AQ3" s="9"/>
      <c r="AR3" s="9"/>
      <c r="AS3" s="207"/>
      <c r="AT3" s="9"/>
      <c r="AU3" s="9"/>
      <c r="AV3" s="9"/>
      <c r="AW3" s="9"/>
      <c r="AX3" s="9"/>
      <c r="AY3" s="9"/>
      <c r="AZ3" s="9"/>
      <c r="BA3" s="9"/>
      <c r="BB3" s="9"/>
      <c r="BC3" s="40"/>
      <c r="BD3" s="472"/>
      <c r="BG3" s="12"/>
      <c r="BH3" s="12"/>
    </row>
    <row r="4" spans="1:159" s="6" customFormat="1" ht="19.5">
      <c r="A4" s="3"/>
      <c r="B4" s="3"/>
      <c r="C4" s="1584" t="s">
        <v>528</v>
      </c>
      <c r="D4" s="1584"/>
      <c r="E4" s="1584"/>
      <c r="F4" s="1584"/>
      <c r="G4" s="1584"/>
      <c r="H4" s="1584"/>
      <c r="I4" s="1584"/>
      <c r="J4" s="1584"/>
      <c r="K4" s="1584"/>
      <c r="L4" s="1584"/>
      <c r="M4" s="1584"/>
      <c r="N4" s="1584"/>
      <c r="O4" s="1584"/>
      <c r="P4" s="1584"/>
      <c r="Q4" s="1584"/>
      <c r="R4" s="1584"/>
      <c r="S4" s="1584"/>
      <c r="T4" s="1584"/>
      <c r="U4" s="1584"/>
      <c r="V4" s="1584"/>
      <c r="W4" s="1584"/>
      <c r="X4" s="1584"/>
      <c r="Y4" s="1584"/>
      <c r="Z4" s="1584"/>
      <c r="AA4" s="1584"/>
      <c r="AB4" s="1584"/>
      <c r="AC4" s="1584"/>
      <c r="AD4" s="1584"/>
      <c r="AE4" s="1584"/>
      <c r="AF4" s="1584"/>
      <c r="AG4" s="1584"/>
      <c r="AH4" s="1584"/>
      <c r="AI4" s="1584"/>
      <c r="AJ4" s="1584"/>
      <c r="AK4" s="1584"/>
      <c r="AL4" s="1584"/>
      <c r="AM4" s="1584"/>
      <c r="AN4" s="1584"/>
      <c r="AO4" s="1584"/>
      <c r="AP4" s="1584"/>
      <c r="AQ4" s="1584"/>
      <c r="AR4" s="1584"/>
      <c r="AS4" s="1584"/>
      <c r="AT4" s="1584"/>
      <c r="AU4" s="1584"/>
      <c r="AV4" s="1584"/>
      <c r="AW4" s="1584"/>
      <c r="AX4" s="1584"/>
      <c r="AY4" s="1584"/>
      <c r="AZ4" s="1584"/>
      <c r="BA4" s="1584"/>
      <c r="BB4" s="11"/>
      <c r="BC4" s="40"/>
      <c r="BD4" s="472"/>
      <c r="BG4" s="12"/>
      <c r="BH4" s="12"/>
    </row>
    <row r="5" spans="1:159" s="6" customFormat="1" ht="12.75">
      <c r="A5" s="3"/>
      <c r="B5" s="3"/>
      <c r="C5" s="8"/>
      <c r="D5" s="8"/>
      <c r="E5" s="8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40"/>
      <c r="BD5" s="472"/>
      <c r="BG5" s="12"/>
      <c r="BH5" s="12"/>
    </row>
    <row r="6" spans="1:159" s="6" customFormat="1" ht="12.75">
      <c r="A6" s="3"/>
      <c r="B6" s="3"/>
      <c r="C6" s="1585" t="s">
        <v>120</v>
      </c>
      <c r="D6" s="1585"/>
      <c r="E6" s="1585"/>
      <c r="F6" s="1585"/>
      <c r="G6" s="1585"/>
      <c r="H6" s="1585"/>
      <c r="I6" s="1585"/>
      <c r="J6" s="1585"/>
      <c r="K6" s="1585"/>
      <c r="L6" s="1585"/>
      <c r="M6" s="1585"/>
      <c r="N6" s="1585"/>
      <c r="O6" s="1585"/>
      <c r="P6" s="1585"/>
      <c r="Q6" s="1585"/>
      <c r="R6" s="1585"/>
      <c r="S6" s="1585"/>
      <c r="T6" s="1585"/>
      <c r="U6" s="1585"/>
      <c r="V6" s="1585"/>
      <c r="W6" s="1585"/>
      <c r="X6" s="1585"/>
      <c r="Y6" s="1585"/>
      <c r="Z6" s="1585"/>
      <c r="AA6" s="1585"/>
      <c r="AB6" s="1585"/>
      <c r="AC6" s="1585"/>
      <c r="AD6" s="1585"/>
      <c r="AE6" s="1585"/>
      <c r="AF6" s="1585"/>
      <c r="AG6" s="1585"/>
      <c r="AH6" s="1585"/>
      <c r="AI6" s="1585"/>
      <c r="AJ6" s="1585"/>
      <c r="AK6" s="1585"/>
      <c r="AL6" s="1585"/>
      <c r="AM6" s="1585"/>
      <c r="AN6" s="1585"/>
      <c r="AO6" s="1585"/>
      <c r="AP6" s="1585"/>
      <c r="AQ6" s="1585"/>
      <c r="AR6" s="1585"/>
      <c r="AS6" s="1585"/>
      <c r="AT6" s="1585"/>
      <c r="AU6" s="1585"/>
      <c r="AV6" s="1585"/>
      <c r="AW6" s="1585"/>
      <c r="AX6" s="1585"/>
      <c r="AY6" s="1585"/>
      <c r="AZ6" s="1585"/>
      <c r="BA6" s="1585"/>
      <c r="BB6" s="3"/>
      <c r="BC6" s="40"/>
      <c r="BD6" s="472"/>
      <c r="BG6" s="12"/>
      <c r="BH6" s="12"/>
    </row>
    <row r="7" spans="1:159" s="6" customFormat="1" ht="12.75">
      <c r="A7" s="1"/>
      <c r="B7" s="1"/>
      <c r="C7" s="8"/>
      <c r="I7" s="239"/>
      <c r="J7" s="1"/>
      <c r="K7" s="1"/>
      <c r="L7" s="1"/>
      <c r="M7" s="1"/>
      <c r="N7" s="1"/>
      <c r="O7" s="12"/>
      <c r="P7" s="1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4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208"/>
      <c r="AT7" s="13"/>
      <c r="AU7" s="13"/>
      <c r="AV7" s="13"/>
      <c r="AW7" s="13"/>
      <c r="AX7" s="13"/>
      <c r="AY7" s="13"/>
      <c r="AZ7" s="13"/>
      <c r="BA7" s="13"/>
      <c r="BB7" s="13"/>
      <c r="BC7" s="40"/>
      <c r="BD7" s="472"/>
      <c r="BG7" s="12"/>
      <c r="BH7" s="12"/>
    </row>
    <row r="8" spans="1:159" s="1" customFormat="1" ht="13.5" customHeight="1">
      <c r="C8" s="209"/>
      <c r="D8" s="1579" t="s">
        <v>121</v>
      </c>
      <c r="E8" s="1586"/>
      <c r="F8" s="1586"/>
      <c r="G8" s="1580"/>
      <c r="H8" s="1579" t="s">
        <v>122</v>
      </c>
      <c r="I8" s="1586"/>
      <c r="J8" s="1586"/>
      <c r="K8" s="1586"/>
      <c r="L8" s="1586"/>
      <c r="M8" s="1586"/>
      <c r="N8" s="1586"/>
      <c r="O8" s="1586"/>
      <c r="P8" s="1580"/>
      <c r="Q8" s="1579" t="s">
        <v>123</v>
      </c>
      <c r="R8" s="1586"/>
      <c r="S8" s="1586"/>
      <c r="T8" s="1586"/>
      <c r="U8" s="1586"/>
      <c r="V8" s="1586"/>
      <c r="W8" s="1586"/>
      <c r="X8" s="1586"/>
      <c r="Y8" s="1586"/>
      <c r="Z8" s="1586"/>
      <c r="AA8" s="1586"/>
      <c r="AB8" s="1586"/>
      <c r="AC8" s="1586"/>
      <c r="AD8" s="1586"/>
      <c r="AE8" s="1580"/>
      <c r="AF8" s="210"/>
      <c r="AG8" s="210"/>
      <c r="AH8" s="1587" t="s">
        <v>124</v>
      </c>
      <c r="AI8" s="1588"/>
      <c r="AJ8" s="1588"/>
      <c r="AK8" s="1588"/>
      <c r="AL8" s="1588"/>
      <c r="AM8" s="1588"/>
      <c r="AN8" s="1588"/>
      <c r="AO8" s="1588"/>
      <c r="AP8" s="1588"/>
      <c r="AQ8" s="1588"/>
      <c r="AR8" s="1589"/>
      <c r="AS8" s="211"/>
      <c r="AT8" s="212"/>
      <c r="AU8" s="212"/>
      <c r="AV8" s="212"/>
      <c r="AW8" s="212"/>
      <c r="AX8" s="210" t="s">
        <v>125</v>
      </c>
      <c r="AY8" s="508" t="s">
        <v>126</v>
      </c>
      <c r="AZ8" s="1590" t="s">
        <v>127</v>
      </c>
      <c r="BA8" s="1591"/>
      <c r="BB8" s="213"/>
      <c r="BC8" s="210"/>
      <c r="BD8" s="472"/>
      <c r="BF8" s="1592" t="s">
        <v>529</v>
      </c>
      <c r="BG8" s="1593" t="s">
        <v>530</v>
      </c>
      <c r="BH8" s="1595" t="s">
        <v>531</v>
      </c>
    </row>
    <row r="9" spans="1:159" s="1" customFormat="1" ht="24" customHeight="1">
      <c r="C9" s="49" t="s">
        <v>2</v>
      </c>
      <c r="D9" s="1579" t="s">
        <v>128</v>
      </c>
      <c r="E9" s="1580"/>
      <c r="F9" s="1579" t="s">
        <v>532</v>
      </c>
      <c r="G9" s="1580"/>
      <c r="H9" s="49" t="s">
        <v>62</v>
      </c>
      <c r="I9" s="241"/>
      <c r="J9" s="49"/>
      <c r="K9" s="49"/>
      <c r="L9" s="214" t="s">
        <v>129</v>
      </c>
      <c r="M9" s="214" t="s">
        <v>129</v>
      </c>
      <c r="N9" s="214" t="s">
        <v>129</v>
      </c>
      <c r="O9" s="215"/>
      <c r="P9" s="214"/>
      <c r="Q9" s="210" t="s">
        <v>130</v>
      </c>
      <c r="R9" s="1596" t="s">
        <v>409</v>
      </c>
      <c r="S9" s="210" t="s">
        <v>131</v>
      </c>
      <c r="T9" s="210" t="s">
        <v>133</v>
      </c>
      <c r="U9" s="210" t="s">
        <v>133</v>
      </c>
      <c r="V9" s="1599" t="s">
        <v>134</v>
      </c>
      <c r="W9" s="210"/>
      <c r="X9" s="210"/>
      <c r="Y9" s="210"/>
      <c r="Z9" s="210"/>
      <c r="AA9" s="210"/>
      <c r="AB9" s="210"/>
      <c r="AC9" s="210" t="s">
        <v>533</v>
      </c>
      <c r="AD9" s="210" t="s">
        <v>141</v>
      </c>
      <c r="AE9" s="216"/>
      <c r="AF9" s="217" t="s">
        <v>142</v>
      </c>
      <c r="AG9" s="217" t="s">
        <v>143</v>
      </c>
      <c r="AH9" s="1587" t="s">
        <v>144</v>
      </c>
      <c r="AI9" s="1589"/>
      <c r="AJ9" s="1587" t="s">
        <v>145</v>
      </c>
      <c r="AK9" s="1588"/>
      <c r="AL9" s="1588"/>
      <c r="AM9" s="1588"/>
      <c r="AN9" s="1588"/>
      <c r="AO9" s="1588"/>
      <c r="AP9" s="1588"/>
      <c r="AQ9" s="1589"/>
      <c r="AR9" s="210" t="s">
        <v>534</v>
      </c>
      <c r="AS9" s="218" t="s">
        <v>535</v>
      </c>
      <c r="AT9" s="217" t="s">
        <v>536</v>
      </c>
      <c r="AU9" s="217" t="s">
        <v>537</v>
      </c>
      <c r="AV9" s="217" t="s">
        <v>538</v>
      </c>
      <c r="AW9" s="217" t="s">
        <v>539</v>
      </c>
      <c r="AX9" s="217" t="s">
        <v>150</v>
      </c>
      <c r="AY9" s="509" t="s">
        <v>151</v>
      </c>
      <c r="AZ9" s="1590" t="s">
        <v>11</v>
      </c>
      <c r="BA9" s="1591"/>
      <c r="BB9" s="219" t="s">
        <v>147</v>
      </c>
      <c r="BC9" s="217" t="s">
        <v>133</v>
      </c>
      <c r="BD9" s="472"/>
      <c r="BF9" s="1592"/>
      <c r="BG9" s="1594"/>
      <c r="BH9" s="1595"/>
    </row>
    <row r="10" spans="1:159" s="1" customFormat="1" ht="12.75">
      <c r="C10" s="49"/>
      <c r="D10" s="209" t="s">
        <v>153</v>
      </c>
      <c r="E10" s="209" t="s">
        <v>540</v>
      </c>
      <c r="F10" s="209" t="s">
        <v>541</v>
      </c>
      <c r="G10" s="209" t="s">
        <v>542</v>
      </c>
      <c r="H10" s="3" t="s">
        <v>156</v>
      </c>
      <c r="I10" s="241" t="s">
        <v>543</v>
      </c>
      <c r="J10" s="49" t="s">
        <v>544</v>
      </c>
      <c r="K10" s="49" t="s">
        <v>154</v>
      </c>
      <c r="L10" s="49" t="s">
        <v>155</v>
      </c>
      <c r="M10" s="49" t="s">
        <v>155</v>
      </c>
      <c r="N10" s="49" t="s">
        <v>155</v>
      </c>
      <c r="O10" s="49" t="s">
        <v>545</v>
      </c>
      <c r="P10" s="49" t="s">
        <v>3</v>
      </c>
      <c r="Q10" s="217" t="s">
        <v>173</v>
      </c>
      <c r="R10" s="1597"/>
      <c r="S10" s="217" t="s">
        <v>164</v>
      </c>
      <c r="T10" s="217" t="s">
        <v>167</v>
      </c>
      <c r="U10" s="217" t="s">
        <v>167</v>
      </c>
      <c r="V10" s="1600"/>
      <c r="W10" s="217" t="s">
        <v>168</v>
      </c>
      <c r="X10" s="217" t="s">
        <v>135</v>
      </c>
      <c r="Y10" s="217" t="s">
        <v>137</v>
      </c>
      <c r="Z10" s="217" t="s">
        <v>546</v>
      </c>
      <c r="AA10" s="217" t="s">
        <v>547</v>
      </c>
      <c r="AB10" s="217" t="s">
        <v>9</v>
      </c>
      <c r="AC10" s="217" t="s">
        <v>548</v>
      </c>
      <c r="AD10" s="217" t="s">
        <v>171</v>
      </c>
      <c r="AE10" s="217" t="s">
        <v>172</v>
      </c>
      <c r="AF10" s="217" t="s">
        <v>173</v>
      </c>
      <c r="AG10" s="217" t="s">
        <v>174</v>
      </c>
      <c r="AH10" s="210" t="s">
        <v>175</v>
      </c>
      <c r="AI10" s="210" t="s">
        <v>176</v>
      </c>
      <c r="AJ10" s="1590" t="s">
        <v>549</v>
      </c>
      <c r="AK10" s="1591"/>
      <c r="AL10" s="1590" t="s">
        <v>132</v>
      </c>
      <c r="AM10" s="1591"/>
      <c r="AN10" s="1590" t="s">
        <v>550</v>
      </c>
      <c r="AO10" s="1591"/>
      <c r="AP10" s="1590" t="s">
        <v>178</v>
      </c>
      <c r="AQ10" s="1591"/>
      <c r="AR10" s="49"/>
      <c r="AS10" s="220"/>
      <c r="AT10" s="49" t="s">
        <v>171</v>
      </c>
      <c r="AU10" s="49"/>
      <c r="AV10" s="49" t="s">
        <v>551</v>
      </c>
      <c r="AW10" s="49" t="s">
        <v>552</v>
      </c>
      <c r="AX10" s="49"/>
      <c r="AY10" s="510"/>
      <c r="AZ10" s="209"/>
      <c r="BA10" s="209"/>
      <c r="BB10" s="49" t="s">
        <v>186</v>
      </c>
      <c r="BC10" s="49" t="s">
        <v>553</v>
      </c>
      <c r="BD10" s="472"/>
      <c r="BG10" s="12"/>
      <c r="BH10" s="12"/>
    </row>
    <row r="11" spans="1:159" s="1" customFormat="1" ht="12.75">
      <c r="C11" s="221"/>
      <c r="D11" s="221"/>
      <c r="E11" s="221"/>
      <c r="F11" s="221"/>
      <c r="G11" s="221"/>
      <c r="H11" s="221" t="s">
        <v>144</v>
      </c>
      <c r="I11" s="242"/>
      <c r="J11" s="221"/>
      <c r="K11" s="221"/>
      <c r="L11" s="221" t="s">
        <v>191</v>
      </c>
      <c r="M11" s="221" t="s">
        <v>190</v>
      </c>
      <c r="N11" s="221" t="s">
        <v>554</v>
      </c>
      <c r="O11" s="222"/>
      <c r="P11" s="221"/>
      <c r="Q11" s="223"/>
      <c r="R11" s="1598"/>
      <c r="S11" s="223"/>
      <c r="T11" s="205">
        <v>0.25</v>
      </c>
      <c r="U11" s="205">
        <v>0.35</v>
      </c>
      <c r="V11" s="1601"/>
      <c r="W11" s="223"/>
      <c r="X11" s="223"/>
      <c r="Y11" s="223"/>
      <c r="Z11" s="223"/>
      <c r="AA11" s="223"/>
      <c r="AB11" s="223"/>
      <c r="AC11" s="223"/>
      <c r="AD11" s="223" t="s">
        <v>197</v>
      </c>
      <c r="AE11" s="224"/>
      <c r="AF11" s="223"/>
      <c r="AG11" s="221"/>
      <c r="AH11" s="221"/>
      <c r="AI11" s="221"/>
      <c r="AJ11" s="58" t="s">
        <v>175</v>
      </c>
      <c r="AK11" s="58" t="s">
        <v>176</v>
      </c>
      <c r="AL11" s="58" t="s">
        <v>175</v>
      </c>
      <c r="AM11" s="58" t="s">
        <v>176</v>
      </c>
      <c r="AN11" s="58" t="s">
        <v>175</v>
      </c>
      <c r="AO11" s="58" t="s">
        <v>176</v>
      </c>
      <c r="AP11" s="58" t="s">
        <v>175</v>
      </c>
      <c r="AQ11" s="58" t="s">
        <v>176</v>
      </c>
      <c r="AR11" s="223"/>
      <c r="AS11" s="225"/>
      <c r="AT11" s="223"/>
      <c r="AU11" s="223"/>
      <c r="AV11" s="223"/>
      <c r="AW11" s="223" t="s">
        <v>536</v>
      </c>
      <c r="AX11" s="223"/>
      <c r="AY11" s="511"/>
      <c r="AZ11" s="223" t="s">
        <v>175</v>
      </c>
      <c r="BA11" s="223" t="s">
        <v>176</v>
      </c>
      <c r="BB11" s="223"/>
      <c r="BC11" s="223"/>
      <c r="BD11" s="472"/>
      <c r="BG11" s="12"/>
      <c r="BH11" s="12"/>
    </row>
    <row r="12" spans="1:159" s="6" customFormat="1" ht="15" customHeight="1">
      <c r="A12" s="1" t="s">
        <v>555</v>
      </c>
      <c r="B12" s="1"/>
      <c r="C12" s="15">
        <v>1</v>
      </c>
      <c r="D12" s="267" t="s">
        <v>556</v>
      </c>
      <c r="E12" s="16" t="s">
        <v>557</v>
      </c>
      <c r="F12" s="16" t="s">
        <v>558</v>
      </c>
      <c r="G12" s="16" t="s">
        <v>559</v>
      </c>
      <c r="H12" s="16" t="s">
        <v>71</v>
      </c>
      <c r="I12" s="239" t="s">
        <v>560</v>
      </c>
      <c r="J12" s="15"/>
      <c r="K12" s="25">
        <v>47355900</v>
      </c>
      <c r="L12" s="17">
        <v>44849</v>
      </c>
      <c r="M12" s="17">
        <v>33664</v>
      </c>
      <c r="N12" s="17"/>
      <c r="O12" s="18" t="s">
        <v>561</v>
      </c>
      <c r="P12" s="19" t="s">
        <v>24</v>
      </c>
      <c r="Q12" s="20">
        <f>2500</f>
        <v>2500</v>
      </c>
      <c r="R12" s="20"/>
      <c r="S12" s="20">
        <v>102.5</v>
      </c>
      <c r="T12" s="237"/>
      <c r="U12" s="20"/>
      <c r="V12" s="20"/>
      <c r="W12" s="20"/>
      <c r="X12" s="21"/>
      <c r="Y12" s="20"/>
      <c r="Z12" s="20"/>
      <c r="AA12" s="20"/>
      <c r="AB12" s="20"/>
      <c r="AC12" s="20"/>
      <c r="AD12" s="20"/>
      <c r="AE12" s="20"/>
      <c r="AF12" s="20">
        <f t="shared" ref="AF12:AF19" si="0">SUM(Q12:AD12)-AE12</f>
        <v>2602.5</v>
      </c>
      <c r="AG12" s="20">
        <f t="shared" ref="AG12:AG19" si="1">+Q12+S12+T12+U12+V12+X12-AE12</f>
        <v>2602.5</v>
      </c>
      <c r="AH12" s="22"/>
      <c r="AI12" s="20"/>
      <c r="AJ12" s="23">
        <v>0.1</v>
      </c>
      <c r="AK12" s="20">
        <f>+AG12*AJ12</f>
        <v>260.25</v>
      </c>
      <c r="AL12" s="23">
        <v>0</v>
      </c>
      <c r="AM12" s="20">
        <f>+AG12*AL12</f>
        <v>0</v>
      </c>
      <c r="AN12" s="23">
        <v>1.7000000000000001E-2</v>
      </c>
      <c r="AO12" s="20">
        <f>+AG12*AN12</f>
        <v>44.2425</v>
      </c>
      <c r="AP12" s="23">
        <f>+AJ12+AL12+AN12</f>
        <v>0.11700000000000001</v>
      </c>
      <c r="AQ12" s="20">
        <f>+AK12+AM12+AO12</f>
        <v>304.49250000000001</v>
      </c>
      <c r="AR12" s="20"/>
      <c r="AS12" s="226"/>
      <c r="AT12" s="20"/>
      <c r="AU12" s="20"/>
      <c r="AV12" s="20"/>
      <c r="AW12" s="20"/>
      <c r="AX12" s="20">
        <f t="shared" ref="AX12:AX19" si="2">+AI12+AQ12+AR12+AS12+AT12+AU12+AW12</f>
        <v>304.49250000000001</v>
      </c>
      <c r="AY12" s="503">
        <f>(+AF12-AX12)</f>
        <v>2298.0075000000002</v>
      </c>
      <c r="AZ12" s="22">
        <v>0.09</v>
      </c>
      <c r="BA12" s="20">
        <f t="shared" ref="BA12:BA19" si="3">AG12*AZ12</f>
        <v>234.22499999999999</v>
      </c>
      <c r="BB12" s="20">
        <v>2.88</v>
      </c>
      <c r="BC12" s="24"/>
      <c r="BD12" s="472"/>
      <c r="BE12" s="13"/>
      <c r="BG12" s="525">
        <v>1302.21</v>
      </c>
      <c r="BH12" s="527">
        <v>1256.95</v>
      </c>
      <c r="BI12" s="530">
        <f t="shared" ref="BI12:BI19" si="4">BH12-BG12</f>
        <v>-45.259999999999991</v>
      </c>
      <c r="BJ12" s="528"/>
    </row>
    <row r="13" spans="1:159" s="316" customFormat="1" ht="15" customHeight="1">
      <c r="A13" s="304" t="s">
        <v>555</v>
      </c>
      <c r="B13" s="304"/>
      <c r="C13" s="305">
        <v>2</v>
      </c>
      <c r="D13" s="306" t="s">
        <v>562</v>
      </c>
      <c r="E13" s="306" t="s">
        <v>563</v>
      </c>
      <c r="F13" s="306" t="s">
        <v>564</v>
      </c>
      <c r="G13" s="306" t="s">
        <v>565</v>
      </c>
      <c r="H13" s="306" t="s">
        <v>71</v>
      </c>
      <c r="I13" s="307" t="s">
        <v>566</v>
      </c>
      <c r="J13" s="305"/>
      <c r="K13" s="308" t="s">
        <v>567</v>
      </c>
      <c r="L13" s="309">
        <v>44882</v>
      </c>
      <c r="M13" s="309">
        <v>32172</v>
      </c>
      <c r="N13" s="309"/>
      <c r="O13" s="310" t="s">
        <v>561</v>
      </c>
      <c r="P13" s="311" t="s">
        <v>213</v>
      </c>
      <c r="Q13" s="312">
        <v>1000</v>
      </c>
      <c r="R13" s="312"/>
      <c r="S13" s="312"/>
      <c r="T13" s="237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21"/>
      <c r="AF13" s="312">
        <f t="shared" si="0"/>
        <v>1000</v>
      </c>
      <c r="AG13" s="312">
        <f t="shared" si="1"/>
        <v>1000</v>
      </c>
      <c r="AH13" s="313"/>
      <c r="AI13" s="312"/>
      <c r="AJ13" s="314">
        <v>0.1</v>
      </c>
      <c r="AK13" s="312">
        <f>+AG13*AJ13</f>
        <v>100</v>
      </c>
      <c r="AL13" s="314">
        <v>1.55E-2</v>
      </c>
      <c r="AM13" s="312">
        <f>+AG13*AL13</f>
        <v>15.5</v>
      </c>
      <c r="AN13" s="314">
        <v>1.7000000000000001E-2</v>
      </c>
      <c r="AO13" s="312">
        <f>+AG13*AN13</f>
        <v>17</v>
      </c>
      <c r="AP13" s="314">
        <f>+AJ13+AL13+AN13</f>
        <v>0.13250000000000001</v>
      </c>
      <c r="AQ13" s="312">
        <f>+AK13+AM13+AO13</f>
        <v>132.5</v>
      </c>
      <c r="AR13" s="312"/>
      <c r="AS13" s="324"/>
      <c r="AT13" s="312"/>
      <c r="AU13" s="21"/>
      <c r="AV13" s="312"/>
      <c r="AW13" s="312"/>
      <c r="AX13" s="312">
        <f t="shared" si="2"/>
        <v>132.5</v>
      </c>
      <c r="AY13" s="504">
        <f t="shared" ref="AY13:AY19" si="5">(+AF13-AX13)</f>
        <v>867.5</v>
      </c>
      <c r="AZ13" s="313">
        <v>0.09</v>
      </c>
      <c r="BA13" s="312">
        <f t="shared" si="3"/>
        <v>90</v>
      </c>
      <c r="BB13" s="312">
        <v>1.44</v>
      </c>
      <c r="BC13" s="268"/>
      <c r="BD13" s="473" t="s">
        <v>568</v>
      </c>
      <c r="BE13" s="315"/>
      <c r="BG13" s="520">
        <v>433.75</v>
      </c>
      <c r="BH13" s="520">
        <v>433.75</v>
      </c>
      <c r="BI13" s="6">
        <f t="shared" si="4"/>
        <v>0</v>
      </c>
    </row>
    <row r="14" spans="1:159" s="453" customFormat="1" ht="15" customHeight="1">
      <c r="A14" s="439" t="s">
        <v>555</v>
      </c>
      <c r="B14" s="439"/>
      <c r="C14" s="440">
        <v>3</v>
      </c>
      <c r="D14" s="441" t="s">
        <v>569</v>
      </c>
      <c r="E14" s="441" t="s">
        <v>570</v>
      </c>
      <c r="F14" s="441" t="s">
        <v>571</v>
      </c>
      <c r="G14" s="441"/>
      <c r="H14" s="441"/>
      <c r="I14" s="442"/>
      <c r="J14" s="440"/>
      <c r="K14" s="443">
        <v>8751792</v>
      </c>
      <c r="L14" s="444">
        <v>45078</v>
      </c>
      <c r="M14" s="444">
        <v>20663</v>
      </c>
      <c r="N14" s="444"/>
      <c r="O14" s="445"/>
      <c r="P14" s="446" t="s">
        <v>572</v>
      </c>
      <c r="Q14" s="447">
        <v>834</v>
      </c>
      <c r="R14" s="447"/>
      <c r="S14" s="447"/>
      <c r="T14" s="448"/>
      <c r="U14" s="447"/>
      <c r="V14" s="21"/>
      <c r="W14" s="447"/>
      <c r="X14" s="447"/>
      <c r="Y14" s="447"/>
      <c r="Z14" s="447"/>
      <c r="AA14" s="447"/>
      <c r="AB14" s="447"/>
      <c r="AC14" s="447"/>
      <c r="AD14" s="447"/>
      <c r="AE14" s="447">
        <v>41.67</v>
      </c>
      <c r="AF14" s="447">
        <f>SUM(Q14:AD14)-AE14</f>
        <v>792.33</v>
      </c>
      <c r="AG14" s="447">
        <f t="shared" si="1"/>
        <v>792.33</v>
      </c>
      <c r="AH14" s="449"/>
      <c r="AI14" s="447"/>
      <c r="AJ14" s="450"/>
      <c r="AK14" s="447"/>
      <c r="AL14" s="450"/>
      <c r="AM14" s="447"/>
      <c r="AN14" s="450"/>
      <c r="AO14" s="447"/>
      <c r="AP14" s="450"/>
      <c r="AQ14" s="447"/>
      <c r="AR14" s="447"/>
      <c r="AS14" s="447"/>
      <c r="AT14" s="447"/>
      <c r="AU14" s="447"/>
      <c r="AV14" s="447"/>
      <c r="AW14" s="447"/>
      <c r="AX14" s="447">
        <f t="shared" si="2"/>
        <v>0</v>
      </c>
      <c r="AY14" s="505">
        <f t="shared" si="5"/>
        <v>792.33</v>
      </c>
      <c r="AZ14" s="449">
        <v>0.09</v>
      </c>
      <c r="BA14" s="447">
        <f t="shared" si="3"/>
        <v>71.309700000000007</v>
      </c>
      <c r="BB14" s="447">
        <v>50.42</v>
      </c>
      <c r="BC14" s="451"/>
      <c r="BD14" s="474" t="s">
        <v>568</v>
      </c>
      <c r="BE14" s="452"/>
      <c r="BG14" s="521">
        <v>500.34</v>
      </c>
      <c r="BH14" s="521">
        <v>458.67</v>
      </c>
      <c r="BI14" s="528">
        <f t="shared" si="4"/>
        <v>-41.669999999999959</v>
      </c>
      <c r="BJ14" s="529" t="s">
        <v>573</v>
      </c>
      <c r="BK14" s="529"/>
    </row>
    <row r="15" spans="1:159" s="6" customFormat="1" ht="15" customHeight="1">
      <c r="A15" s="1" t="s">
        <v>555</v>
      </c>
      <c r="B15" s="1"/>
      <c r="C15" s="15">
        <v>5</v>
      </c>
      <c r="D15" s="16" t="s">
        <v>574</v>
      </c>
      <c r="E15" s="16" t="s">
        <v>575</v>
      </c>
      <c r="F15" s="16" t="s">
        <v>576</v>
      </c>
      <c r="G15" s="16" t="s">
        <v>577</v>
      </c>
      <c r="H15" s="16" t="s">
        <v>71</v>
      </c>
      <c r="I15" s="294" t="s">
        <v>578</v>
      </c>
      <c r="J15" s="15"/>
      <c r="K15" s="25">
        <v>73994129</v>
      </c>
      <c r="L15" s="17">
        <v>45384</v>
      </c>
      <c r="M15" s="17">
        <v>37075</v>
      </c>
      <c r="N15" s="17"/>
      <c r="O15" s="18" t="s">
        <v>561</v>
      </c>
      <c r="P15" s="19" t="s">
        <v>24</v>
      </c>
      <c r="Q15" s="20">
        <f>1500</f>
        <v>1500</v>
      </c>
      <c r="R15" s="20"/>
      <c r="S15" s="20"/>
      <c r="T15" s="237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>
        <f t="shared" si="0"/>
        <v>1500</v>
      </c>
      <c r="AG15" s="20">
        <f t="shared" si="1"/>
        <v>1500</v>
      </c>
      <c r="AH15" s="22"/>
      <c r="AI15" s="20"/>
      <c r="AJ15" s="23">
        <v>0.1</v>
      </c>
      <c r="AK15" s="20">
        <f>+AG15*AJ15</f>
        <v>150</v>
      </c>
      <c r="AL15" s="23">
        <v>0</v>
      </c>
      <c r="AM15" s="20"/>
      <c r="AN15" s="23">
        <v>1.7000000000000001E-2</v>
      </c>
      <c r="AO15" s="20">
        <f>+AG15*AN15</f>
        <v>25.500000000000004</v>
      </c>
      <c r="AP15" s="23">
        <f>+AJ15+AL15+AN15</f>
        <v>0.11700000000000001</v>
      </c>
      <c r="AQ15" s="20">
        <f>+AK15+AM15+AO15</f>
        <v>175.5</v>
      </c>
      <c r="AR15" s="20"/>
      <c r="AS15" s="226"/>
      <c r="AT15" s="20"/>
      <c r="AU15" s="269"/>
      <c r="AV15" s="20"/>
      <c r="AW15" s="20"/>
      <c r="AX15" s="20">
        <f t="shared" si="2"/>
        <v>175.5</v>
      </c>
      <c r="AY15" s="503">
        <f t="shared" si="5"/>
        <v>1324.5</v>
      </c>
      <c r="AZ15" s="22">
        <v>0.09</v>
      </c>
      <c r="BA15" s="20">
        <f t="shared" si="3"/>
        <v>135</v>
      </c>
      <c r="BB15" s="20"/>
      <c r="BC15" s="24"/>
      <c r="BD15" s="476" t="s">
        <v>568</v>
      </c>
      <c r="BE15" s="13"/>
      <c r="BG15" s="12">
        <v>750.55</v>
      </c>
      <c r="BH15" s="12">
        <v>750.55</v>
      </c>
      <c r="BI15" s="6">
        <f t="shared" si="4"/>
        <v>0</v>
      </c>
    </row>
    <row r="16" spans="1:159" s="437" customFormat="1" ht="15" customHeight="1">
      <c r="A16" s="420" t="s">
        <v>555</v>
      </c>
      <c r="B16" s="420"/>
      <c r="C16" s="421">
        <v>7</v>
      </c>
      <c r="D16" s="422" t="s">
        <v>579</v>
      </c>
      <c r="E16" s="422" t="s">
        <v>580</v>
      </c>
      <c r="F16" s="422" t="s">
        <v>581</v>
      </c>
      <c r="G16" s="422" t="s">
        <v>582</v>
      </c>
      <c r="H16" s="422" t="s">
        <v>583</v>
      </c>
      <c r="I16" s="423" t="s">
        <v>584</v>
      </c>
      <c r="J16" s="421"/>
      <c r="K16" s="424">
        <v>48053446</v>
      </c>
      <c r="L16" s="425">
        <v>45461</v>
      </c>
      <c r="M16" s="425">
        <v>34178</v>
      </c>
      <c r="N16" s="425"/>
      <c r="O16" s="426" t="s">
        <v>585</v>
      </c>
      <c r="P16" s="427" t="s">
        <v>586</v>
      </c>
      <c r="Q16" s="428">
        <v>750</v>
      </c>
      <c r="R16" s="429"/>
      <c r="S16" s="428"/>
      <c r="T16" s="430"/>
      <c r="U16" s="428"/>
      <c r="V16" s="428"/>
      <c r="W16" s="428"/>
      <c r="X16" s="428"/>
      <c r="Y16" s="428"/>
      <c r="Z16" s="428"/>
      <c r="AA16" s="428"/>
      <c r="AB16" s="428"/>
      <c r="AC16" s="431"/>
      <c r="AD16" s="431"/>
      <c r="AE16" s="432"/>
      <c r="AF16" s="428">
        <f t="shared" si="0"/>
        <v>750</v>
      </c>
      <c r="AG16" s="20">
        <f t="shared" si="1"/>
        <v>750</v>
      </c>
      <c r="AH16" s="433"/>
      <c r="AI16" s="428"/>
      <c r="AJ16" s="434">
        <v>0.1</v>
      </c>
      <c r="AK16" s="432">
        <f>+AG16*AJ16</f>
        <v>75</v>
      </c>
      <c r="AL16" s="434">
        <v>0</v>
      </c>
      <c r="AM16" s="430"/>
      <c r="AN16" s="434">
        <v>1.7000000000000001E-2</v>
      </c>
      <c r="AO16" s="428">
        <f>+AG16*AN16</f>
        <v>12.750000000000002</v>
      </c>
      <c r="AP16" s="434">
        <f>+AJ16+AN16</f>
        <v>0.11700000000000001</v>
      </c>
      <c r="AQ16" s="428">
        <f>+AK16+AM16+AO16</f>
        <v>87.75</v>
      </c>
      <c r="AR16" s="428"/>
      <c r="AS16" s="428"/>
      <c r="AT16" s="428"/>
      <c r="AU16" s="428"/>
      <c r="AV16" s="428"/>
      <c r="AW16" s="435"/>
      <c r="AX16" s="430">
        <f t="shared" si="2"/>
        <v>87.75</v>
      </c>
      <c r="AY16" s="506">
        <f>(+AF16-AX16)</f>
        <v>662.25</v>
      </c>
      <c r="AZ16" s="435">
        <v>0.09</v>
      </c>
      <c r="BA16" s="538">
        <f t="shared" si="3"/>
        <v>67.5</v>
      </c>
      <c r="BB16" s="431"/>
      <c r="BC16" s="422"/>
      <c r="BD16" s="436" t="s">
        <v>568</v>
      </c>
      <c r="BE16" s="420"/>
      <c r="BF16" s="420"/>
      <c r="BG16" s="522">
        <v>286.98</v>
      </c>
      <c r="BH16" s="522">
        <v>286.98</v>
      </c>
      <c r="BI16" s="6">
        <f t="shared" si="4"/>
        <v>0</v>
      </c>
      <c r="BJ16" s="420"/>
      <c r="BK16" s="420"/>
      <c r="BL16" s="420"/>
      <c r="BM16" s="420"/>
      <c r="BN16" s="420"/>
      <c r="BO16" s="420"/>
      <c r="BP16" s="420"/>
      <c r="BQ16" s="420"/>
      <c r="BR16" s="420"/>
      <c r="BS16" s="420"/>
      <c r="BT16" s="420"/>
      <c r="BU16" s="420"/>
      <c r="BV16" s="420"/>
      <c r="BW16" s="420"/>
      <c r="BX16" s="420"/>
      <c r="BY16" s="420"/>
      <c r="BZ16" s="420"/>
      <c r="CA16" s="420"/>
      <c r="CB16" s="420"/>
      <c r="CC16" s="420"/>
      <c r="CD16" s="420"/>
      <c r="CE16" s="420"/>
      <c r="CF16" s="420"/>
      <c r="CG16" s="420"/>
      <c r="CH16" s="420"/>
      <c r="CI16" s="420"/>
      <c r="CJ16" s="420"/>
      <c r="CK16" s="420"/>
      <c r="CL16" s="420"/>
      <c r="CM16" s="420"/>
      <c r="CN16" s="420"/>
      <c r="CO16" s="420"/>
      <c r="CP16" s="420"/>
      <c r="CQ16" s="420"/>
      <c r="CR16" s="420"/>
      <c r="CS16" s="420"/>
      <c r="CT16" s="420"/>
      <c r="CU16" s="420"/>
      <c r="CV16" s="420"/>
      <c r="CW16" s="420"/>
      <c r="CX16" s="420"/>
      <c r="CY16" s="420"/>
      <c r="CZ16" s="420"/>
      <c r="DA16" s="420"/>
      <c r="DB16" s="420"/>
      <c r="DC16" s="420"/>
      <c r="DD16" s="420"/>
      <c r="DE16" s="420"/>
      <c r="DF16" s="420"/>
      <c r="DG16" s="420"/>
      <c r="DH16" s="420"/>
      <c r="DI16" s="420"/>
      <c r="DJ16" s="420"/>
      <c r="DK16" s="420"/>
      <c r="DL16" s="420"/>
      <c r="DM16" s="420"/>
      <c r="DN16" s="420"/>
      <c r="DO16" s="420"/>
      <c r="DP16" s="420"/>
      <c r="DQ16" s="420"/>
      <c r="DR16" s="420"/>
      <c r="DS16" s="420"/>
      <c r="DT16" s="420"/>
      <c r="DU16" s="420"/>
      <c r="DV16" s="420"/>
      <c r="DW16" s="420"/>
      <c r="DX16" s="420"/>
      <c r="DY16" s="420"/>
      <c r="DZ16" s="420"/>
      <c r="EA16" s="420"/>
      <c r="EB16" s="420"/>
      <c r="EC16" s="420"/>
      <c r="ED16" s="420"/>
      <c r="EE16" s="420"/>
      <c r="EF16" s="420"/>
      <c r="EG16" s="420"/>
      <c r="EH16" s="420"/>
      <c r="EI16" s="420"/>
      <c r="EJ16" s="420"/>
      <c r="EK16" s="420"/>
      <c r="EL16" s="420"/>
      <c r="EM16" s="420"/>
      <c r="EN16" s="420"/>
      <c r="EO16" s="420"/>
      <c r="EP16" s="420"/>
      <c r="EQ16" s="420"/>
      <c r="ER16" s="420"/>
      <c r="ES16" s="420"/>
      <c r="ET16" s="420"/>
      <c r="EU16" s="420"/>
      <c r="EV16" s="420"/>
      <c r="EW16" s="420"/>
      <c r="EX16" s="420"/>
      <c r="EY16" s="420"/>
      <c r="EZ16" s="420"/>
      <c r="FA16" s="420"/>
      <c r="FB16" s="420"/>
      <c r="FC16" s="420"/>
    </row>
    <row r="17" spans="1:159" s="6" customFormat="1" ht="15.75" customHeight="1">
      <c r="A17" s="1" t="s">
        <v>555</v>
      </c>
      <c r="B17" s="1"/>
      <c r="C17" s="15">
        <v>8</v>
      </c>
      <c r="D17" s="16" t="s">
        <v>587</v>
      </c>
      <c r="E17" s="16" t="s">
        <v>588</v>
      </c>
      <c r="F17" s="16" t="s">
        <v>589</v>
      </c>
      <c r="G17" s="16" t="s">
        <v>590</v>
      </c>
      <c r="H17" s="16" t="s">
        <v>70</v>
      </c>
      <c r="I17" s="298" t="s">
        <v>591</v>
      </c>
      <c r="J17" s="15"/>
      <c r="K17" s="39">
        <v>70157117</v>
      </c>
      <c r="L17" s="17">
        <v>45425</v>
      </c>
      <c r="M17" s="17">
        <v>33808</v>
      </c>
      <c r="N17" s="17"/>
      <c r="O17" s="18" t="s">
        <v>561</v>
      </c>
      <c r="P17" s="233" t="s">
        <v>44</v>
      </c>
      <c r="Q17" s="20">
        <v>1400</v>
      </c>
      <c r="R17" s="13"/>
      <c r="S17" s="20"/>
      <c r="T17" s="270"/>
      <c r="U17" s="20"/>
      <c r="V17" s="20"/>
      <c r="W17" s="20"/>
      <c r="X17" s="20"/>
      <c r="Y17" s="20"/>
      <c r="Z17" s="20"/>
      <c r="AA17" s="20"/>
      <c r="AB17" s="20"/>
      <c r="AC17" s="41"/>
      <c r="AD17" s="41"/>
      <c r="AE17" s="269"/>
      <c r="AF17" s="20">
        <f t="shared" si="0"/>
        <v>1400</v>
      </c>
      <c r="AG17" s="20">
        <f t="shared" si="1"/>
        <v>1400</v>
      </c>
      <c r="AH17" s="296"/>
      <c r="AI17" s="20"/>
      <c r="AJ17" s="23">
        <v>0.1</v>
      </c>
      <c r="AK17" s="269">
        <f>+AG17*AJ17</f>
        <v>140</v>
      </c>
      <c r="AL17" s="23">
        <v>0</v>
      </c>
      <c r="AM17" s="270"/>
      <c r="AN17" s="23">
        <v>1.7000000000000001E-2</v>
      </c>
      <c r="AO17" s="20">
        <f>+AG17*AN17</f>
        <v>23.8</v>
      </c>
      <c r="AP17" s="23">
        <f>+AJ17+AN17</f>
        <v>0.11700000000000001</v>
      </c>
      <c r="AQ17" s="20">
        <f>+AK17+AM17+AO17</f>
        <v>163.80000000000001</v>
      </c>
      <c r="AR17" s="20"/>
      <c r="AS17" s="20"/>
      <c r="AT17" s="20"/>
      <c r="AU17" s="269"/>
      <c r="AV17" s="20"/>
      <c r="AW17" s="22"/>
      <c r="AX17" s="270">
        <f t="shared" si="2"/>
        <v>163.80000000000001</v>
      </c>
      <c r="AY17" s="503">
        <f t="shared" si="5"/>
        <v>1236.2</v>
      </c>
      <c r="AZ17" s="22">
        <v>0.09</v>
      </c>
      <c r="BA17" s="226">
        <f t="shared" si="3"/>
        <v>126</v>
      </c>
      <c r="BB17" s="41">
        <v>2.09</v>
      </c>
      <c r="BC17" s="16"/>
      <c r="BD17" s="476" t="s">
        <v>568</v>
      </c>
      <c r="BE17" s="1"/>
      <c r="BF17" s="1"/>
      <c r="BG17" s="12">
        <v>700.51</v>
      </c>
      <c r="BH17" s="12">
        <v>700.51</v>
      </c>
      <c r="BI17" s="6">
        <f t="shared" si="4"/>
        <v>0</v>
      </c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</row>
    <row r="18" spans="1:159" s="6" customFormat="1" ht="15" customHeight="1">
      <c r="A18" s="1" t="s">
        <v>555</v>
      </c>
      <c r="B18" s="1"/>
      <c r="C18" s="15">
        <v>9</v>
      </c>
      <c r="D18" s="16" t="s">
        <v>344</v>
      </c>
      <c r="E18" s="16" t="s">
        <v>592</v>
      </c>
      <c r="F18" s="16" t="s">
        <v>593</v>
      </c>
      <c r="G18" s="16" t="s">
        <v>594</v>
      </c>
      <c r="H18" s="16" t="s">
        <v>71</v>
      </c>
      <c r="I18" s="298" t="s">
        <v>595</v>
      </c>
      <c r="J18" s="15"/>
      <c r="K18" s="39">
        <v>77431897</v>
      </c>
      <c r="L18" s="17">
        <v>45425</v>
      </c>
      <c r="M18" s="17">
        <v>38612</v>
      </c>
      <c r="N18" s="17"/>
      <c r="O18" s="18" t="s">
        <v>561</v>
      </c>
      <c r="P18" s="233" t="s">
        <v>596</v>
      </c>
      <c r="Q18" s="20">
        <f>1300</f>
        <v>1300</v>
      </c>
      <c r="R18" s="13"/>
      <c r="S18" s="20"/>
      <c r="T18" s="270"/>
      <c r="U18" s="20"/>
      <c r="V18" s="20"/>
      <c r="W18" s="20"/>
      <c r="X18" s="20"/>
      <c r="Y18" s="20"/>
      <c r="Z18" s="20"/>
      <c r="AA18" s="20"/>
      <c r="AB18" s="20"/>
      <c r="AC18" s="41"/>
      <c r="AD18" s="41"/>
      <c r="AE18" s="269"/>
      <c r="AF18" s="20">
        <f t="shared" si="0"/>
        <v>1300</v>
      </c>
      <c r="AG18" s="20">
        <f t="shared" si="1"/>
        <v>1300</v>
      </c>
      <c r="AH18" s="296"/>
      <c r="AI18" s="20"/>
      <c r="AJ18" s="23">
        <v>0.1</v>
      </c>
      <c r="AK18" s="269">
        <f>+AG18*AJ18</f>
        <v>130</v>
      </c>
      <c r="AL18" s="23">
        <v>0</v>
      </c>
      <c r="AM18" s="270"/>
      <c r="AN18" s="23">
        <v>1.7000000000000001E-2</v>
      </c>
      <c r="AO18" s="20">
        <f>+AG18*AN18</f>
        <v>22.1</v>
      </c>
      <c r="AP18" s="23">
        <f>+AJ18+AN18</f>
        <v>0.11700000000000001</v>
      </c>
      <c r="AQ18" s="20">
        <f>+AK18+AM18+AO18</f>
        <v>152.1</v>
      </c>
      <c r="AR18" s="20"/>
      <c r="AS18" s="20"/>
      <c r="AT18" s="20"/>
      <c r="AU18" s="269"/>
      <c r="AV18" s="20"/>
      <c r="AW18" s="22"/>
      <c r="AX18" s="270">
        <f t="shared" si="2"/>
        <v>152.1</v>
      </c>
      <c r="AY18" s="503">
        <f t="shared" si="5"/>
        <v>1147.9000000000001</v>
      </c>
      <c r="AZ18" s="22">
        <v>0.09</v>
      </c>
      <c r="BA18" s="226">
        <f t="shared" si="3"/>
        <v>117</v>
      </c>
      <c r="BB18" s="41">
        <v>2.88</v>
      </c>
      <c r="BC18" s="16"/>
      <c r="BD18" s="476" t="s">
        <v>568</v>
      </c>
      <c r="BE18" s="1"/>
      <c r="BF18" s="1"/>
      <c r="BG18" s="12">
        <v>573.95000000000005</v>
      </c>
      <c r="BH18" s="12">
        <v>650.48</v>
      </c>
      <c r="BI18" s="6">
        <f t="shared" si="4"/>
        <v>76.529999999999973</v>
      </c>
      <c r="BK18" s="1" t="s">
        <v>597</v>
      </c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</row>
    <row r="19" spans="1:159" s="494" customFormat="1" ht="15" customHeight="1">
      <c r="A19" s="478" t="s">
        <v>555</v>
      </c>
      <c r="B19" s="478"/>
      <c r="C19" s="479">
        <v>10</v>
      </c>
      <c r="D19" s="480" t="s">
        <v>574</v>
      </c>
      <c r="E19" s="480" t="s">
        <v>575</v>
      </c>
      <c r="F19" s="480" t="s">
        <v>598</v>
      </c>
      <c r="G19" s="480" t="s">
        <v>599</v>
      </c>
      <c r="H19" s="480" t="s">
        <v>71</v>
      </c>
      <c r="I19" s="481" t="s">
        <v>600</v>
      </c>
      <c r="J19" s="479"/>
      <c r="K19" s="482">
        <v>73994130</v>
      </c>
      <c r="L19" s="483">
        <v>45425</v>
      </c>
      <c r="M19" s="483">
        <v>37617</v>
      </c>
      <c r="N19" s="483"/>
      <c r="O19" s="484" t="s">
        <v>561</v>
      </c>
      <c r="P19" s="485" t="s">
        <v>601</v>
      </c>
      <c r="Q19" s="438">
        <v>650</v>
      </c>
      <c r="R19" s="486"/>
      <c r="S19" s="438"/>
      <c r="T19" s="487"/>
      <c r="U19" s="438"/>
      <c r="V19" s="438"/>
      <c r="W19" s="438"/>
      <c r="X19" s="438"/>
      <c r="Y19" s="438"/>
      <c r="Z19" s="438"/>
      <c r="AA19" s="438"/>
      <c r="AB19" s="438"/>
      <c r="AC19" s="488"/>
      <c r="AD19" s="488"/>
      <c r="AE19" s="489"/>
      <c r="AF19" s="438">
        <f t="shared" si="0"/>
        <v>650</v>
      </c>
      <c r="AG19" s="438">
        <f t="shared" si="1"/>
        <v>650</v>
      </c>
      <c r="AH19" s="490"/>
      <c r="AI19" s="438"/>
      <c r="AJ19" s="491">
        <v>0.1</v>
      </c>
      <c r="AK19" s="489">
        <f>+AG19*AJ19</f>
        <v>65</v>
      </c>
      <c r="AL19" s="491">
        <v>0</v>
      </c>
      <c r="AM19" s="487"/>
      <c r="AN19" s="491">
        <v>1.7000000000000001E-2</v>
      </c>
      <c r="AO19" s="438">
        <f>+AG19*AN19</f>
        <v>11.05</v>
      </c>
      <c r="AP19" s="491">
        <f>+AJ19+AN19</f>
        <v>0.11700000000000001</v>
      </c>
      <c r="AQ19" s="438">
        <f>+AK19+AM19+AO19</f>
        <v>76.05</v>
      </c>
      <c r="AR19" s="438"/>
      <c r="AS19" s="438"/>
      <c r="AT19" s="438"/>
      <c r="AU19" s="489"/>
      <c r="AV19" s="438"/>
      <c r="AW19" s="492"/>
      <c r="AX19" s="487">
        <f t="shared" si="2"/>
        <v>76.05</v>
      </c>
      <c r="AY19" s="507">
        <f t="shared" si="5"/>
        <v>573.95000000000005</v>
      </c>
      <c r="AZ19" s="492">
        <v>0.09</v>
      </c>
      <c r="BA19" s="438">
        <f t="shared" si="3"/>
        <v>58.5</v>
      </c>
      <c r="BB19" s="488">
        <v>2.88</v>
      </c>
      <c r="BC19" s="480"/>
      <c r="BD19" s="493" t="s">
        <v>568</v>
      </c>
      <c r="BE19" s="478"/>
      <c r="BF19" s="478"/>
      <c r="BG19" s="523">
        <v>286.97000000000003</v>
      </c>
      <c r="BH19" s="523">
        <v>286.97000000000003</v>
      </c>
      <c r="BI19" s="6">
        <f t="shared" si="4"/>
        <v>0</v>
      </c>
      <c r="BJ19" s="478"/>
      <c r="BK19" s="478"/>
      <c r="BL19" s="478"/>
      <c r="BM19" s="478"/>
      <c r="BN19" s="478"/>
      <c r="BO19" s="478"/>
      <c r="BP19" s="478"/>
      <c r="BQ19" s="478"/>
      <c r="BR19" s="478"/>
      <c r="BS19" s="478"/>
      <c r="BT19" s="478"/>
      <c r="BU19" s="478"/>
      <c r="BV19" s="478"/>
      <c r="BW19" s="478"/>
      <c r="BX19" s="478"/>
      <c r="BY19" s="478"/>
      <c r="BZ19" s="478"/>
      <c r="CA19" s="478"/>
      <c r="CB19" s="478"/>
      <c r="CC19" s="478"/>
      <c r="CD19" s="478"/>
      <c r="CE19" s="478"/>
      <c r="CF19" s="478"/>
      <c r="CG19" s="478"/>
      <c r="CH19" s="478"/>
      <c r="CI19" s="478"/>
      <c r="CJ19" s="478"/>
      <c r="CK19" s="478"/>
      <c r="CL19" s="478"/>
      <c r="CM19" s="478"/>
      <c r="CN19" s="478"/>
      <c r="CO19" s="478"/>
      <c r="CP19" s="478"/>
      <c r="CQ19" s="478"/>
      <c r="CR19" s="478"/>
      <c r="CS19" s="478"/>
      <c r="CT19" s="478"/>
      <c r="CU19" s="478"/>
      <c r="CV19" s="478"/>
      <c r="CW19" s="478"/>
      <c r="CX19" s="478"/>
      <c r="CY19" s="478"/>
      <c r="CZ19" s="478"/>
      <c r="DA19" s="478"/>
      <c r="DB19" s="478"/>
      <c r="DC19" s="478"/>
      <c r="DD19" s="478"/>
      <c r="DE19" s="478"/>
      <c r="DF19" s="478"/>
      <c r="DG19" s="478"/>
      <c r="DH19" s="478"/>
      <c r="DI19" s="478"/>
      <c r="DJ19" s="478"/>
      <c r="DK19" s="478"/>
      <c r="DL19" s="478"/>
      <c r="DM19" s="478"/>
      <c r="DN19" s="478"/>
      <c r="DO19" s="478"/>
      <c r="DP19" s="478"/>
      <c r="DQ19" s="478"/>
      <c r="DR19" s="478"/>
      <c r="DS19" s="478"/>
      <c r="DT19" s="478"/>
      <c r="DU19" s="478"/>
      <c r="DV19" s="478"/>
      <c r="DW19" s="478"/>
      <c r="DX19" s="478"/>
      <c r="DY19" s="478"/>
      <c r="DZ19" s="478"/>
      <c r="EA19" s="478"/>
      <c r="EB19" s="478"/>
      <c r="EC19" s="478"/>
      <c r="ED19" s="478"/>
      <c r="EE19" s="478"/>
      <c r="EF19" s="478"/>
      <c r="EG19" s="478"/>
      <c r="EH19" s="478"/>
      <c r="EI19" s="478"/>
      <c r="EJ19" s="478"/>
      <c r="EK19" s="478"/>
      <c r="EL19" s="478"/>
      <c r="EM19" s="478"/>
      <c r="EN19" s="478"/>
      <c r="EO19" s="478"/>
      <c r="EP19" s="478"/>
      <c r="EQ19" s="478"/>
      <c r="ER19" s="478"/>
      <c r="ES19" s="478"/>
      <c r="ET19" s="478"/>
      <c r="EU19" s="478"/>
      <c r="EV19" s="478"/>
      <c r="EW19" s="478"/>
      <c r="EX19" s="478"/>
      <c r="EY19" s="478"/>
      <c r="EZ19" s="478"/>
      <c r="FA19" s="478"/>
      <c r="FB19" s="478"/>
      <c r="FC19" s="478"/>
    </row>
    <row r="20" spans="1:159" s="6" customFormat="1" ht="15" customHeight="1" thickBot="1">
      <c r="A20" s="264"/>
      <c r="B20" s="27"/>
      <c r="C20" s="15"/>
      <c r="D20" s="247"/>
      <c r="E20" s="248"/>
      <c r="F20" s="248"/>
      <c r="G20" s="248"/>
      <c r="H20" s="248"/>
      <c r="I20" s="249"/>
      <c r="J20" s="250"/>
      <c r="K20" s="251"/>
      <c r="L20" s="252"/>
      <c r="M20" s="252"/>
      <c r="N20" s="252"/>
      <c r="O20" s="253"/>
      <c r="P20" s="254"/>
      <c r="Q20" s="255"/>
      <c r="R20" s="255"/>
      <c r="S20" s="255"/>
      <c r="T20" s="256"/>
      <c r="U20" s="255"/>
      <c r="V20" s="260"/>
      <c r="W20" s="255"/>
      <c r="X20" s="255"/>
      <c r="Y20" s="255"/>
      <c r="Z20" s="255"/>
      <c r="AA20" s="255"/>
      <c r="AB20" s="255"/>
      <c r="AC20" s="255"/>
      <c r="AD20" s="255"/>
      <c r="AE20" s="255"/>
      <c r="AF20" s="20"/>
      <c r="AG20" s="255"/>
      <c r="AH20" s="257"/>
      <c r="AI20" s="258"/>
      <c r="AJ20" s="259"/>
      <c r="AK20" s="255"/>
      <c r="AL20" s="259"/>
      <c r="AM20" s="255"/>
      <c r="AN20" s="259"/>
      <c r="AO20" s="255"/>
      <c r="AP20" s="259"/>
      <c r="AQ20" s="255"/>
      <c r="AR20" s="255"/>
      <c r="AS20" s="260"/>
      <c r="AT20" s="258"/>
      <c r="AU20" s="261"/>
      <c r="AV20" s="258"/>
      <c r="AW20" s="258"/>
      <c r="AX20" s="262"/>
      <c r="AY20" s="503"/>
      <c r="AZ20" s="22"/>
      <c r="BA20" s="20"/>
      <c r="BB20" s="20"/>
      <c r="BC20" s="37"/>
      <c r="BD20" s="417"/>
      <c r="BE20" s="38"/>
      <c r="BF20" s="38"/>
      <c r="BG20" s="524"/>
      <c r="BH20" s="524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</row>
    <row r="21" spans="1:159" s="8" customFormat="1" ht="15" customHeight="1" thickBot="1">
      <c r="A21" s="349" t="s">
        <v>555</v>
      </c>
      <c r="B21" s="340"/>
      <c r="C21" s="341"/>
      <c r="D21" s="342"/>
      <c r="E21" s="342"/>
      <c r="F21" s="342"/>
      <c r="G21" s="342"/>
      <c r="H21" s="342"/>
      <c r="I21" s="343"/>
      <c r="J21" s="341"/>
      <c r="K21" s="344"/>
      <c r="L21" s="345"/>
      <c r="M21" s="345"/>
      <c r="N21" s="345"/>
      <c r="O21" s="350"/>
      <c r="P21" s="346"/>
      <c r="Q21" s="347">
        <f>SUM(Q12:Q20)</f>
        <v>9934</v>
      </c>
      <c r="R21" s="347"/>
      <c r="S21" s="347">
        <f t="shared" ref="S21:Z21" si="6">SUM(S12:S20)</f>
        <v>102.5</v>
      </c>
      <c r="T21" s="347">
        <f t="shared" si="6"/>
        <v>0</v>
      </c>
      <c r="U21" s="347">
        <f t="shared" si="6"/>
        <v>0</v>
      </c>
      <c r="V21" s="347">
        <f t="shared" si="6"/>
        <v>0</v>
      </c>
      <c r="W21" s="347">
        <f t="shared" si="6"/>
        <v>0</v>
      </c>
      <c r="X21" s="347">
        <f t="shared" si="6"/>
        <v>0</v>
      </c>
      <c r="Y21" s="347">
        <f t="shared" si="6"/>
        <v>0</v>
      </c>
      <c r="Z21" s="347">
        <f t="shared" si="6"/>
        <v>0</v>
      </c>
      <c r="AA21" s="347"/>
      <c r="AB21" s="347">
        <f t="shared" ref="AB21:AG21" si="7">SUM(AB12:AB20)</f>
        <v>0</v>
      </c>
      <c r="AC21" s="347">
        <f t="shared" si="7"/>
        <v>0</v>
      </c>
      <c r="AD21" s="347">
        <f t="shared" si="7"/>
        <v>0</v>
      </c>
      <c r="AE21" s="347">
        <f t="shared" si="7"/>
        <v>41.67</v>
      </c>
      <c r="AF21" s="347">
        <f t="shared" si="7"/>
        <v>9994.83</v>
      </c>
      <c r="AG21" s="347">
        <f t="shared" si="7"/>
        <v>9994.83</v>
      </c>
      <c r="AH21" s="347"/>
      <c r="AI21" s="347">
        <f>SUM(AI12:AI20)</f>
        <v>0</v>
      </c>
      <c r="AJ21" s="347"/>
      <c r="AK21" s="347">
        <f>SUM(AK12:AK20)</f>
        <v>920.25</v>
      </c>
      <c r="AL21" s="347"/>
      <c r="AM21" s="347">
        <f>SUM(AM12:AM20)</f>
        <v>15.5</v>
      </c>
      <c r="AN21" s="347"/>
      <c r="AO21" s="347">
        <f>SUM(AO12:AO20)</f>
        <v>156.44250000000002</v>
      </c>
      <c r="AP21" s="347"/>
      <c r="AQ21" s="347">
        <f>SUM(AQ12:AQ20)</f>
        <v>1092.1925000000001</v>
      </c>
      <c r="AR21" s="347">
        <f>SUM(AR12:AR20)</f>
        <v>0</v>
      </c>
      <c r="AS21" s="347">
        <f>SUM(AS12:AS20)</f>
        <v>0</v>
      </c>
      <c r="AT21" s="347">
        <f>SUM(AT12:AT14)</f>
        <v>0</v>
      </c>
      <c r="AU21" s="347">
        <f>SUM(AU12:AU20)</f>
        <v>0</v>
      </c>
      <c r="AV21" s="347"/>
      <c r="AW21" s="347"/>
      <c r="AX21" s="347">
        <f>SUM(AX12:AX20)</f>
        <v>1092.1925000000001</v>
      </c>
      <c r="AY21" s="347">
        <f>SUM(AY12:AY20)</f>
        <v>8902.6375000000007</v>
      </c>
      <c r="AZ21" s="347"/>
      <c r="BA21" s="348">
        <f>SUM(BA12:BA20)</f>
        <v>899.53470000000004</v>
      </c>
      <c r="BB21" s="339">
        <f>SUM(BB12:BB20)</f>
        <v>62.59</v>
      </c>
      <c r="BC21" s="26"/>
      <c r="BD21" s="419"/>
      <c r="BG21" s="5"/>
      <c r="BH21" s="5"/>
    </row>
    <row r="22" spans="1:159" s="6" customFormat="1" ht="15" customHeight="1">
      <c r="A22" s="27"/>
      <c r="B22" s="27"/>
      <c r="C22" s="28"/>
      <c r="D22" s="29"/>
      <c r="E22" s="29"/>
      <c r="F22" s="29"/>
      <c r="G22" s="29"/>
      <c r="H22" s="29"/>
      <c r="I22" s="244"/>
      <c r="J22" s="28"/>
      <c r="K22" s="30"/>
      <c r="L22" s="31"/>
      <c r="M22" s="31"/>
      <c r="N22" s="31"/>
      <c r="O22" s="32"/>
      <c r="P22" s="33"/>
      <c r="Q22" s="21"/>
      <c r="R22" s="21"/>
      <c r="S22" s="21"/>
      <c r="T22" s="237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34"/>
      <c r="AF22" s="21"/>
      <c r="AG22" s="21"/>
      <c r="AH22" s="35"/>
      <c r="AI22" s="21"/>
      <c r="AJ22" s="36"/>
      <c r="AK22" s="21"/>
      <c r="AL22" s="36"/>
      <c r="AM22" s="21"/>
      <c r="AN22" s="36"/>
      <c r="AO22" s="21"/>
      <c r="AP22" s="36"/>
      <c r="AQ22" s="21"/>
      <c r="AR22" s="21"/>
      <c r="AS22" s="226"/>
      <c r="AT22" s="21"/>
      <c r="AU22" s="227"/>
      <c r="AV22" s="21"/>
      <c r="AW22" s="21"/>
      <c r="AX22" s="228"/>
      <c r="AY22" s="512"/>
      <c r="AZ22" s="35"/>
      <c r="BA22" s="21"/>
      <c r="BB22" s="21"/>
      <c r="BC22" s="37"/>
      <c r="BD22" s="417"/>
      <c r="BE22" s="38"/>
      <c r="BF22" s="38"/>
      <c r="BG22" s="524"/>
      <c r="BH22" s="524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</row>
    <row r="23" spans="1:159" s="6" customFormat="1" ht="15" customHeight="1">
      <c r="A23" s="1" t="s">
        <v>602</v>
      </c>
      <c r="B23" s="27"/>
      <c r="C23" s="15">
        <v>1</v>
      </c>
      <c r="D23" s="267" t="s">
        <v>603</v>
      </c>
      <c r="E23" s="16" t="s">
        <v>604</v>
      </c>
      <c r="F23" s="16" t="s">
        <v>605</v>
      </c>
      <c r="G23" s="16" t="s">
        <v>606</v>
      </c>
      <c r="H23" s="16" t="s">
        <v>72</v>
      </c>
      <c r="I23" s="294" t="s">
        <v>607</v>
      </c>
      <c r="J23" s="15"/>
      <c r="K23" s="25" t="s">
        <v>608</v>
      </c>
      <c r="L23" s="17">
        <v>45017</v>
      </c>
      <c r="M23" s="17">
        <v>33165</v>
      </c>
      <c r="N23" s="17"/>
      <c r="O23" s="18" t="s">
        <v>561</v>
      </c>
      <c r="P23" s="19" t="s">
        <v>32</v>
      </c>
      <c r="Q23" s="20">
        <f>3000</f>
        <v>3000</v>
      </c>
      <c r="R23" s="20"/>
      <c r="S23" s="20">
        <v>102.5</v>
      </c>
      <c r="T23" s="237"/>
      <c r="U23" s="20"/>
      <c r="V23" s="226"/>
      <c r="W23" s="20"/>
      <c r="X23" s="20"/>
      <c r="Y23" s="20"/>
      <c r="Z23" s="20"/>
      <c r="AA23" s="20"/>
      <c r="AB23" s="20"/>
      <c r="AC23" s="20"/>
      <c r="AD23" s="20"/>
      <c r="AE23" s="21"/>
      <c r="AF23" s="20">
        <f t="shared" ref="AF23:AF31" si="8">SUM(Q23:AD23)-AE23</f>
        <v>3102.5</v>
      </c>
      <c r="AG23" s="20">
        <f>+Q23+S23+T23+U23+V23+X23+R23-AE23</f>
        <v>3102.5</v>
      </c>
      <c r="AH23" s="35"/>
      <c r="AI23" s="21"/>
      <c r="AJ23" s="23">
        <v>0.1</v>
      </c>
      <c r="AK23" s="20">
        <f>+AG23*AJ23</f>
        <v>310.25</v>
      </c>
      <c r="AL23" s="23">
        <v>1.6E-2</v>
      </c>
      <c r="AM23" s="20">
        <f>+AG23*AL23</f>
        <v>49.64</v>
      </c>
      <c r="AN23" s="23">
        <v>1.7000000000000001E-2</v>
      </c>
      <c r="AO23" s="20">
        <f>+AG23*AN23</f>
        <v>52.742500000000007</v>
      </c>
      <c r="AP23" s="23">
        <f t="shared" ref="AP23:AQ25" si="9">+AJ23+AL23+AN23</f>
        <v>0.13300000000000001</v>
      </c>
      <c r="AQ23" s="20">
        <f t="shared" si="9"/>
        <v>412.63249999999999</v>
      </c>
      <c r="AR23" s="20">
        <f>30.41</f>
        <v>30.41</v>
      </c>
      <c r="AS23" s="226"/>
      <c r="AT23" s="21"/>
      <c r="AU23" s="227">
        <v>250</v>
      </c>
      <c r="AV23" s="21"/>
      <c r="AW23" s="21"/>
      <c r="AX23" s="270">
        <f t="shared" ref="AX23:AX31" si="10">+AI23+AQ23+AR23+AS23+AT23+AU23+AW23</f>
        <v>693.04250000000002</v>
      </c>
      <c r="AY23" s="503">
        <f t="shared" ref="AY23:AY31" si="11">(+AF23-AX23)</f>
        <v>2409.4575</v>
      </c>
      <c r="AZ23" s="22">
        <v>0.09</v>
      </c>
      <c r="BA23" s="20">
        <f>AG23*AZ23</f>
        <v>279.22499999999997</v>
      </c>
      <c r="BB23" s="20">
        <v>2.88</v>
      </c>
      <c r="BC23" s="24"/>
      <c r="BD23" s="476" t="s">
        <v>568</v>
      </c>
      <c r="BE23" s="38"/>
      <c r="BF23" s="38"/>
      <c r="BG23" s="525">
        <v>1249.95</v>
      </c>
      <c r="BH23" s="525">
        <v>1339.61</v>
      </c>
      <c r="BI23" s="6">
        <f t="shared" ref="BI23:BI31" si="12">BH23-BG23</f>
        <v>89.659999999999854</v>
      </c>
      <c r="BK23" s="1" t="s">
        <v>597</v>
      </c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</row>
    <row r="24" spans="1:159" s="316" customFormat="1" ht="15" customHeight="1">
      <c r="A24" s="304" t="s">
        <v>602</v>
      </c>
      <c r="B24" s="304"/>
      <c r="C24" s="305">
        <v>2</v>
      </c>
      <c r="D24" s="306" t="s">
        <v>562</v>
      </c>
      <c r="E24" s="306" t="s">
        <v>563</v>
      </c>
      <c r="F24" s="306" t="s">
        <v>564</v>
      </c>
      <c r="G24" s="306" t="s">
        <v>565</v>
      </c>
      <c r="H24" s="317" t="s">
        <v>71</v>
      </c>
      <c r="I24" s="318" t="s">
        <v>566</v>
      </c>
      <c r="J24" s="319"/>
      <c r="K24" s="320" t="s">
        <v>567</v>
      </c>
      <c r="L24" s="321">
        <v>44882</v>
      </c>
      <c r="M24" s="321">
        <v>32172</v>
      </c>
      <c r="N24" s="321"/>
      <c r="O24" s="322" t="s">
        <v>609</v>
      </c>
      <c r="P24" s="323" t="s">
        <v>213</v>
      </c>
      <c r="Q24" s="324">
        <v>1000</v>
      </c>
      <c r="R24" s="324"/>
      <c r="S24" s="324"/>
      <c r="T24" s="324"/>
      <c r="U24" s="324"/>
      <c r="V24" s="325"/>
      <c r="W24" s="324"/>
      <c r="X24" s="324"/>
      <c r="Y24" s="324"/>
      <c r="Z24" s="324"/>
      <c r="AA24" s="324"/>
      <c r="AB24" s="324"/>
      <c r="AC24" s="324"/>
      <c r="AD24" s="324"/>
      <c r="AE24" s="324"/>
      <c r="AF24" s="324">
        <f t="shared" si="8"/>
        <v>1000</v>
      </c>
      <c r="AG24" s="312">
        <f t="shared" ref="AG24:AG31" si="13">+Q24+S24+T24+U24+V24+X24-AE24</f>
        <v>1000</v>
      </c>
      <c r="AH24" s="326"/>
      <c r="AI24" s="324"/>
      <c r="AJ24" s="327">
        <v>0.1</v>
      </c>
      <c r="AK24" s="324">
        <f>+AG24*AJ24</f>
        <v>100</v>
      </c>
      <c r="AL24" s="327">
        <v>1.55E-2</v>
      </c>
      <c r="AM24" s="324">
        <f>+AG24*AL24</f>
        <v>15.5</v>
      </c>
      <c r="AN24" s="327">
        <v>1.7000000000000001E-2</v>
      </c>
      <c r="AO24" s="324">
        <f>+AG24*AN24</f>
        <v>17</v>
      </c>
      <c r="AP24" s="327">
        <f t="shared" si="9"/>
        <v>0.13250000000000001</v>
      </c>
      <c r="AQ24" s="324">
        <f t="shared" si="9"/>
        <v>132.5</v>
      </c>
      <c r="AR24" s="324"/>
      <c r="AS24" s="324"/>
      <c r="AT24" s="324"/>
      <c r="AU24" s="261"/>
      <c r="AV24" s="324"/>
      <c r="AW24" s="324"/>
      <c r="AX24" s="328">
        <f t="shared" si="10"/>
        <v>132.5</v>
      </c>
      <c r="AY24" s="504">
        <f t="shared" si="11"/>
        <v>867.5</v>
      </c>
      <c r="AZ24" s="313">
        <v>0.09</v>
      </c>
      <c r="BA24" s="312">
        <f>AG24*AZ24</f>
        <v>90</v>
      </c>
      <c r="BB24" s="312">
        <v>1.44</v>
      </c>
      <c r="BC24" s="268"/>
      <c r="BD24" s="473" t="s">
        <v>568</v>
      </c>
      <c r="BE24" s="315"/>
      <c r="BG24" s="520">
        <v>433.75</v>
      </c>
      <c r="BH24" s="520">
        <v>433.75</v>
      </c>
      <c r="BI24" s="6">
        <f t="shared" si="12"/>
        <v>0</v>
      </c>
    </row>
    <row r="25" spans="1:159" s="232" customFormat="1" ht="15" customHeight="1">
      <c r="A25" s="206" t="s">
        <v>602</v>
      </c>
      <c r="B25" s="206"/>
      <c r="C25" s="271">
        <v>3</v>
      </c>
      <c r="D25" s="267" t="s">
        <v>610</v>
      </c>
      <c r="E25" s="267" t="s">
        <v>611</v>
      </c>
      <c r="F25" s="267" t="s">
        <v>612</v>
      </c>
      <c r="G25" s="267" t="s">
        <v>613</v>
      </c>
      <c r="H25" s="267" t="s">
        <v>71</v>
      </c>
      <c r="I25" s="495" t="s">
        <v>614</v>
      </c>
      <c r="J25" s="271"/>
      <c r="K25" s="496" t="s">
        <v>615</v>
      </c>
      <c r="L25" s="230">
        <v>45078</v>
      </c>
      <c r="M25" s="230">
        <v>34617</v>
      </c>
      <c r="N25" s="230"/>
      <c r="O25" s="231" t="s">
        <v>616</v>
      </c>
      <c r="P25" s="497" t="s">
        <v>617</v>
      </c>
      <c r="Q25" s="226">
        <f>2000</f>
        <v>2000</v>
      </c>
      <c r="R25" s="226"/>
      <c r="S25" s="226">
        <v>102.5</v>
      </c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338"/>
      <c r="AF25" s="226">
        <f t="shared" si="8"/>
        <v>2102.5</v>
      </c>
      <c r="AG25" s="226">
        <f t="shared" si="13"/>
        <v>2102.5</v>
      </c>
      <c r="AH25" s="274"/>
      <c r="AI25" s="226"/>
      <c r="AJ25" s="498">
        <v>0.1</v>
      </c>
      <c r="AK25" s="226">
        <f>+AG25*AJ25</f>
        <v>210.25</v>
      </c>
      <c r="AL25" s="498">
        <v>0</v>
      </c>
      <c r="AM25" s="226"/>
      <c r="AN25" s="498">
        <v>1.7000000000000001E-2</v>
      </c>
      <c r="AO25" s="226">
        <f>+AG25*AN25</f>
        <v>35.7425</v>
      </c>
      <c r="AP25" s="498">
        <f t="shared" si="9"/>
        <v>0.11700000000000001</v>
      </c>
      <c r="AQ25" s="226">
        <f t="shared" si="9"/>
        <v>245.99250000000001</v>
      </c>
      <c r="AR25" s="226"/>
      <c r="AS25" s="226"/>
      <c r="AT25" s="226"/>
      <c r="AU25" s="531"/>
      <c r="AV25" s="226"/>
      <c r="AW25" s="226"/>
      <c r="AX25" s="499">
        <f t="shared" si="10"/>
        <v>245.99250000000001</v>
      </c>
      <c r="AY25" s="513">
        <f>(+AF25-AX25)</f>
        <v>1856.5074999999999</v>
      </c>
      <c r="AZ25" s="274">
        <v>0.09</v>
      </c>
      <c r="BA25" s="226">
        <f>+AG25*AZ25</f>
        <v>189.22499999999999</v>
      </c>
      <c r="BB25" s="226">
        <v>2.88</v>
      </c>
      <c r="BC25" s="500"/>
      <c r="BD25" s="476" t="s">
        <v>568</v>
      </c>
      <c r="BE25" s="208"/>
      <c r="BG25" s="525">
        <v>883</v>
      </c>
      <c r="BH25" s="525">
        <v>1006.77</v>
      </c>
      <c r="BI25" s="6">
        <f t="shared" si="12"/>
        <v>123.76999999999998</v>
      </c>
      <c r="BK25" s="1" t="s">
        <v>597</v>
      </c>
    </row>
    <row r="26" spans="1:159" s="453" customFormat="1" ht="15" customHeight="1">
      <c r="A26" s="439" t="s">
        <v>602</v>
      </c>
      <c r="B26" s="439"/>
      <c r="C26" s="440">
        <v>4</v>
      </c>
      <c r="D26" s="441" t="s">
        <v>569</v>
      </c>
      <c r="E26" s="441" t="s">
        <v>570</v>
      </c>
      <c r="F26" s="441" t="s">
        <v>571</v>
      </c>
      <c r="G26" s="441"/>
      <c r="H26" s="454"/>
      <c r="I26" s="455"/>
      <c r="J26" s="456"/>
      <c r="K26" s="457" t="s">
        <v>618</v>
      </c>
      <c r="L26" s="458">
        <v>45078</v>
      </c>
      <c r="M26" s="458">
        <v>20663</v>
      </c>
      <c r="N26" s="458"/>
      <c r="O26" s="459"/>
      <c r="P26" s="460" t="s">
        <v>572</v>
      </c>
      <c r="Q26" s="461">
        <v>834</v>
      </c>
      <c r="R26" s="461"/>
      <c r="S26" s="461"/>
      <c r="T26" s="461"/>
      <c r="U26" s="461"/>
      <c r="V26" s="21"/>
      <c r="W26" s="461"/>
      <c r="X26" s="461"/>
      <c r="Y26" s="461"/>
      <c r="Z26" s="461"/>
      <c r="AA26" s="461"/>
      <c r="AB26" s="461"/>
      <c r="AC26" s="461"/>
      <c r="AD26" s="461"/>
      <c r="AE26" s="462">
        <v>41.66</v>
      </c>
      <c r="AF26" s="461">
        <f t="shared" si="8"/>
        <v>792.34</v>
      </c>
      <c r="AG26" s="461">
        <f t="shared" si="13"/>
        <v>792.34</v>
      </c>
      <c r="AH26" s="463"/>
      <c r="AI26" s="461"/>
      <c r="AJ26" s="464"/>
      <c r="AK26" s="461"/>
      <c r="AL26" s="464"/>
      <c r="AM26" s="461"/>
      <c r="AN26" s="464"/>
      <c r="AO26" s="461"/>
      <c r="AP26" s="464"/>
      <c r="AQ26" s="461"/>
      <c r="AR26" s="461"/>
      <c r="AS26" s="461"/>
      <c r="AT26" s="461"/>
      <c r="AU26" s="465"/>
      <c r="AV26" s="454"/>
      <c r="AW26" s="461"/>
      <c r="AX26" s="466">
        <f t="shared" si="10"/>
        <v>0</v>
      </c>
      <c r="AY26" s="505">
        <f t="shared" si="11"/>
        <v>792.34</v>
      </c>
      <c r="AZ26" s="449">
        <v>0.09</v>
      </c>
      <c r="BA26" s="447">
        <f>+AG26*AZ26</f>
        <v>71.310599999999994</v>
      </c>
      <c r="BB26" s="447">
        <v>50.42</v>
      </c>
      <c r="BC26" s="451"/>
      <c r="BD26" s="474" t="s">
        <v>568</v>
      </c>
      <c r="BE26" s="452"/>
      <c r="BG26" s="521">
        <v>500.33</v>
      </c>
      <c r="BH26" s="521">
        <v>458.67</v>
      </c>
      <c r="BI26" s="528">
        <f t="shared" si="12"/>
        <v>-41.659999999999968</v>
      </c>
      <c r="BJ26" s="529" t="s">
        <v>573</v>
      </c>
      <c r="BK26" s="529"/>
    </row>
    <row r="27" spans="1:159" s="6" customFormat="1" ht="15.75" customHeight="1">
      <c r="A27" s="1" t="s">
        <v>602</v>
      </c>
      <c r="B27" s="1"/>
      <c r="C27" s="15">
        <v>5</v>
      </c>
      <c r="D27" s="16" t="s">
        <v>619</v>
      </c>
      <c r="E27" s="16" t="s">
        <v>620</v>
      </c>
      <c r="F27" s="16" t="s">
        <v>621</v>
      </c>
      <c r="G27" s="16"/>
      <c r="H27" s="16" t="s">
        <v>622</v>
      </c>
      <c r="I27" s="239"/>
      <c r="J27" s="15"/>
      <c r="K27" s="25" t="s">
        <v>623</v>
      </c>
      <c r="L27" s="17">
        <v>45385</v>
      </c>
      <c r="M27" s="17">
        <v>26727</v>
      </c>
      <c r="N27" s="17"/>
      <c r="O27" s="18"/>
      <c r="P27" s="19" t="s">
        <v>624</v>
      </c>
      <c r="Q27" s="20">
        <v>5934.56</v>
      </c>
      <c r="R27" s="20"/>
      <c r="S27" s="20"/>
      <c r="T27" s="237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>
        <f t="shared" si="8"/>
        <v>5934.56</v>
      </c>
      <c r="AG27" s="20">
        <f t="shared" si="13"/>
        <v>5934.56</v>
      </c>
      <c r="AH27" s="22">
        <v>0.13</v>
      </c>
      <c r="AI27" s="20">
        <f>AG27*AH27</f>
        <v>771.4928000000001</v>
      </c>
      <c r="AJ27" s="23"/>
      <c r="AK27" s="20"/>
      <c r="AL27" s="23"/>
      <c r="AM27" s="20"/>
      <c r="AN27" s="23"/>
      <c r="AO27" s="20"/>
      <c r="AP27" s="23"/>
      <c r="AQ27" s="20"/>
      <c r="AR27" s="20">
        <f>163.06</f>
        <v>163.06</v>
      </c>
      <c r="AS27" s="226"/>
      <c r="AT27" s="20"/>
      <c r="AU27" s="227"/>
      <c r="AV27" s="20"/>
      <c r="AW27" s="20"/>
      <c r="AX27" s="20">
        <f t="shared" si="10"/>
        <v>934.55280000000016</v>
      </c>
      <c r="AY27" s="503">
        <f t="shared" si="11"/>
        <v>5000.0072</v>
      </c>
      <c r="AZ27" s="22">
        <v>0.09</v>
      </c>
      <c r="BA27" s="20">
        <f>AG27*AZ27</f>
        <v>534.11040000000003</v>
      </c>
      <c r="BB27" s="20"/>
      <c r="BC27" s="24"/>
      <c r="BD27" s="476" t="s">
        <v>568</v>
      </c>
      <c r="BE27" s="13"/>
      <c r="BG27" s="12">
        <v>2000.01</v>
      </c>
      <c r="BH27" s="12">
        <v>2001.01</v>
      </c>
      <c r="BI27" s="6">
        <f t="shared" si="12"/>
        <v>1</v>
      </c>
    </row>
    <row r="28" spans="1:159" s="437" customFormat="1" ht="15" customHeight="1">
      <c r="A28" s="420" t="s">
        <v>602</v>
      </c>
      <c r="B28" s="420"/>
      <c r="C28" s="421">
        <v>7</v>
      </c>
      <c r="D28" s="422" t="s">
        <v>579</v>
      </c>
      <c r="E28" s="422" t="s">
        <v>580</v>
      </c>
      <c r="F28" s="422" t="s">
        <v>581</v>
      </c>
      <c r="G28" s="422" t="s">
        <v>582</v>
      </c>
      <c r="H28" s="422" t="s">
        <v>583</v>
      </c>
      <c r="I28" s="423" t="s">
        <v>584</v>
      </c>
      <c r="J28" s="421"/>
      <c r="K28" s="424">
        <v>48053446</v>
      </c>
      <c r="L28" s="425">
        <v>45461</v>
      </c>
      <c r="M28" s="425">
        <v>34178</v>
      </c>
      <c r="N28" s="425"/>
      <c r="O28" s="426" t="s">
        <v>585</v>
      </c>
      <c r="P28" s="427" t="s">
        <v>586</v>
      </c>
      <c r="Q28" s="428">
        <v>750</v>
      </c>
      <c r="R28" s="429"/>
      <c r="S28" s="428"/>
      <c r="T28" s="430"/>
      <c r="U28" s="428"/>
      <c r="V28" s="428"/>
      <c r="W28" s="428"/>
      <c r="X28" s="428"/>
      <c r="Y28" s="428"/>
      <c r="Z28" s="428"/>
      <c r="AA28" s="428"/>
      <c r="AB28" s="428"/>
      <c r="AC28" s="431"/>
      <c r="AD28" s="431"/>
      <c r="AE28" s="432"/>
      <c r="AF28" s="428">
        <f t="shared" si="8"/>
        <v>750</v>
      </c>
      <c r="AG28" s="20">
        <f t="shared" si="13"/>
        <v>750</v>
      </c>
      <c r="AH28" s="433"/>
      <c r="AI28" s="428"/>
      <c r="AJ28" s="434">
        <v>0.1</v>
      </c>
      <c r="AK28" s="432">
        <f>+AG28*AJ28</f>
        <v>75</v>
      </c>
      <c r="AL28" s="434">
        <v>0</v>
      </c>
      <c r="AM28" s="430"/>
      <c r="AN28" s="434">
        <v>1.7000000000000001E-2</v>
      </c>
      <c r="AO28" s="428">
        <f>+AG28*AN28</f>
        <v>12.750000000000002</v>
      </c>
      <c r="AP28" s="434">
        <f>+AJ28+AN28</f>
        <v>0.11700000000000001</v>
      </c>
      <c r="AQ28" s="428">
        <f>+AK28+AM28+AO28</f>
        <v>87.75</v>
      </c>
      <c r="AR28" s="428"/>
      <c r="AS28" s="428"/>
      <c r="AT28" s="428"/>
      <c r="AU28" s="428"/>
      <c r="AV28" s="428"/>
      <c r="AW28" s="435"/>
      <c r="AX28" s="430">
        <f t="shared" si="10"/>
        <v>87.75</v>
      </c>
      <c r="AY28" s="506">
        <f t="shared" si="11"/>
        <v>662.25</v>
      </c>
      <c r="AZ28" s="435">
        <v>0.09</v>
      </c>
      <c r="BA28" s="538">
        <f>AG28*AZ28</f>
        <v>67.5</v>
      </c>
      <c r="BB28" s="431"/>
      <c r="BC28" s="422"/>
      <c r="BD28" s="436" t="s">
        <v>568</v>
      </c>
      <c r="BE28" s="420"/>
      <c r="BF28" s="420"/>
      <c r="BG28" s="522">
        <v>286.98</v>
      </c>
      <c r="BH28" s="522">
        <v>286.98</v>
      </c>
      <c r="BI28" s="6">
        <f t="shared" si="12"/>
        <v>0</v>
      </c>
      <c r="BJ28" s="420"/>
      <c r="BK28" s="420"/>
      <c r="BL28" s="420"/>
      <c r="BM28" s="420"/>
      <c r="BN28" s="420"/>
      <c r="BO28" s="420"/>
      <c r="BP28" s="420"/>
      <c r="BQ28" s="420"/>
      <c r="BR28" s="420"/>
      <c r="BS28" s="420"/>
      <c r="BT28" s="420"/>
      <c r="BU28" s="420"/>
      <c r="BV28" s="420"/>
      <c r="BW28" s="420"/>
      <c r="BX28" s="420"/>
      <c r="BY28" s="420"/>
      <c r="BZ28" s="420"/>
      <c r="CA28" s="420"/>
      <c r="CB28" s="420"/>
      <c r="CC28" s="420"/>
      <c r="CD28" s="420"/>
      <c r="CE28" s="420"/>
      <c r="CF28" s="420"/>
      <c r="CG28" s="420"/>
      <c r="CH28" s="420"/>
      <c r="CI28" s="420"/>
      <c r="CJ28" s="420"/>
      <c r="CK28" s="420"/>
      <c r="CL28" s="420"/>
      <c r="CM28" s="420"/>
      <c r="CN28" s="420"/>
      <c r="CO28" s="420"/>
      <c r="CP28" s="420"/>
      <c r="CQ28" s="420"/>
      <c r="CR28" s="420"/>
      <c r="CS28" s="420"/>
      <c r="CT28" s="420"/>
      <c r="CU28" s="420"/>
      <c r="CV28" s="420"/>
      <c r="CW28" s="420"/>
      <c r="CX28" s="420"/>
      <c r="CY28" s="420"/>
      <c r="CZ28" s="420"/>
      <c r="DA28" s="420"/>
      <c r="DB28" s="420"/>
      <c r="DC28" s="420"/>
      <c r="DD28" s="420"/>
      <c r="DE28" s="420"/>
      <c r="DF28" s="420"/>
      <c r="DG28" s="420"/>
      <c r="DH28" s="420"/>
      <c r="DI28" s="420"/>
      <c r="DJ28" s="420"/>
      <c r="DK28" s="420"/>
      <c r="DL28" s="420"/>
      <c r="DM28" s="420"/>
      <c r="DN28" s="420"/>
      <c r="DO28" s="420"/>
      <c r="DP28" s="420"/>
      <c r="DQ28" s="420"/>
      <c r="DR28" s="420"/>
      <c r="DS28" s="420"/>
      <c r="DT28" s="420"/>
      <c r="DU28" s="420"/>
      <c r="DV28" s="420"/>
      <c r="DW28" s="420"/>
      <c r="DX28" s="420"/>
      <c r="DY28" s="420"/>
      <c r="DZ28" s="420"/>
      <c r="EA28" s="420"/>
      <c r="EB28" s="420"/>
      <c r="EC28" s="420"/>
      <c r="ED28" s="420"/>
      <c r="EE28" s="420"/>
      <c r="EF28" s="420"/>
      <c r="EG28" s="420"/>
      <c r="EH28" s="420"/>
      <c r="EI28" s="420"/>
      <c r="EJ28" s="420"/>
      <c r="EK28" s="420"/>
      <c r="EL28" s="420"/>
      <c r="EM28" s="420"/>
      <c r="EN28" s="420"/>
      <c r="EO28" s="420"/>
      <c r="EP28" s="420"/>
      <c r="EQ28" s="420"/>
      <c r="ER28" s="420"/>
      <c r="ES28" s="420"/>
      <c r="ET28" s="420"/>
      <c r="EU28" s="420"/>
      <c r="EV28" s="420"/>
      <c r="EW28" s="420"/>
      <c r="EX28" s="420"/>
      <c r="EY28" s="420"/>
      <c r="EZ28" s="420"/>
      <c r="FA28" s="420"/>
      <c r="FB28" s="420"/>
      <c r="FC28" s="420"/>
    </row>
    <row r="29" spans="1:159" s="494" customFormat="1" ht="15" customHeight="1">
      <c r="A29" s="478" t="s">
        <v>602</v>
      </c>
      <c r="B29" s="478"/>
      <c r="C29" s="479">
        <v>8</v>
      </c>
      <c r="D29" s="480" t="s">
        <v>574</v>
      </c>
      <c r="E29" s="480" t="s">
        <v>575</v>
      </c>
      <c r="F29" s="480" t="s">
        <v>598</v>
      </c>
      <c r="G29" s="480" t="s">
        <v>599</v>
      </c>
      <c r="H29" s="480" t="s">
        <v>71</v>
      </c>
      <c r="I29" s="481" t="s">
        <v>600</v>
      </c>
      <c r="J29" s="479"/>
      <c r="K29" s="482">
        <v>73994130</v>
      </c>
      <c r="L29" s="483">
        <v>45425</v>
      </c>
      <c r="M29" s="483">
        <v>37617</v>
      </c>
      <c r="N29" s="483"/>
      <c r="O29" s="484" t="s">
        <v>561</v>
      </c>
      <c r="P29" s="485" t="s">
        <v>601</v>
      </c>
      <c r="Q29" s="438">
        <v>650</v>
      </c>
      <c r="R29" s="486"/>
      <c r="S29" s="438"/>
      <c r="T29" s="487"/>
      <c r="U29" s="438"/>
      <c r="V29" s="438"/>
      <c r="W29" s="438"/>
      <c r="X29" s="438"/>
      <c r="Y29" s="438"/>
      <c r="Z29" s="438"/>
      <c r="AA29" s="438"/>
      <c r="AB29" s="438"/>
      <c r="AC29" s="488"/>
      <c r="AD29" s="488"/>
      <c r="AE29" s="489"/>
      <c r="AF29" s="438">
        <f t="shared" si="8"/>
        <v>650</v>
      </c>
      <c r="AG29" s="438">
        <f t="shared" si="13"/>
        <v>650</v>
      </c>
      <c r="AH29" s="490"/>
      <c r="AI29" s="438"/>
      <c r="AJ29" s="491">
        <v>0.1</v>
      </c>
      <c r="AK29" s="489">
        <f>+AG29*AJ29</f>
        <v>65</v>
      </c>
      <c r="AL29" s="491">
        <v>0</v>
      </c>
      <c r="AM29" s="487"/>
      <c r="AN29" s="491">
        <v>1.7000000000000001E-2</v>
      </c>
      <c r="AO29" s="438">
        <f>+AG29*AN29</f>
        <v>11.05</v>
      </c>
      <c r="AP29" s="491">
        <f>+AJ29+AN29</f>
        <v>0.11700000000000001</v>
      </c>
      <c r="AQ29" s="438">
        <f>+AK29+AM29+AO29</f>
        <v>76.05</v>
      </c>
      <c r="AR29" s="438"/>
      <c r="AS29" s="438"/>
      <c r="AT29" s="438"/>
      <c r="AU29" s="489"/>
      <c r="AV29" s="438"/>
      <c r="AW29" s="492"/>
      <c r="AX29" s="487">
        <f t="shared" si="10"/>
        <v>76.05</v>
      </c>
      <c r="AY29" s="507">
        <f t="shared" si="11"/>
        <v>573.95000000000005</v>
      </c>
      <c r="AZ29" s="492">
        <v>0.09</v>
      </c>
      <c r="BA29" s="438">
        <f>AG29*AZ29</f>
        <v>58.5</v>
      </c>
      <c r="BB29" s="488">
        <v>2.88</v>
      </c>
      <c r="BC29" s="480"/>
      <c r="BD29" s="493" t="s">
        <v>568</v>
      </c>
      <c r="BE29" s="478"/>
      <c r="BF29" s="478"/>
      <c r="BG29" s="523">
        <v>286.97000000000003</v>
      </c>
      <c r="BH29" s="523">
        <v>286.97000000000003</v>
      </c>
      <c r="BI29" s="6">
        <f t="shared" si="12"/>
        <v>0</v>
      </c>
      <c r="BJ29" s="478"/>
      <c r="BK29" s="478"/>
      <c r="BL29" s="478"/>
      <c r="BM29" s="478"/>
      <c r="BN29" s="478"/>
      <c r="BO29" s="478"/>
      <c r="BP29" s="478"/>
      <c r="BQ29" s="478"/>
      <c r="BR29" s="478"/>
      <c r="BS29" s="478"/>
      <c r="BT29" s="478"/>
      <c r="BU29" s="478"/>
      <c r="BV29" s="478"/>
      <c r="BW29" s="478"/>
      <c r="BX29" s="478"/>
      <c r="BY29" s="478"/>
      <c r="BZ29" s="478"/>
      <c r="CA29" s="478"/>
      <c r="CB29" s="478"/>
      <c r="CC29" s="478"/>
      <c r="CD29" s="478"/>
      <c r="CE29" s="478"/>
      <c r="CF29" s="478"/>
      <c r="CG29" s="478"/>
      <c r="CH29" s="478"/>
      <c r="CI29" s="478"/>
      <c r="CJ29" s="478"/>
      <c r="CK29" s="478"/>
      <c r="CL29" s="478"/>
      <c r="CM29" s="478"/>
      <c r="CN29" s="478"/>
      <c r="CO29" s="478"/>
      <c r="CP29" s="478"/>
      <c r="CQ29" s="478"/>
      <c r="CR29" s="478"/>
      <c r="CS29" s="478"/>
      <c r="CT29" s="478"/>
      <c r="CU29" s="478"/>
      <c r="CV29" s="478"/>
      <c r="CW29" s="478"/>
      <c r="CX29" s="478"/>
      <c r="CY29" s="478"/>
      <c r="CZ29" s="478"/>
      <c r="DA29" s="478"/>
      <c r="DB29" s="478"/>
      <c r="DC29" s="478"/>
      <c r="DD29" s="478"/>
      <c r="DE29" s="478"/>
      <c r="DF29" s="478"/>
      <c r="DG29" s="478"/>
      <c r="DH29" s="478"/>
      <c r="DI29" s="478"/>
      <c r="DJ29" s="478"/>
      <c r="DK29" s="478"/>
      <c r="DL29" s="478"/>
      <c r="DM29" s="478"/>
      <c r="DN29" s="478"/>
      <c r="DO29" s="478"/>
      <c r="DP29" s="478"/>
      <c r="DQ29" s="478"/>
      <c r="DR29" s="478"/>
      <c r="DS29" s="478"/>
      <c r="DT29" s="478"/>
      <c r="DU29" s="478"/>
      <c r="DV29" s="478"/>
      <c r="DW29" s="478"/>
      <c r="DX29" s="478"/>
      <c r="DY29" s="478"/>
      <c r="DZ29" s="478"/>
      <c r="EA29" s="478"/>
      <c r="EB29" s="478"/>
      <c r="EC29" s="478"/>
      <c r="ED29" s="478"/>
      <c r="EE29" s="478"/>
      <c r="EF29" s="478"/>
      <c r="EG29" s="478"/>
      <c r="EH29" s="478"/>
      <c r="EI29" s="478"/>
      <c r="EJ29" s="478"/>
      <c r="EK29" s="478"/>
      <c r="EL29" s="478"/>
      <c r="EM29" s="478"/>
      <c r="EN29" s="478"/>
      <c r="EO29" s="478"/>
      <c r="EP29" s="478"/>
      <c r="EQ29" s="478"/>
      <c r="ER29" s="478"/>
      <c r="ES29" s="478"/>
      <c r="ET29" s="478"/>
      <c r="EU29" s="478"/>
      <c r="EV29" s="478"/>
      <c r="EW29" s="478"/>
      <c r="EX29" s="478"/>
      <c r="EY29" s="478"/>
      <c r="EZ29" s="478"/>
      <c r="FA29" s="478"/>
      <c r="FB29" s="478"/>
      <c r="FC29" s="478"/>
    </row>
    <row r="30" spans="1:159" s="6" customFormat="1" ht="15" customHeight="1">
      <c r="A30" s="1" t="s">
        <v>602</v>
      </c>
      <c r="B30" s="1"/>
      <c r="C30" s="15">
        <v>9</v>
      </c>
      <c r="D30" s="16" t="s">
        <v>625</v>
      </c>
      <c r="E30" s="16" t="s">
        <v>626</v>
      </c>
      <c r="F30" s="16" t="s">
        <v>627</v>
      </c>
      <c r="G30" s="16"/>
      <c r="H30" s="248" t="s">
        <v>71</v>
      </c>
      <c r="I30" s="294" t="s">
        <v>628</v>
      </c>
      <c r="J30" s="250"/>
      <c r="K30" s="251" t="s">
        <v>629</v>
      </c>
      <c r="L30" s="252">
        <v>45444</v>
      </c>
      <c r="M30" s="252">
        <v>36496</v>
      </c>
      <c r="N30" s="252"/>
      <c r="O30" s="253" t="s">
        <v>561</v>
      </c>
      <c r="P30" s="254" t="s">
        <v>24</v>
      </c>
      <c r="Q30" s="20">
        <f>1500</f>
        <v>1500</v>
      </c>
      <c r="R30" s="255"/>
      <c r="S30" s="255"/>
      <c r="T30" s="255"/>
      <c r="U30" s="255"/>
      <c r="V30" s="260"/>
      <c r="W30" s="255"/>
      <c r="X30" s="255"/>
      <c r="Y30" s="255"/>
      <c r="Z30" s="255"/>
      <c r="AA30" s="255"/>
      <c r="AB30" s="255"/>
      <c r="AC30" s="255"/>
      <c r="AD30" s="255"/>
      <c r="AE30" s="293"/>
      <c r="AF30" s="255">
        <f t="shared" si="8"/>
        <v>1500</v>
      </c>
      <c r="AG30" s="20">
        <f t="shared" si="13"/>
        <v>1500</v>
      </c>
      <c r="AH30" s="282"/>
      <c r="AI30" s="255"/>
      <c r="AJ30" s="259">
        <v>0.1</v>
      </c>
      <c r="AK30" s="255">
        <f>+AG30*AJ30</f>
        <v>150</v>
      </c>
      <c r="AL30" s="259">
        <v>0</v>
      </c>
      <c r="AM30" s="255"/>
      <c r="AN30" s="259">
        <v>1.7000000000000001E-2</v>
      </c>
      <c r="AO30" s="255">
        <f>+AG30*AN30</f>
        <v>25.500000000000004</v>
      </c>
      <c r="AP30" s="259">
        <f>+AJ30+AL30+AN30</f>
        <v>0.11700000000000001</v>
      </c>
      <c r="AQ30" s="255">
        <f>+AK30+AM30+AO30</f>
        <v>175.5</v>
      </c>
      <c r="AR30" s="255"/>
      <c r="AS30" s="226"/>
      <c r="AT30" s="255"/>
      <c r="AU30" s="295"/>
      <c r="AV30" s="255"/>
      <c r="AW30" s="255"/>
      <c r="AX30" s="262">
        <f t="shared" si="10"/>
        <v>175.5</v>
      </c>
      <c r="AY30" s="503">
        <f t="shared" si="11"/>
        <v>1324.5</v>
      </c>
      <c r="AZ30" s="22">
        <v>0.09</v>
      </c>
      <c r="BA30" s="20">
        <f>+AG30*AZ30</f>
        <v>135</v>
      </c>
      <c r="BB30" s="20"/>
      <c r="BC30" s="24"/>
      <c r="BD30" s="476" t="s">
        <v>568</v>
      </c>
      <c r="BE30" s="13"/>
      <c r="BG30" s="12">
        <v>662.25</v>
      </c>
      <c r="BH30" s="12">
        <v>750.55</v>
      </c>
      <c r="BI30" s="6">
        <f t="shared" si="12"/>
        <v>88.299999999999955</v>
      </c>
      <c r="BK30" s="1" t="s">
        <v>597</v>
      </c>
    </row>
    <row r="31" spans="1:159" s="6" customFormat="1" ht="15" customHeight="1">
      <c r="A31" s="1" t="s">
        <v>602</v>
      </c>
      <c r="B31" s="1"/>
      <c r="C31" s="15">
        <v>10</v>
      </c>
      <c r="D31" s="16" t="s">
        <v>630</v>
      </c>
      <c r="E31" s="16" t="s">
        <v>631</v>
      </c>
      <c r="F31" s="16" t="s">
        <v>632</v>
      </c>
      <c r="G31" s="16" t="s">
        <v>633</v>
      </c>
      <c r="H31" s="16" t="s">
        <v>71</v>
      </c>
      <c r="I31" s="239" t="s">
        <v>634</v>
      </c>
      <c r="J31" s="15"/>
      <c r="K31" s="25" t="s">
        <v>635</v>
      </c>
      <c r="L31" s="17">
        <v>45444</v>
      </c>
      <c r="M31" s="17">
        <v>37000</v>
      </c>
      <c r="N31" s="17"/>
      <c r="O31" s="18" t="s">
        <v>561</v>
      </c>
      <c r="P31" s="19" t="s">
        <v>44</v>
      </c>
      <c r="Q31" s="20">
        <f>1400</f>
        <v>1400</v>
      </c>
      <c r="R31" s="20"/>
      <c r="S31" s="20"/>
      <c r="T31" s="20"/>
      <c r="U31" s="20"/>
      <c r="V31" s="226"/>
      <c r="W31" s="20"/>
      <c r="X31" s="20"/>
      <c r="Y31" s="20"/>
      <c r="Z31" s="20"/>
      <c r="AA31" s="20"/>
      <c r="AB31" s="20"/>
      <c r="AC31" s="20"/>
      <c r="AD31" s="20"/>
      <c r="AE31" s="41"/>
      <c r="AF31" s="20">
        <f t="shared" si="8"/>
        <v>1400</v>
      </c>
      <c r="AG31" s="20">
        <f t="shared" si="13"/>
        <v>1400</v>
      </c>
      <c r="AH31" s="22"/>
      <c r="AI31" s="20"/>
      <c r="AJ31" s="23">
        <v>0.1</v>
      </c>
      <c r="AK31" s="20">
        <f>+AG31*AJ31</f>
        <v>140</v>
      </c>
      <c r="AL31" s="23">
        <v>0</v>
      </c>
      <c r="AM31" s="20"/>
      <c r="AN31" s="23">
        <v>1.7000000000000001E-2</v>
      </c>
      <c r="AO31" s="20">
        <f>+AG31*AN31</f>
        <v>23.8</v>
      </c>
      <c r="AP31" s="23">
        <f>+AJ31+AL31+AN31</f>
        <v>0.11700000000000001</v>
      </c>
      <c r="AQ31" s="20">
        <f>+AK31+AM31+AO31</f>
        <v>163.80000000000001</v>
      </c>
      <c r="AR31" s="20"/>
      <c r="AS31" s="226"/>
      <c r="AT31" s="20"/>
      <c r="AU31" s="269"/>
      <c r="AV31" s="20"/>
      <c r="AW31" s="20"/>
      <c r="AX31" s="270">
        <f t="shared" si="10"/>
        <v>163.80000000000001</v>
      </c>
      <c r="AY31" s="503">
        <f t="shared" si="11"/>
        <v>1236.2</v>
      </c>
      <c r="AZ31" s="22">
        <v>0.09</v>
      </c>
      <c r="BA31" s="20">
        <f>+AG31*AZ31</f>
        <v>126</v>
      </c>
      <c r="BB31" s="20"/>
      <c r="BC31" s="24"/>
      <c r="BD31" s="476" t="s">
        <v>568</v>
      </c>
      <c r="BE31" s="13"/>
      <c r="BG31" s="12">
        <v>618.1</v>
      </c>
      <c r="BH31" s="12">
        <v>700.51</v>
      </c>
      <c r="BI31" s="6">
        <f t="shared" si="12"/>
        <v>82.409999999999968</v>
      </c>
      <c r="BK31" s="1" t="s">
        <v>597</v>
      </c>
    </row>
    <row r="32" spans="1:159" s="6" customFormat="1" ht="15" customHeight="1" thickBot="1">
      <c r="A32" s="1"/>
      <c r="B32" s="1"/>
      <c r="C32" s="15"/>
      <c r="D32" s="16"/>
      <c r="E32" s="16"/>
      <c r="F32" s="16"/>
      <c r="G32" s="16"/>
      <c r="H32" s="16"/>
      <c r="I32" s="243"/>
      <c r="J32" s="15"/>
      <c r="K32" s="39"/>
      <c r="L32" s="17"/>
      <c r="M32" s="17"/>
      <c r="N32" s="17"/>
      <c r="O32" s="18"/>
      <c r="P32" s="19"/>
      <c r="Q32" s="20"/>
      <c r="R32" s="20"/>
      <c r="S32" s="20"/>
      <c r="T32" s="20"/>
      <c r="U32" s="20"/>
      <c r="V32" s="226"/>
      <c r="W32" s="20"/>
      <c r="X32" s="20"/>
      <c r="Y32" s="20"/>
      <c r="Z32" s="20"/>
      <c r="AA32" s="20"/>
      <c r="AB32" s="20"/>
      <c r="AC32" s="20"/>
      <c r="AD32" s="20"/>
      <c r="AE32" s="41"/>
      <c r="AF32" s="20"/>
      <c r="AG32" s="20"/>
      <c r="AH32" s="22"/>
      <c r="AI32" s="20"/>
      <c r="AJ32" s="23"/>
      <c r="AK32" s="20"/>
      <c r="AL32" s="23"/>
      <c r="AM32" s="20"/>
      <c r="AN32" s="23"/>
      <c r="AO32" s="20"/>
      <c r="AP32" s="23"/>
      <c r="AQ32" s="20"/>
      <c r="AR32" s="20"/>
      <c r="AS32" s="226"/>
      <c r="AT32" s="20"/>
      <c r="AU32" s="269"/>
      <c r="AV32" s="20"/>
      <c r="AW32" s="20"/>
      <c r="AX32" s="270"/>
      <c r="AY32" s="503"/>
      <c r="AZ32" s="22"/>
      <c r="BA32" s="20"/>
      <c r="BB32" s="20"/>
      <c r="BC32" s="24"/>
      <c r="BD32" s="472"/>
      <c r="BE32" s="13"/>
      <c r="BG32" s="12"/>
      <c r="BH32" s="12"/>
    </row>
    <row r="33" spans="1:160" s="6" customFormat="1" ht="15" customHeight="1" thickBot="1">
      <c r="A33" s="349" t="s">
        <v>602</v>
      </c>
      <c r="B33" s="340"/>
      <c r="C33" s="341"/>
      <c r="D33" s="342"/>
      <c r="E33" s="342"/>
      <c r="F33" s="342"/>
      <c r="G33" s="342"/>
      <c r="H33" s="342"/>
      <c r="I33" s="351"/>
      <c r="J33" s="341"/>
      <c r="K33" s="352"/>
      <c r="L33" s="345"/>
      <c r="M33" s="345"/>
      <c r="N33" s="345"/>
      <c r="O33" s="350"/>
      <c r="P33" s="346"/>
      <c r="Q33" s="347">
        <f>SUM(Q23:Q32)</f>
        <v>17068.560000000001</v>
      </c>
      <c r="R33" s="347">
        <f>SUM(R22:R32)</f>
        <v>0</v>
      </c>
      <c r="S33" s="347">
        <f>SUM(S22:S32)</f>
        <v>205</v>
      </c>
      <c r="T33" s="347">
        <f>SUM(T23:T29)</f>
        <v>0</v>
      </c>
      <c r="U33" s="347">
        <f>SUM(U22:U29)</f>
        <v>0</v>
      </c>
      <c r="V33" s="347">
        <f>SUM(V22:V32)</f>
        <v>0</v>
      </c>
      <c r="W33" s="347">
        <f>SUM(W22:W29)</f>
        <v>0</v>
      </c>
      <c r="X33" s="347">
        <f>SUM(X22:X29)</f>
        <v>0</v>
      </c>
      <c r="Y33" s="347">
        <f>SUM(Y22:Y29)</f>
        <v>0</v>
      </c>
      <c r="Z33" s="347">
        <f>SUM(Z22:Z29)</f>
        <v>0</v>
      </c>
      <c r="AA33" s="347">
        <f>SUM(AA22:AA29)</f>
        <v>0</v>
      </c>
      <c r="AB33" s="347">
        <f>SUM(AB22:AB26)</f>
        <v>0</v>
      </c>
      <c r="AC33" s="347">
        <f>SUM(AC22:AC32)</f>
        <v>0</v>
      </c>
      <c r="AD33" s="347">
        <f>SUM(AD22:AD32)</f>
        <v>0</v>
      </c>
      <c r="AE33" s="347">
        <f>SUM(AE22:AE32)</f>
        <v>41.66</v>
      </c>
      <c r="AF33" s="347">
        <f>SUM(AF22:AF32)</f>
        <v>17231.900000000001</v>
      </c>
      <c r="AG33" s="347">
        <f>SUM(AG22:AG32)</f>
        <v>17231.900000000001</v>
      </c>
      <c r="AH33" s="347"/>
      <c r="AI33" s="347">
        <f>SUM(AI22:AI32)</f>
        <v>771.4928000000001</v>
      </c>
      <c r="AJ33" s="347"/>
      <c r="AK33" s="347">
        <f>SUM(AK23:AK32)</f>
        <v>1050.5</v>
      </c>
      <c r="AL33" s="347"/>
      <c r="AM33" s="347">
        <f>SUM(AM23:AM32)</f>
        <v>65.14</v>
      </c>
      <c r="AN33" s="347"/>
      <c r="AO33" s="347">
        <f>SUM(AO23:AO32)</f>
        <v>178.58500000000004</v>
      </c>
      <c r="AP33" s="347"/>
      <c r="AQ33" s="347">
        <f>SUM(AQ23:AQ32)</f>
        <v>1294.2249999999999</v>
      </c>
      <c r="AR33" s="347">
        <f>SUM(AR23:AR32)</f>
        <v>193.47</v>
      </c>
      <c r="AS33" s="347">
        <f>SUM(AS22:AS32)</f>
        <v>0</v>
      </c>
      <c r="AT33" s="347">
        <f>SUM(AT23:AT32)</f>
        <v>0</v>
      </c>
      <c r="AU33" s="347">
        <f>SUM(AU22:AU32)</f>
        <v>250</v>
      </c>
      <c r="AV33" s="347">
        <f>SUM(AV23:AV32)</f>
        <v>0</v>
      </c>
      <c r="AW33" s="347">
        <f>SUM(AW23:AW32)</f>
        <v>0</v>
      </c>
      <c r="AX33" s="347">
        <f>SUM(AX22:AX32)</f>
        <v>2509.1878000000006</v>
      </c>
      <c r="AY33" s="347">
        <f>SUM(AY22:AY32)</f>
        <v>14722.712200000002</v>
      </c>
      <c r="AZ33" s="347"/>
      <c r="BA33" s="348">
        <f>SUM(BA22:BA32)</f>
        <v>1550.8710000000001</v>
      </c>
      <c r="BB33" s="339">
        <f>SUM(BB22:BB32)</f>
        <v>60.500000000000007</v>
      </c>
      <c r="BC33" s="26"/>
      <c r="BD33" s="472"/>
      <c r="BG33" s="12"/>
      <c r="BH33" s="12"/>
    </row>
    <row r="34" spans="1:160" s="6" customFormat="1" ht="15" customHeight="1">
      <c r="A34" s="3"/>
      <c r="B34" s="3"/>
      <c r="C34" s="15"/>
      <c r="D34" s="16"/>
      <c r="E34" s="16"/>
      <c r="F34" s="16"/>
      <c r="G34" s="16"/>
      <c r="H34" s="16"/>
      <c r="I34" s="238"/>
      <c r="J34" s="15"/>
      <c r="K34" s="39"/>
      <c r="L34" s="17"/>
      <c r="M34" s="17"/>
      <c r="N34" s="17"/>
      <c r="O34" s="18"/>
      <c r="P34" s="19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229"/>
      <c r="AT34" s="47"/>
      <c r="AU34" s="47"/>
      <c r="AV34" s="47"/>
      <c r="AW34" s="47"/>
      <c r="AX34" s="47"/>
      <c r="AY34" s="514"/>
      <c r="AZ34" s="47"/>
      <c r="BA34" s="47"/>
      <c r="BB34" s="47"/>
      <c r="BC34" s="47"/>
      <c r="BD34" s="472"/>
      <c r="BG34" s="12"/>
      <c r="BH34" s="12"/>
    </row>
    <row r="35" spans="1:160" s="284" customFormat="1" ht="15" customHeight="1">
      <c r="A35" s="264" t="s">
        <v>636</v>
      </c>
      <c r="B35" s="264"/>
      <c r="C35" s="250">
        <v>1</v>
      </c>
      <c r="D35" s="248" t="s">
        <v>637</v>
      </c>
      <c r="E35" s="248" t="s">
        <v>563</v>
      </c>
      <c r="F35" s="248" t="s">
        <v>638</v>
      </c>
      <c r="G35" s="248"/>
      <c r="H35" s="248" t="s">
        <v>144</v>
      </c>
      <c r="I35" s="279"/>
      <c r="J35" s="250"/>
      <c r="K35" s="280">
        <v>42859800</v>
      </c>
      <c r="L35" s="252">
        <v>43374</v>
      </c>
      <c r="M35" s="252">
        <v>31072</v>
      </c>
      <c r="N35" s="252"/>
      <c r="O35" s="253" t="s">
        <v>639</v>
      </c>
      <c r="P35" s="254" t="s">
        <v>640</v>
      </c>
      <c r="Q35" s="255">
        <v>2230</v>
      </c>
      <c r="R35" s="255"/>
      <c r="S35" s="255">
        <v>102.5</v>
      </c>
      <c r="T35" s="281"/>
      <c r="U35" s="281"/>
      <c r="V35" s="255"/>
      <c r="W35" s="281"/>
      <c r="X35" s="281"/>
      <c r="Y35" s="281"/>
      <c r="Z35" s="281"/>
      <c r="AA35" s="281"/>
      <c r="AB35" s="281"/>
      <c r="AC35" s="281"/>
      <c r="AD35" s="281"/>
      <c r="AE35" s="281"/>
      <c r="AF35" s="255">
        <f>SUM(Q35:AD35)-AE35</f>
        <v>2332.5</v>
      </c>
      <c r="AG35" s="255">
        <f>+Q35+S35+T35+U35+V35+X35-AE35</f>
        <v>2332.5</v>
      </c>
      <c r="AH35" s="282">
        <v>0.13</v>
      </c>
      <c r="AI35" s="255">
        <f>AG35*AH35</f>
        <v>303.22500000000002</v>
      </c>
      <c r="AJ35" s="281"/>
      <c r="AK35" s="281"/>
      <c r="AL35" s="281"/>
      <c r="AM35" s="281"/>
      <c r="AN35" s="281"/>
      <c r="AO35" s="281"/>
      <c r="AP35" s="281"/>
      <c r="AQ35" s="281"/>
      <c r="AR35" s="281"/>
      <c r="AS35" s="260"/>
      <c r="AT35" s="281"/>
      <c r="AU35" s="258"/>
      <c r="AV35" s="255"/>
      <c r="AW35" s="281"/>
      <c r="AX35" s="255">
        <f>+AI35+AQ35+AR35+AS35+AT35+AU35+AW35</f>
        <v>303.22500000000002</v>
      </c>
      <c r="AY35" s="503">
        <f>(+AF35-AX35)</f>
        <v>2029.2750000000001</v>
      </c>
      <c r="AZ35" s="282">
        <v>0.09</v>
      </c>
      <c r="BA35" s="255">
        <f>+AG35*AZ35</f>
        <v>209.92499999999998</v>
      </c>
      <c r="BB35" s="255">
        <v>8.3000000000000007</v>
      </c>
      <c r="BC35" s="283"/>
      <c r="BD35" s="501" t="s">
        <v>568</v>
      </c>
      <c r="BE35" s="6"/>
      <c r="BF35" s="6"/>
      <c r="BG35" s="12"/>
      <c r="BH35" s="526"/>
      <c r="BI35" s="284">
        <v>148.66</v>
      </c>
      <c r="BJ35" s="284" t="s">
        <v>641</v>
      </c>
    </row>
    <row r="36" spans="1:160" s="6" customFormat="1" ht="15" customHeight="1">
      <c r="A36" s="1" t="s">
        <v>642</v>
      </c>
      <c r="B36" s="1"/>
      <c r="C36" s="15">
        <v>2</v>
      </c>
      <c r="D36" s="16" t="s">
        <v>643</v>
      </c>
      <c r="E36" s="16" t="s">
        <v>348</v>
      </c>
      <c r="F36" s="16" t="s">
        <v>644</v>
      </c>
      <c r="G36" s="16"/>
      <c r="H36" s="16" t="s">
        <v>144</v>
      </c>
      <c r="I36" s="238"/>
      <c r="J36" s="15"/>
      <c r="K36" s="39">
        <v>42617078</v>
      </c>
      <c r="L36" s="17">
        <v>43374</v>
      </c>
      <c r="M36" s="17">
        <v>30071</v>
      </c>
      <c r="N36" s="17"/>
      <c r="O36" s="18" t="s">
        <v>645</v>
      </c>
      <c r="P36" s="19" t="s">
        <v>646</v>
      </c>
      <c r="Q36" s="20">
        <v>2794.02</v>
      </c>
      <c r="R36" s="20"/>
      <c r="S36" s="20">
        <v>102.5</v>
      </c>
      <c r="T36" s="20"/>
      <c r="U36" s="20"/>
      <c r="V36" s="21"/>
      <c r="W36" s="20"/>
      <c r="X36" s="21"/>
      <c r="Y36" s="20"/>
      <c r="Z36" s="20"/>
      <c r="AA36" s="20"/>
      <c r="AB36" s="20"/>
      <c r="AC36" s="20"/>
      <c r="AD36" s="20"/>
      <c r="AE36" s="41"/>
      <c r="AF36" s="20">
        <f>SUM(Q36:AD36)-AE36</f>
        <v>2896.52</v>
      </c>
      <c r="AG36" s="20">
        <f>+Q36+S36+T36+U36+V36+X36-AE36</f>
        <v>2896.52</v>
      </c>
      <c r="AH36" s="22">
        <v>0.13</v>
      </c>
      <c r="AI36" s="20">
        <f>AG36*AH36</f>
        <v>376.54759999999999</v>
      </c>
      <c r="AJ36" s="23"/>
      <c r="AK36" s="20"/>
      <c r="AL36" s="23"/>
      <c r="AM36" s="20"/>
      <c r="AN36" s="23"/>
      <c r="AO36" s="20"/>
      <c r="AP36" s="23"/>
      <c r="AR36" s="20">
        <v>20</v>
      </c>
      <c r="AS36" s="226"/>
      <c r="AT36" s="20"/>
      <c r="AU36" s="21">
        <v>300</v>
      </c>
      <c r="AV36" s="20">
        <v>1124.3</v>
      </c>
      <c r="AW36" s="20"/>
      <c r="AX36" s="20">
        <f>+AI36+AQ36+AR36+AS36+AT36+AU36+AV36+AW36</f>
        <v>1820.8476000000001</v>
      </c>
      <c r="AY36" s="503">
        <f>(+AF36-AX36)</f>
        <v>1075.6723999999999</v>
      </c>
      <c r="AZ36" s="22">
        <v>0.09</v>
      </c>
      <c r="BA36" s="20">
        <f>+AG36*AZ36</f>
        <v>260.68680000000001</v>
      </c>
      <c r="BB36" s="20">
        <v>8.3000000000000007</v>
      </c>
      <c r="BC36" s="24"/>
      <c r="BD36" s="501" t="s">
        <v>568</v>
      </c>
      <c r="BG36" s="12"/>
      <c r="BH36" s="12"/>
    </row>
    <row r="37" spans="1:160" s="6" customFormat="1" ht="15" customHeight="1" thickBot="1">
      <c r="A37" s="1"/>
      <c r="B37" s="1"/>
      <c r="C37" s="15"/>
      <c r="D37" s="16"/>
      <c r="E37" s="16"/>
      <c r="F37" s="16"/>
      <c r="G37" s="16"/>
      <c r="H37" s="16"/>
      <c r="I37" s="238"/>
      <c r="J37" s="15"/>
      <c r="K37" s="39"/>
      <c r="L37" s="17"/>
      <c r="M37" s="17"/>
      <c r="N37" s="17"/>
      <c r="O37" s="18"/>
      <c r="P37" s="19"/>
      <c r="Q37" s="20"/>
      <c r="R37" s="20"/>
      <c r="S37" s="20"/>
      <c r="T37" s="20"/>
      <c r="U37" s="20"/>
      <c r="V37" s="21"/>
      <c r="W37" s="21"/>
      <c r="X37" s="20"/>
      <c r="Y37" s="20"/>
      <c r="Z37" s="20"/>
      <c r="AA37" s="20"/>
      <c r="AB37" s="20"/>
      <c r="AC37" s="20"/>
      <c r="AD37" s="20"/>
      <c r="AE37" s="41"/>
      <c r="AF37" s="20"/>
      <c r="AG37" s="20"/>
      <c r="AH37" s="22"/>
      <c r="AI37" s="20"/>
      <c r="AJ37" s="23"/>
      <c r="AK37" s="20"/>
      <c r="AL37" s="23"/>
      <c r="AM37" s="20"/>
      <c r="AN37" s="23"/>
      <c r="AO37" s="20"/>
      <c r="AP37" s="23"/>
      <c r="AQ37" s="20"/>
      <c r="AR37" s="42"/>
      <c r="AS37" s="226"/>
      <c r="AT37" s="20"/>
      <c r="AU37" s="20"/>
      <c r="AV37" s="20"/>
      <c r="AW37" s="20"/>
      <c r="AX37" s="20"/>
      <c r="AY37" s="503"/>
      <c r="AZ37" s="22"/>
      <c r="BA37" s="20"/>
      <c r="BB37" s="20"/>
      <c r="BC37" s="24"/>
      <c r="BD37" s="475"/>
      <c r="BG37" s="12"/>
      <c r="BH37" s="12"/>
    </row>
    <row r="38" spans="1:160" s="6" customFormat="1" ht="15" customHeight="1" thickBot="1">
      <c r="A38" s="349"/>
      <c r="B38" s="340"/>
      <c r="C38" s="341"/>
      <c r="D38" s="342"/>
      <c r="E38" s="342"/>
      <c r="F38" s="342"/>
      <c r="G38" s="342"/>
      <c r="H38" s="342"/>
      <c r="I38" s="351"/>
      <c r="J38" s="341"/>
      <c r="K38" s="352"/>
      <c r="L38" s="345"/>
      <c r="M38" s="345"/>
      <c r="N38" s="345"/>
      <c r="O38" s="350"/>
      <c r="P38" s="346"/>
      <c r="Q38" s="347">
        <f>SUM(Q35:Q37)</f>
        <v>5024.0200000000004</v>
      </c>
      <c r="R38" s="347"/>
      <c r="S38" s="347">
        <f>SUM(S34:S37)</f>
        <v>205</v>
      </c>
      <c r="T38" s="347">
        <f>SUM(T35:T37)</f>
        <v>0</v>
      </c>
      <c r="U38" s="347">
        <f>SUM(U35:U37)</f>
        <v>0</v>
      </c>
      <c r="V38" s="347">
        <f>SUM(V37:V37)</f>
        <v>0</v>
      </c>
      <c r="W38" s="347">
        <f>SUM(W35:W37)</f>
        <v>0</v>
      </c>
      <c r="X38" s="347">
        <f>SUM(X34:X37)</f>
        <v>0</v>
      </c>
      <c r="Y38" s="347">
        <f>SUM(Y35:Y37)</f>
        <v>0</v>
      </c>
      <c r="Z38" s="347">
        <f>SUM(Z35:Z37)</f>
        <v>0</v>
      </c>
      <c r="AA38" s="347"/>
      <c r="AB38" s="347">
        <f>SUM(AB35:AB37)</f>
        <v>0</v>
      </c>
      <c r="AC38" s="347"/>
      <c r="AD38" s="347">
        <f>SUM(AD37:AD37)</f>
        <v>0</v>
      </c>
      <c r="AE38" s="347">
        <f>SUM(AE35:AE37)</f>
        <v>0</v>
      </c>
      <c r="AF38" s="347">
        <f>SUM(AF35:AF37)</f>
        <v>5229.0200000000004</v>
      </c>
      <c r="AG38" s="347">
        <f>SUM(AG35:AG37)</f>
        <v>5229.0200000000004</v>
      </c>
      <c r="AH38" s="347"/>
      <c r="AI38" s="347">
        <f>SUM(AI35:AI37)</f>
        <v>679.77260000000001</v>
      </c>
      <c r="AJ38" s="347"/>
      <c r="AK38" s="347">
        <f t="shared" ref="AK38:AT38" si="14">SUM(AK35:AK37)</f>
        <v>0</v>
      </c>
      <c r="AL38" s="347">
        <f t="shared" si="14"/>
        <v>0</v>
      </c>
      <c r="AM38" s="347">
        <f t="shared" si="14"/>
        <v>0</v>
      </c>
      <c r="AN38" s="347">
        <f t="shared" si="14"/>
        <v>0</v>
      </c>
      <c r="AO38" s="347">
        <f t="shared" si="14"/>
        <v>0</v>
      </c>
      <c r="AP38" s="347">
        <f t="shared" si="14"/>
        <v>0</v>
      </c>
      <c r="AQ38" s="347">
        <f>SUM(AQ35:AQ37)</f>
        <v>0</v>
      </c>
      <c r="AR38" s="347">
        <f>SUM(AR35:AR37)</f>
        <v>20</v>
      </c>
      <c r="AS38" s="347">
        <f>SUM(AS35:AS37)</f>
        <v>0</v>
      </c>
      <c r="AT38" s="347">
        <f t="shared" si="14"/>
        <v>0</v>
      </c>
      <c r="AU38" s="347">
        <f>SUM(AU35:AU37)</f>
        <v>300</v>
      </c>
      <c r="AV38" s="353">
        <f>SUM(AV35:AV37)</f>
        <v>1124.3</v>
      </c>
      <c r="AW38" s="347"/>
      <c r="AX38" s="347">
        <f>SUM(AX35:AX37)</f>
        <v>2124.0726</v>
      </c>
      <c r="AY38" s="347">
        <f>SUM(AY34:AY37)</f>
        <v>3104.9474</v>
      </c>
      <c r="AZ38" s="347"/>
      <c r="BA38" s="348">
        <f>SUM(BA35:BA37)</f>
        <v>470.61180000000002</v>
      </c>
      <c r="BB38" s="339">
        <f>SUM(BB34:BB37)</f>
        <v>16.600000000000001</v>
      </c>
      <c r="BC38" s="26"/>
      <c r="BD38" s="472"/>
      <c r="BG38" s="12"/>
      <c r="BH38" s="12"/>
    </row>
    <row r="39" spans="1:160" s="232" customFormat="1" ht="15" customHeight="1">
      <c r="A39" s="206" t="s">
        <v>647</v>
      </c>
      <c r="B39" s="206"/>
      <c r="C39" s="271">
        <v>1</v>
      </c>
      <c r="D39" s="267" t="s">
        <v>648</v>
      </c>
      <c r="E39" s="267" t="s">
        <v>649</v>
      </c>
      <c r="F39" s="267" t="s">
        <v>650</v>
      </c>
      <c r="G39" s="267" t="s">
        <v>651</v>
      </c>
      <c r="H39" s="267" t="s">
        <v>72</v>
      </c>
      <c r="I39" s="272" t="s">
        <v>652</v>
      </c>
      <c r="J39" s="271"/>
      <c r="K39" s="273">
        <v>61043871</v>
      </c>
      <c r="L39" s="230">
        <v>45002</v>
      </c>
      <c r="M39" s="230">
        <v>32705</v>
      </c>
      <c r="N39" s="230"/>
      <c r="O39" s="231" t="s">
        <v>653</v>
      </c>
      <c r="P39" s="246" t="s">
        <v>654</v>
      </c>
      <c r="Q39" s="226">
        <v>2542</v>
      </c>
      <c r="R39" s="208"/>
      <c r="S39" s="226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338"/>
      <c r="AF39" s="226">
        <f>SUM(Q39:AD39)-AE39</f>
        <v>2542</v>
      </c>
      <c r="AG39" s="226">
        <f>+Q39+S39+T39+U39+V39+X39-AE39</f>
        <v>2542</v>
      </c>
      <c r="AH39" s="274"/>
      <c r="AI39" s="226"/>
      <c r="AJ39" s="23">
        <v>0.1</v>
      </c>
      <c r="AK39" s="269">
        <f>+AG39*AJ39</f>
        <v>254.20000000000002</v>
      </c>
      <c r="AL39" s="23">
        <v>1.6E-2</v>
      </c>
      <c r="AM39" s="270">
        <f>+AG39*AL39</f>
        <v>40.672000000000004</v>
      </c>
      <c r="AN39" s="23">
        <v>1.7000000000000001E-2</v>
      </c>
      <c r="AO39" s="20">
        <f>+AG39*AN39</f>
        <v>43.214000000000006</v>
      </c>
      <c r="AP39" s="23">
        <f>+AJ39+AL39+AN39</f>
        <v>0.13300000000000001</v>
      </c>
      <c r="AQ39" s="20">
        <f>+AK39+AM39+AO39</f>
        <v>338.08600000000001</v>
      </c>
      <c r="AR39" s="226"/>
      <c r="AS39" s="226"/>
      <c r="AT39" s="20"/>
      <c r="AU39" s="20"/>
      <c r="AV39" s="269"/>
      <c r="AW39" s="20"/>
      <c r="AX39" s="13">
        <f>+AI39+AQ39+AR39+AS39+AT39+AU39+AW39</f>
        <v>338.08600000000001</v>
      </c>
      <c r="AY39" s="515">
        <f>(+AF39-AX39)</f>
        <v>2203.9139999999998</v>
      </c>
      <c r="AZ39" s="22">
        <v>0.09</v>
      </c>
      <c r="BA39" s="20">
        <f>+AG39*AZ39</f>
        <v>228.78</v>
      </c>
      <c r="BB39" s="59">
        <v>2.88</v>
      </c>
      <c r="BC39" s="276"/>
      <c r="BD39" s="476" t="s">
        <v>568</v>
      </c>
      <c r="BE39" s="206"/>
      <c r="BG39" s="525"/>
      <c r="BH39" s="525"/>
    </row>
    <row r="40" spans="1:160" s="6" customFormat="1" ht="15" customHeight="1">
      <c r="A40" s="1" t="s">
        <v>647</v>
      </c>
      <c r="B40" s="1"/>
      <c r="C40" s="15">
        <v>2</v>
      </c>
      <c r="D40" s="16" t="s">
        <v>655</v>
      </c>
      <c r="E40" s="16" t="s">
        <v>656</v>
      </c>
      <c r="F40" s="16" t="s">
        <v>657</v>
      </c>
      <c r="G40" s="16" t="s">
        <v>658</v>
      </c>
      <c r="H40" s="16" t="s">
        <v>70</v>
      </c>
      <c r="I40" s="245" t="s">
        <v>659</v>
      </c>
      <c r="J40" s="15"/>
      <c r="K40" s="39">
        <v>76542051</v>
      </c>
      <c r="L40" s="17">
        <v>45170</v>
      </c>
      <c r="M40" s="17">
        <v>35215</v>
      </c>
      <c r="N40" s="17"/>
      <c r="O40" s="18" t="s">
        <v>653</v>
      </c>
      <c r="P40" s="233" t="s">
        <v>660</v>
      </c>
      <c r="Q40" s="20">
        <v>1450</v>
      </c>
      <c r="R40" s="13"/>
      <c r="S40" s="20"/>
      <c r="T40" s="20"/>
      <c r="U40" s="43"/>
      <c r="V40" s="20"/>
      <c r="W40" s="20"/>
      <c r="X40" s="20"/>
      <c r="Y40" s="20"/>
      <c r="Z40" s="20"/>
      <c r="AA40" s="20"/>
      <c r="AB40" s="20"/>
      <c r="AC40" s="41"/>
      <c r="AD40" s="16"/>
      <c r="AE40" s="16"/>
      <c r="AF40" s="226">
        <f>SUM(Q40:AD40)-AE40</f>
        <v>1450</v>
      </c>
      <c r="AG40" s="226">
        <f>+Q40+S40+T40+U40+V40+X40-AE40</f>
        <v>1450</v>
      </c>
      <c r="AH40" s="274"/>
      <c r="AI40" s="20"/>
      <c r="AJ40" s="23">
        <v>0.1</v>
      </c>
      <c r="AK40" s="269">
        <f>+AG40*AJ40</f>
        <v>145</v>
      </c>
      <c r="AL40" s="23">
        <v>0</v>
      </c>
      <c r="AM40" s="270"/>
      <c r="AN40" s="23">
        <v>1.7000000000000001E-2</v>
      </c>
      <c r="AO40" s="20">
        <f>+AG40*AN40</f>
        <v>24.650000000000002</v>
      </c>
      <c r="AP40" s="23">
        <f>+AJ40+AN40</f>
        <v>0.11700000000000001</v>
      </c>
      <c r="AQ40" s="20">
        <f>+AK40+AM40+AO40</f>
        <v>169.65</v>
      </c>
      <c r="AR40" s="20"/>
      <c r="AS40" s="20"/>
      <c r="AT40" s="20"/>
      <c r="AU40" s="20"/>
      <c r="AV40" s="269"/>
      <c r="AW40" s="22"/>
      <c r="AX40" s="270">
        <f>+AI40+AQ40+AR40+AS40+AT40+AU40+AW40</f>
        <v>169.65</v>
      </c>
      <c r="AY40" s="503">
        <f>(+AF40-AX40)</f>
        <v>1280.3499999999999</v>
      </c>
      <c r="AZ40" s="22">
        <v>0.09</v>
      </c>
      <c r="BA40" s="20">
        <f>+AG40*AZ40</f>
        <v>130.5</v>
      </c>
      <c r="BB40" s="41"/>
      <c r="BC40" s="302"/>
      <c r="BD40" s="476" t="s">
        <v>568</v>
      </c>
      <c r="BE40" s="206"/>
      <c r="BF40" s="1"/>
      <c r="BG40" s="12"/>
      <c r="BH40" s="12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</row>
    <row r="41" spans="1:160" s="6" customFormat="1" ht="15" customHeight="1" thickBot="1">
      <c r="A41" s="1" t="s">
        <v>647</v>
      </c>
      <c r="B41" s="1"/>
      <c r="C41" s="15">
        <v>4</v>
      </c>
      <c r="D41" s="16" t="s">
        <v>661</v>
      </c>
      <c r="E41" s="16" t="s">
        <v>397</v>
      </c>
      <c r="F41" s="16" t="s">
        <v>662</v>
      </c>
      <c r="G41" s="16" t="s">
        <v>663</v>
      </c>
      <c r="H41" s="16" t="s">
        <v>583</v>
      </c>
      <c r="I41" s="239" t="s">
        <v>664</v>
      </c>
      <c r="J41" s="15"/>
      <c r="K41" s="39">
        <v>71404659</v>
      </c>
      <c r="L41" s="17">
        <v>45453</v>
      </c>
      <c r="M41" s="17">
        <v>37451</v>
      </c>
      <c r="N41" s="17"/>
      <c r="O41" s="18" t="s">
        <v>653</v>
      </c>
      <c r="P41" s="233" t="s">
        <v>586</v>
      </c>
      <c r="Q41" s="270">
        <v>1600</v>
      </c>
      <c r="R41" s="13"/>
      <c r="S41" s="20"/>
      <c r="T41" s="270"/>
      <c r="U41" s="270"/>
      <c r="V41" s="270"/>
      <c r="W41" s="270"/>
      <c r="X41" s="270"/>
      <c r="Y41" s="270"/>
      <c r="Z41" s="270"/>
      <c r="AA41" s="20"/>
      <c r="AB41" s="20"/>
      <c r="AC41" s="41"/>
      <c r="AD41" s="41"/>
      <c r="AE41" s="269"/>
      <c r="AF41" s="20">
        <f>SUM(Q41:AD41)-AE41</f>
        <v>1600</v>
      </c>
      <c r="AG41" s="20">
        <v>1600</v>
      </c>
      <c r="AH41" s="296"/>
      <c r="AI41" s="20"/>
      <c r="AJ41" s="23">
        <v>0.1</v>
      </c>
      <c r="AK41" s="269">
        <f>+AG41*AJ41</f>
        <v>160</v>
      </c>
      <c r="AL41" s="23">
        <v>0</v>
      </c>
      <c r="AM41" s="270"/>
      <c r="AN41" s="23">
        <v>1.7000000000000001E-2</v>
      </c>
      <c r="AO41" s="20">
        <f>+AG41*AN41</f>
        <v>27.200000000000003</v>
      </c>
      <c r="AP41" s="23">
        <f>+AJ41+AN41</f>
        <v>0.11700000000000001</v>
      </c>
      <c r="AQ41" s="20">
        <f>+AK41+AM41+AO41</f>
        <v>187.2</v>
      </c>
      <c r="AR41" s="20"/>
      <c r="AS41" s="20"/>
      <c r="AT41" s="20"/>
      <c r="AU41" s="20"/>
      <c r="AV41" s="269"/>
      <c r="AW41" s="22"/>
      <c r="AX41" s="270">
        <f>+AI41+AQ41+AR41+AS41+AT41+AU41+AW41</f>
        <v>187.2</v>
      </c>
      <c r="AY41" s="503">
        <f>(+AF41-AX41)</f>
        <v>1412.8</v>
      </c>
      <c r="AZ41" s="22">
        <v>0.09</v>
      </c>
      <c r="BA41" s="20">
        <f>+AG41*AZ41</f>
        <v>144</v>
      </c>
      <c r="BB41" s="418"/>
      <c r="BD41" s="502" t="s">
        <v>568</v>
      </c>
      <c r="BE41" s="1"/>
      <c r="BF41" s="1"/>
      <c r="BG41" s="12"/>
      <c r="BH41" s="12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</row>
    <row r="42" spans="1:160" s="6" customFormat="1" ht="15" customHeight="1" thickBot="1">
      <c r="A42" s="349"/>
      <c r="B42" s="340"/>
      <c r="C42" s="341"/>
      <c r="D42" s="342"/>
      <c r="E42" s="342"/>
      <c r="F42" s="342"/>
      <c r="G42" s="342"/>
      <c r="H42" s="342"/>
      <c r="I42" s="343"/>
      <c r="J42" s="341"/>
      <c r="K42" s="352"/>
      <c r="L42" s="345"/>
      <c r="M42" s="345"/>
      <c r="N42" s="345"/>
      <c r="O42" s="350"/>
      <c r="P42" s="362"/>
      <c r="Q42" s="354">
        <f>SUM(Q39:Q41)</f>
        <v>5592</v>
      </c>
      <c r="R42" s="355"/>
      <c r="S42" s="347">
        <f>SUM(S39:S41)</f>
        <v>0</v>
      </c>
      <c r="T42" s="356">
        <f t="shared" ref="T42:Z42" si="15">SUM(T39:T40)</f>
        <v>0</v>
      </c>
      <c r="U42" s="356">
        <f t="shared" si="15"/>
        <v>0</v>
      </c>
      <c r="V42" s="356">
        <f t="shared" si="15"/>
        <v>0</v>
      </c>
      <c r="W42" s="356">
        <f t="shared" si="15"/>
        <v>0</v>
      </c>
      <c r="X42" s="356">
        <f t="shared" si="15"/>
        <v>0</v>
      </c>
      <c r="Y42" s="356">
        <f t="shared" si="15"/>
        <v>0</v>
      </c>
      <c r="Z42" s="356">
        <f t="shared" si="15"/>
        <v>0</v>
      </c>
      <c r="AA42" s="347"/>
      <c r="AB42" s="347">
        <f>SUM(AB39:AB40)</f>
        <v>0</v>
      </c>
      <c r="AC42" s="347">
        <f>SUM(AC39:AC40)</f>
        <v>0</v>
      </c>
      <c r="AD42" s="347">
        <f>SUM(AD39:AD40)</f>
        <v>0</v>
      </c>
      <c r="AE42" s="347">
        <f>SUM(AE39:AE40)</f>
        <v>0</v>
      </c>
      <c r="AF42" s="347">
        <f>SUM(AF39:AF41)</f>
        <v>5592</v>
      </c>
      <c r="AG42" s="353">
        <f>SUM(AG39:AG41)</f>
        <v>5592</v>
      </c>
      <c r="AH42" s="357"/>
      <c r="AI42" s="347">
        <f>SUM(AI39:AI41)</f>
        <v>0</v>
      </c>
      <c r="AJ42" s="358"/>
      <c r="AK42" s="347">
        <f>SUM(AK39:AK41)</f>
        <v>559.20000000000005</v>
      </c>
      <c r="AL42" s="358"/>
      <c r="AM42" s="347">
        <f>SUM(AM39:AM41)</f>
        <v>40.672000000000004</v>
      </c>
      <c r="AN42" s="358"/>
      <c r="AO42" s="347">
        <f>SUM(AO39:AO41)</f>
        <v>95.064000000000007</v>
      </c>
      <c r="AP42" s="358"/>
      <c r="AQ42" s="347">
        <f>SUM(AQ39:AQ41)</f>
        <v>694.93599999999992</v>
      </c>
      <c r="AR42" s="347">
        <f>SUM(AR39:AR40)</f>
        <v>0</v>
      </c>
      <c r="AS42" s="359">
        <f>SUM(AS39:AS40)</f>
        <v>0</v>
      </c>
      <c r="AT42" s="347">
        <f>SUM(AT39:AT40)</f>
        <v>0</v>
      </c>
      <c r="AU42" s="347">
        <f>SUM(AU39:AU40)</f>
        <v>0</v>
      </c>
      <c r="AV42" s="347"/>
      <c r="AW42" s="347"/>
      <c r="AX42" s="353">
        <f>SUM(AX39:AX41)</f>
        <v>694.93599999999992</v>
      </c>
      <c r="AY42" s="347">
        <f>SUM(AY39:AY41)</f>
        <v>4897.0639999999994</v>
      </c>
      <c r="AZ42" s="361"/>
      <c r="BA42" s="348">
        <f>SUM(BA39:BC41)</f>
        <v>506.15999999999997</v>
      </c>
      <c r="BB42" s="265">
        <f>SUM(BB39:BB41)</f>
        <v>2.88</v>
      </c>
      <c r="BC42" s="297"/>
      <c r="BD42" s="476"/>
      <c r="BE42" s="206"/>
      <c r="BF42" s="1"/>
      <c r="BG42" s="12"/>
      <c r="BH42" s="12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</row>
    <row r="43" spans="1:160" s="453" customFormat="1" ht="15" customHeight="1">
      <c r="A43" s="439" t="s">
        <v>647</v>
      </c>
      <c r="B43" s="439"/>
      <c r="C43" s="440">
        <v>4</v>
      </c>
      <c r="D43" s="441" t="s">
        <v>569</v>
      </c>
      <c r="E43" s="441" t="s">
        <v>570</v>
      </c>
      <c r="F43" s="441" t="s">
        <v>571</v>
      </c>
      <c r="G43" s="441"/>
      <c r="H43" s="441"/>
      <c r="I43" s="442"/>
      <c r="J43" s="440"/>
      <c r="K43" s="467">
        <v>8751792</v>
      </c>
      <c r="L43" s="444">
        <v>45078</v>
      </c>
      <c r="M43" s="444">
        <v>31620</v>
      </c>
      <c r="N43" s="444"/>
      <c r="O43" s="445"/>
      <c r="P43" s="468" t="s">
        <v>572</v>
      </c>
      <c r="Q43" s="447">
        <v>832</v>
      </c>
      <c r="R43" s="452"/>
      <c r="S43" s="469"/>
      <c r="T43" s="469"/>
      <c r="U43" s="447"/>
      <c r="V43" s="447"/>
      <c r="W43" s="447"/>
      <c r="X43" s="447"/>
      <c r="Y43" s="447"/>
      <c r="Z43" s="469"/>
      <c r="AA43" s="447"/>
      <c r="AB43" s="447"/>
      <c r="AC43" s="447"/>
      <c r="AD43" s="447"/>
      <c r="AE43" s="447"/>
      <c r="AF43" s="447">
        <f t="shared" ref="AF43:AF50" si="16">SUM(Q43:AD43)-AE43</f>
        <v>832</v>
      </c>
      <c r="AG43" s="447">
        <f t="shared" ref="AG43:AG50" si="17">+Q43+S43+T43+U43+V43+X43-AE43</f>
        <v>832</v>
      </c>
      <c r="AH43" s="470"/>
      <c r="AI43" s="447"/>
      <c r="AJ43" s="450"/>
      <c r="AK43" s="447"/>
      <c r="AL43" s="450"/>
      <c r="AM43" s="447"/>
      <c r="AN43" s="471"/>
      <c r="AO43" s="447"/>
      <c r="AP43" s="450"/>
      <c r="AQ43" s="447"/>
      <c r="AR43" s="447"/>
      <c r="AS43" s="447"/>
      <c r="AT43" s="447"/>
      <c r="AU43" s="447"/>
      <c r="AV43" s="447"/>
      <c r="AW43" s="452"/>
      <c r="AX43" s="447">
        <f t="shared" ref="AX43:AX50" si="18">+AI43+AQ43+AR43+AS43+AT43+AU43+AW43</f>
        <v>0</v>
      </c>
      <c r="AY43" s="505">
        <f t="shared" ref="AY43:AY50" si="19">(+AF43-AX43)</f>
        <v>832</v>
      </c>
      <c r="AZ43" s="449">
        <v>0.09</v>
      </c>
      <c r="BA43" s="447">
        <f>AG43*AZ43</f>
        <v>74.88</v>
      </c>
      <c r="BB43" s="447">
        <v>50.41</v>
      </c>
      <c r="BC43" s="451"/>
      <c r="BD43" s="474" t="s">
        <v>568</v>
      </c>
      <c r="BE43" s="439"/>
      <c r="BF43" s="439"/>
      <c r="BG43" s="521"/>
      <c r="BH43" s="521"/>
      <c r="BI43" s="439"/>
      <c r="BJ43" s="439"/>
      <c r="BK43" s="439"/>
      <c r="BL43" s="439"/>
      <c r="BM43" s="439"/>
      <c r="BN43" s="439"/>
      <c r="BO43" s="439"/>
      <c r="BP43" s="439"/>
      <c r="BQ43" s="439"/>
      <c r="BR43" s="439"/>
      <c r="BS43" s="439"/>
      <c r="BT43" s="439"/>
      <c r="BU43" s="439"/>
      <c r="BV43" s="439"/>
      <c r="BW43" s="439"/>
      <c r="BX43" s="439"/>
      <c r="BY43" s="439"/>
      <c r="BZ43" s="439"/>
      <c r="CA43" s="439"/>
      <c r="CB43" s="439"/>
      <c r="CC43" s="439"/>
      <c r="CD43" s="439"/>
      <c r="CE43" s="439"/>
      <c r="CF43" s="439"/>
      <c r="CG43" s="439"/>
      <c r="CH43" s="439"/>
      <c r="CI43" s="439"/>
      <c r="CJ43" s="439"/>
      <c r="CK43" s="439"/>
      <c r="CL43" s="439"/>
      <c r="CM43" s="439"/>
      <c r="CN43" s="439"/>
      <c r="CO43" s="439"/>
      <c r="CP43" s="439"/>
      <c r="CQ43" s="439"/>
      <c r="CR43" s="439"/>
      <c r="CS43" s="439"/>
      <c r="CT43" s="439"/>
      <c r="CU43" s="439"/>
      <c r="CV43" s="439"/>
      <c r="CW43" s="439"/>
      <c r="CX43" s="439"/>
      <c r="CY43" s="439"/>
      <c r="CZ43" s="439"/>
      <c r="DA43" s="439"/>
      <c r="DB43" s="439"/>
      <c r="DC43" s="439"/>
      <c r="DD43" s="439"/>
      <c r="DE43" s="439"/>
      <c r="DF43" s="439"/>
      <c r="DG43" s="439"/>
      <c r="DH43" s="439"/>
      <c r="DI43" s="439"/>
      <c r="DJ43" s="439"/>
      <c r="DK43" s="439"/>
      <c r="DL43" s="439"/>
      <c r="DM43" s="439"/>
      <c r="DN43" s="439"/>
      <c r="DO43" s="439"/>
      <c r="DP43" s="439"/>
      <c r="DQ43" s="439"/>
      <c r="DR43" s="439"/>
      <c r="DS43" s="439"/>
      <c r="DT43" s="439"/>
      <c r="DU43" s="439"/>
      <c r="DV43" s="439"/>
      <c r="DW43" s="439"/>
      <c r="DX43" s="439"/>
      <c r="DY43" s="439"/>
      <c r="DZ43" s="439"/>
      <c r="EA43" s="439"/>
      <c r="EB43" s="439"/>
      <c r="EC43" s="439"/>
      <c r="ED43" s="439"/>
      <c r="EE43" s="439"/>
      <c r="EF43" s="439"/>
      <c r="EG43" s="439"/>
      <c r="EH43" s="439"/>
      <c r="EI43" s="439"/>
      <c r="EJ43" s="439"/>
      <c r="EK43" s="439"/>
      <c r="EL43" s="439"/>
      <c r="EM43" s="439"/>
      <c r="EN43" s="439"/>
      <c r="EO43" s="439"/>
      <c r="EP43" s="439"/>
      <c r="EQ43" s="439"/>
      <c r="ER43" s="439"/>
      <c r="ES43" s="439"/>
      <c r="ET43" s="439"/>
      <c r="EU43" s="439"/>
      <c r="EV43" s="439"/>
      <c r="EW43" s="439"/>
      <c r="EX43" s="439"/>
      <c r="EY43" s="439"/>
      <c r="EZ43" s="439"/>
      <c r="FA43" s="439"/>
      <c r="FB43" s="439"/>
      <c r="FC43" s="439"/>
    </row>
    <row r="44" spans="1:160" s="6" customFormat="1" ht="15" customHeight="1">
      <c r="A44" s="1" t="s">
        <v>647</v>
      </c>
      <c r="B44" s="1"/>
      <c r="C44" s="15">
        <v>6</v>
      </c>
      <c r="D44" s="334" t="s">
        <v>665</v>
      </c>
      <c r="E44" s="16" t="s">
        <v>666</v>
      </c>
      <c r="F44" s="16" t="s">
        <v>667</v>
      </c>
      <c r="G44" s="16" t="s">
        <v>668</v>
      </c>
      <c r="H44" s="16" t="s">
        <v>583</v>
      </c>
      <c r="I44" t="s">
        <v>669</v>
      </c>
      <c r="J44" s="15"/>
      <c r="K44" s="39">
        <v>76216227</v>
      </c>
      <c r="L44" s="17">
        <v>44958</v>
      </c>
      <c r="M44" s="17">
        <v>35287</v>
      </c>
      <c r="N44" s="17"/>
      <c r="O44" s="6" t="s">
        <v>670</v>
      </c>
      <c r="P44" s="336" t="s">
        <v>671</v>
      </c>
      <c r="Q44" s="20">
        <v>1600</v>
      </c>
      <c r="R44" s="13"/>
      <c r="S44" s="269"/>
      <c r="T44" s="269"/>
      <c r="U44" s="20"/>
      <c r="V44" s="43"/>
      <c r="W44" s="20"/>
      <c r="X44" s="20"/>
      <c r="Y44" s="20"/>
      <c r="Z44" s="269"/>
      <c r="AA44" s="20"/>
      <c r="AB44" s="20"/>
      <c r="AC44" s="20"/>
      <c r="AD44" s="20"/>
      <c r="AE44" s="41"/>
      <c r="AF44" s="226">
        <f t="shared" si="16"/>
        <v>1600</v>
      </c>
      <c r="AG44" s="226">
        <f t="shared" si="17"/>
        <v>1600</v>
      </c>
      <c r="AH44" s="275"/>
      <c r="AI44" s="20"/>
      <c r="AJ44" s="23">
        <v>0.1</v>
      </c>
      <c r="AK44" s="20">
        <f t="shared" ref="AK44:AK50" si="20">+AG44*AJ44</f>
        <v>160</v>
      </c>
      <c r="AL44" s="23">
        <v>0</v>
      </c>
      <c r="AM44" s="20"/>
      <c r="AN44" s="14">
        <v>1.7000000000000001E-2</v>
      </c>
      <c r="AO44" s="20">
        <f t="shared" ref="AO44:AO50" si="21">+AG44*AN44</f>
        <v>27.200000000000003</v>
      </c>
      <c r="AP44" s="23">
        <f t="shared" ref="AP44:AQ50" si="22">+AJ44+AL44+AN44</f>
        <v>0.11700000000000001</v>
      </c>
      <c r="AQ44" s="20">
        <f t="shared" si="22"/>
        <v>187.2</v>
      </c>
      <c r="AR44" s="20"/>
      <c r="AS44" s="226"/>
      <c r="AT44" s="20"/>
      <c r="AU44" s="21"/>
      <c r="AV44" s="20"/>
      <c r="AW44" s="13"/>
      <c r="AX44" s="20">
        <f t="shared" si="18"/>
        <v>187.2</v>
      </c>
      <c r="AY44" s="503">
        <f t="shared" si="19"/>
        <v>1412.8</v>
      </c>
      <c r="AZ44" s="22">
        <v>0.09</v>
      </c>
      <c r="BA44" s="20">
        <f t="shared" ref="BA44:BA50" si="23">AG44*AZ44</f>
        <v>144</v>
      </c>
      <c r="BB44" s="20"/>
      <c r="BC44" s="335"/>
      <c r="BD44" s="476" t="s">
        <v>568</v>
      </c>
      <c r="BE44" s="206"/>
      <c r="BF44" s="1"/>
      <c r="BG44" s="12"/>
      <c r="BH44" s="12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</row>
    <row r="45" spans="1:160" s="6" customFormat="1" ht="15" customHeight="1">
      <c r="A45" s="1" t="s">
        <v>647</v>
      </c>
      <c r="B45" s="1"/>
      <c r="C45" s="15">
        <v>7</v>
      </c>
      <c r="D45" s="334" t="s">
        <v>672</v>
      </c>
      <c r="E45" s="16" t="s">
        <v>673</v>
      </c>
      <c r="F45" s="16" t="s">
        <v>674</v>
      </c>
      <c r="G45" s="16" t="s">
        <v>675</v>
      </c>
      <c r="H45" s="16" t="s">
        <v>71</v>
      </c>
      <c r="I45" t="s">
        <v>676</v>
      </c>
      <c r="J45" s="15"/>
      <c r="K45" s="39">
        <v>77306872</v>
      </c>
      <c r="L45" s="17">
        <v>45426</v>
      </c>
      <c r="M45" s="17">
        <v>37839</v>
      </c>
      <c r="N45" s="17"/>
      <c r="O45" s="6" t="s">
        <v>670</v>
      </c>
      <c r="P45" s="336" t="s">
        <v>22</v>
      </c>
      <c r="Q45" s="20">
        <v>1600</v>
      </c>
      <c r="R45" s="13"/>
      <c r="S45" s="269"/>
      <c r="T45" s="269"/>
      <c r="U45" s="20"/>
      <c r="V45" s="43"/>
      <c r="W45" s="20"/>
      <c r="X45" s="20"/>
      <c r="Y45" s="20"/>
      <c r="Z45" s="269"/>
      <c r="AA45" s="20"/>
      <c r="AB45" s="20"/>
      <c r="AC45" s="20"/>
      <c r="AD45" s="20"/>
      <c r="AE45" s="41"/>
      <c r="AF45" s="226">
        <f t="shared" si="16"/>
        <v>1600</v>
      </c>
      <c r="AG45" s="226">
        <f t="shared" si="17"/>
        <v>1600</v>
      </c>
      <c r="AH45" s="275"/>
      <c r="AI45" s="20"/>
      <c r="AJ45" s="23">
        <v>0.1</v>
      </c>
      <c r="AK45" s="20">
        <f t="shared" si="20"/>
        <v>160</v>
      </c>
      <c r="AL45" s="23">
        <v>0</v>
      </c>
      <c r="AM45" s="20"/>
      <c r="AN45" s="14">
        <v>1.7000000000000001E-2</v>
      </c>
      <c r="AO45" s="20">
        <f t="shared" si="21"/>
        <v>27.200000000000003</v>
      </c>
      <c r="AP45" s="23">
        <f t="shared" si="22"/>
        <v>0.11700000000000001</v>
      </c>
      <c r="AQ45" s="20">
        <f t="shared" si="22"/>
        <v>187.2</v>
      </c>
      <c r="AR45" s="20"/>
      <c r="AS45" s="226"/>
      <c r="AT45" s="20"/>
      <c r="AU45" s="21"/>
      <c r="AV45" s="20"/>
      <c r="AW45" s="13"/>
      <c r="AX45" s="20">
        <f t="shared" si="18"/>
        <v>187.2</v>
      </c>
      <c r="AY45" s="503">
        <f t="shared" si="19"/>
        <v>1412.8</v>
      </c>
      <c r="AZ45" s="22">
        <v>0.09</v>
      </c>
      <c r="BA45" s="20">
        <f t="shared" si="23"/>
        <v>144</v>
      </c>
      <c r="BB45" s="20"/>
      <c r="BC45" s="335"/>
      <c r="BD45" s="476" t="s">
        <v>568</v>
      </c>
      <c r="BE45" s="206"/>
      <c r="BF45" s="1"/>
      <c r="BG45" s="12"/>
      <c r="BH45" s="12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</row>
    <row r="46" spans="1:160" s="6" customFormat="1" ht="15" customHeight="1">
      <c r="A46" s="1" t="s">
        <v>647</v>
      </c>
      <c r="B46" s="1"/>
      <c r="C46" s="15">
        <v>8</v>
      </c>
      <c r="D46" s="334" t="s">
        <v>677</v>
      </c>
      <c r="E46" s="16" t="s">
        <v>678</v>
      </c>
      <c r="F46" s="16" t="s">
        <v>679</v>
      </c>
      <c r="G46" s="16" t="s">
        <v>680</v>
      </c>
      <c r="H46" s="16" t="s">
        <v>71</v>
      </c>
      <c r="I46" t="s">
        <v>681</v>
      </c>
      <c r="J46" s="15"/>
      <c r="K46" s="39">
        <v>75467651</v>
      </c>
      <c r="L46" s="17">
        <v>45426</v>
      </c>
      <c r="M46" s="17">
        <v>38159</v>
      </c>
      <c r="N46" s="17"/>
      <c r="O46" s="6" t="s">
        <v>670</v>
      </c>
      <c r="P46" s="336" t="s">
        <v>44</v>
      </c>
      <c r="Q46" s="20">
        <v>1600</v>
      </c>
      <c r="R46" s="13"/>
      <c r="S46" s="269"/>
      <c r="T46" s="269"/>
      <c r="U46" s="20"/>
      <c r="V46" s="43"/>
      <c r="W46" s="20"/>
      <c r="X46" s="20"/>
      <c r="Y46" s="20"/>
      <c r="Z46" s="269"/>
      <c r="AA46" s="20"/>
      <c r="AB46" s="20"/>
      <c r="AC46" s="20"/>
      <c r="AD46" s="20"/>
      <c r="AE46" s="41"/>
      <c r="AF46" s="226">
        <f t="shared" si="16"/>
        <v>1600</v>
      </c>
      <c r="AG46" s="226">
        <f t="shared" si="17"/>
        <v>1600</v>
      </c>
      <c r="AH46" s="275"/>
      <c r="AI46" s="20"/>
      <c r="AJ46" s="23">
        <v>0.1</v>
      </c>
      <c r="AK46" s="20">
        <f t="shared" si="20"/>
        <v>160</v>
      </c>
      <c r="AL46" s="23">
        <v>0</v>
      </c>
      <c r="AM46" s="20"/>
      <c r="AN46" s="14">
        <v>1.7000000000000001E-2</v>
      </c>
      <c r="AO46" s="20">
        <f t="shared" si="21"/>
        <v>27.200000000000003</v>
      </c>
      <c r="AP46" s="23">
        <f t="shared" si="22"/>
        <v>0.11700000000000001</v>
      </c>
      <c r="AQ46" s="20">
        <f t="shared" si="22"/>
        <v>187.2</v>
      </c>
      <c r="AR46" s="20"/>
      <c r="AS46" s="226"/>
      <c r="AT46" s="20"/>
      <c r="AU46" s="21"/>
      <c r="AV46" s="20"/>
      <c r="AW46" s="13"/>
      <c r="AX46" s="20">
        <f t="shared" si="18"/>
        <v>187.2</v>
      </c>
      <c r="AY46" s="503">
        <f t="shared" si="19"/>
        <v>1412.8</v>
      </c>
      <c r="AZ46" s="22">
        <v>0.09</v>
      </c>
      <c r="BA46" s="20">
        <f t="shared" si="23"/>
        <v>144</v>
      </c>
      <c r="BB46" s="20"/>
      <c r="BC46" s="335"/>
      <c r="BD46" s="476" t="s">
        <v>568</v>
      </c>
      <c r="BE46" s="206"/>
      <c r="BF46" s="1"/>
      <c r="BG46" s="12"/>
      <c r="BH46" s="12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</row>
    <row r="47" spans="1:160" s="6" customFormat="1" ht="16.5" customHeight="1">
      <c r="A47" s="1" t="s">
        <v>647</v>
      </c>
      <c r="B47" s="1"/>
      <c r="C47" s="15">
        <v>9</v>
      </c>
      <c r="D47" s="334" t="s">
        <v>682</v>
      </c>
      <c r="E47" s="16" t="s">
        <v>683</v>
      </c>
      <c r="F47" s="16" t="s">
        <v>598</v>
      </c>
      <c r="G47" s="16" t="s">
        <v>599</v>
      </c>
      <c r="H47" s="16" t="s">
        <v>71</v>
      </c>
      <c r="I47" t="s">
        <v>684</v>
      </c>
      <c r="J47" s="15"/>
      <c r="K47" s="39">
        <v>72804045</v>
      </c>
      <c r="L47" s="17">
        <v>45426</v>
      </c>
      <c r="M47" s="17">
        <v>34047</v>
      </c>
      <c r="N47" s="17"/>
      <c r="O47" s="6" t="s">
        <v>670</v>
      </c>
      <c r="P47" s="336" t="s">
        <v>596</v>
      </c>
      <c r="Q47" s="20">
        <f>1200</f>
        <v>1200</v>
      </c>
      <c r="R47" s="13"/>
      <c r="S47" s="269"/>
      <c r="T47" s="269"/>
      <c r="U47" s="20"/>
      <c r="V47" s="43"/>
      <c r="W47" s="20"/>
      <c r="X47" s="20"/>
      <c r="Y47" s="20"/>
      <c r="Z47" s="269"/>
      <c r="AA47" s="20"/>
      <c r="AB47" s="20"/>
      <c r="AC47" s="20"/>
      <c r="AD47" s="20"/>
      <c r="AE47" s="41"/>
      <c r="AF47" s="226">
        <f t="shared" si="16"/>
        <v>1200</v>
      </c>
      <c r="AG47" s="226">
        <f t="shared" si="17"/>
        <v>1200</v>
      </c>
      <c r="AH47" s="275"/>
      <c r="AI47" s="20"/>
      <c r="AJ47" s="23">
        <v>0.1</v>
      </c>
      <c r="AK47" s="20">
        <f t="shared" si="20"/>
        <v>120</v>
      </c>
      <c r="AL47" s="23">
        <v>0</v>
      </c>
      <c r="AM47" s="20"/>
      <c r="AN47" s="14">
        <v>1.7000000000000001E-2</v>
      </c>
      <c r="AO47" s="20">
        <f t="shared" si="21"/>
        <v>20.400000000000002</v>
      </c>
      <c r="AP47" s="23">
        <f t="shared" si="22"/>
        <v>0.11700000000000001</v>
      </c>
      <c r="AQ47" s="20">
        <f t="shared" si="22"/>
        <v>140.4</v>
      </c>
      <c r="AR47" s="20"/>
      <c r="AS47" s="226"/>
      <c r="AT47" s="20"/>
      <c r="AU47" s="21"/>
      <c r="AV47" s="20"/>
      <c r="AW47" s="13"/>
      <c r="AX47" s="20">
        <f t="shared" si="18"/>
        <v>140.4</v>
      </c>
      <c r="AY47" s="503">
        <f t="shared" si="19"/>
        <v>1059.5999999999999</v>
      </c>
      <c r="AZ47" s="22">
        <v>0.09</v>
      </c>
      <c r="BA47" s="20">
        <f t="shared" si="23"/>
        <v>108</v>
      </c>
      <c r="BB47" s="20"/>
      <c r="BC47" s="335"/>
      <c r="BD47" s="476" t="s">
        <v>568</v>
      </c>
      <c r="BE47" s="206"/>
      <c r="BF47" s="1"/>
      <c r="BG47" s="12"/>
      <c r="BH47" s="12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</row>
    <row r="48" spans="1:160" s="6" customFormat="1" ht="16.5" customHeight="1">
      <c r="A48" s="1" t="s">
        <v>647</v>
      </c>
      <c r="B48" s="1"/>
      <c r="C48" s="15">
        <v>10</v>
      </c>
      <c r="D48" s="334" t="s">
        <v>685</v>
      </c>
      <c r="E48" s="16" t="s">
        <v>686</v>
      </c>
      <c r="F48" s="16" t="s">
        <v>687</v>
      </c>
      <c r="G48" s="16" t="s">
        <v>688</v>
      </c>
      <c r="H48" s="16" t="s">
        <v>71</v>
      </c>
      <c r="I48" t="s">
        <v>689</v>
      </c>
      <c r="J48" s="15"/>
      <c r="K48" s="39">
        <v>40897608</v>
      </c>
      <c r="L48" s="17">
        <v>45474</v>
      </c>
      <c r="M48" s="17">
        <v>29656</v>
      </c>
      <c r="N48" s="17"/>
      <c r="O48" s="6" t="s">
        <v>670</v>
      </c>
      <c r="P48" s="336" t="s">
        <v>601</v>
      </c>
      <c r="Q48" s="20">
        <v>1200</v>
      </c>
      <c r="R48" s="13"/>
      <c r="S48" s="269">
        <v>102.5</v>
      </c>
      <c r="T48" s="269"/>
      <c r="U48" s="20"/>
      <c r="V48" s="43"/>
      <c r="W48" s="20"/>
      <c r="X48" s="20"/>
      <c r="Y48" s="20"/>
      <c r="Z48" s="269"/>
      <c r="AA48" s="20"/>
      <c r="AB48" s="20"/>
      <c r="AC48" s="20"/>
      <c r="AD48" s="20"/>
      <c r="AE48" s="41"/>
      <c r="AF48" s="226">
        <f t="shared" si="16"/>
        <v>1302.5</v>
      </c>
      <c r="AG48" s="226">
        <f t="shared" si="17"/>
        <v>1302.5</v>
      </c>
      <c r="AH48" s="275"/>
      <c r="AI48" s="20"/>
      <c r="AJ48" s="23">
        <v>0.1</v>
      </c>
      <c r="AK48" s="20">
        <f t="shared" si="20"/>
        <v>130.25</v>
      </c>
      <c r="AL48" s="23">
        <v>0</v>
      </c>
      <c r="AM48" s="20"/>
      <c r="AN48" s="14">
        <v>1.7000000000000001E-2</v>
      </c>
      <c r="AO48" s="20">
        <f t="shared" si="21"/>
        <v>22.142500000000002</v>
      </c>
      <c r="AP48" s="23">
        <f t="shared" si="22"/>
        <v>0.11700000000000001</v>
      </c>
      <c r="AQ48" s="20">
        <f t="shared" si="22"/>
        <v>152.39250000000001</v>
      </c>
      <c r="AR48" s="20"/>
      <c r="AS48" s="226"/>
      <c r="AT48" s="20"/>
      <c r="AU48" s="21"/>
      <c r="AV48" s="20"/>
      <c r="AW48" s="13"/>
      <c r="AX48" s="20">
        <f t="shared" si="18"/>
        <v>152.39250000000001</v>
      </c>
      <c r="AY48" s="503">
        <f t="shared" si="19"/>
        <v>1150.1075000000001</v>
      </c>
      <c r="AZ48" s="22">
        <v>0.09</v>
      </c>
      <c r="BA48" s="20">
        <f>AG48*AZ48</f>
        <v>117.22499999999999</v>
      </c>
      <c r="BB48" s="20"/>
      <c r="BC48" s="335"/>
      <c r="BD48" s="476" t="s">
        <v>568</v>
      </c>
      <c r="BE48" s="206"/>
      <c r="BF48" s="1"/>
      <c r="BG48" s="12"/>
      <c r="BH48" s="12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</row>
    <row r="49" spans="1:160" s="6" customFormat="1" ht="14.25" customHeight="1" thickBot="1">
      <c r="A49" s="1" t="s">
        <v>690</v>
      </c>
      <c r="B49" s="1"/>
      <c r="C49" s="15">
        <v>11</v>
      </c>
      <c r="D49" s="334" t="s">
        <v>691</v>
      </c>
      <c r="E49" s="16" t="s">
        <v>692</v>
      </c>
      <c r="F49" s="16" t="s">
        <v>693</v>
      </c>
      <c r="G49" s="16" t="s">
        <v>694</v>
      </c>
      <c r="H49" s="16" t="s">
        <v>72</v>
      </c>
      <c r="I49" t="s">
        <v>695</v>
      </c>
      <c r="J49" s="15"/>
      <c r="K49" s="39">
        <v>48455935</v>
      </c>
      <c r="L49" s="17">
        <v>45342</v>
      </c>
      <c r="M49" s="17">
        <v>34313</v>
      </c>
      <c r="N49" s="17"/>
      <c r="O49" s="6" t="s">
        <v>690</v>
      </c>
      <c r="P49" s="336" t="s">
        <v>696</v>
      </c>
      <c r="Q49" s="20">
        <f>1800</f>
        <v>1800</v>
      </c>
      <c r="R49" s="13"/>
      <c r="S49" s="269"/>
      <c r="T49" s="269"/>
      <c r="U49" s="20"/>
      <c r="V49" s="43"/>
      <c r="W49" s="20"/>
      <c r="X49" s="20"/>
      <c r="Y49" s="20"/>
      <c r="Z49" s="269"/>
      <c r="AA49" s="20"/>
      <c r="AB49" s="20"/>
      <c r="AC49" s="20"/>
      <c r="AD49" s="20"/>
      <c r="AE49" s="41"/>
      <c r="AF49" s="226">
        <f t="shared" si="16"/>
        <v>1800</v>
      </c>
      <c r="AG49" s="226">
        <f t="shared" si="17"/>
        <v>1800</v>
      </c>
      <c r="AH49" s="275"/>
      <c r="AI49" s="20"/>
      <c r="AJ49" s="23">
        <v>0.1</v>
      </c>
      <c r="AK49" s="20">
        <f t="shared" si="20"/>
        <v>180</v>
      </c>
      <c r="AL49" s="23">
        <v>0</v>
      </c>
      <c r="AM49" s="20"/>
      <c r="AN49" s="23">
        <v>1.7000000000000001E-2</v>
      </c>
      <c r="AO49" s="20">
        <f t="shared" si="21"/>
        <v>30.6</v>
      </c>
      <c r="AP49" s="23">
        <f t="shared" si="22"/>
        <v>0.11700000000000001</v>
      </c>
      <c r="AQ49" s="20">
        <f t="shared" si="22"/>
        <v>210.6</v>
      </c>
      <c r="AR49" s="20"/>
      <c r="AS49" s="226"/>
      <c r="AT49" s="20"/>
      <c r="AU49" s="21"/>
      <c r="AV49" s="20"/>
      <c r="AW49" s="13"/>
      <c r="AX49" s="20">
        <f t="shared" si="18"/>
        <v>210.6</v>
      </c>
      <c r="AY49" s="503">
        <f t="shared" si="19"/>
        <v>1589.4</v>
      </c>
      <c r="AZ49" s="22">
        <v>0.09</v>
      </c>
      <c r="BA49" s="20">
        <f t="shared" si="23"/>
        <v>162</v>
      </c>
      <c r="BB49" s="20"/>
      <c r="BC49" s="337"/>
      <c r="BD49" s="476"/>
      <c r="BE49" s="206"/>
      <c r="BF49" s="1"/>
      <c r="BG49" s="12"/>
      <c r="BH49" s="12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</row>
    <row r="50" spans="1:160" s="6" customFormat="1" ht="14.25" customHeight="1" thickBot="1">
      <c r="A50" s="1" t="s">
        <v>690</v>
      </c>
      <c r="B50" s="1"/>
      <c r="C50" s="15">
        <v>11</v>
      </c>
      <c r="D50" s="334" t="s">
        <v>397</v>
      </c>
      <c r="E50" s="16" t="s">
        <v>697</v>
      </c>
      <c r="F50" s="16" t="s">
        <v>698</v>
      </c>
      <c r="G50" s="16"/>
      <c r="H50" s="16" t="s">
        <v>71</v>
      </c>
      <c r="I50" t="s">
        <v>699</v>
      </c>
      <c r="J50" s="15"/>
      <c r="K50" s="39">
        <v>77628743</v>
      </c>
      <c r="L50" s="17">
        <v>45484</v>
      </c>
      <c r="M50" s="17">
        <v>37084</v>
      </c>
      <c r="N50" s="17"/>
      <c r="O50" s="6" t="s">
        <v>690</v>
      </c>
      <c r="P50" s="336" t="s">
        <v>700</v>
      </c>
      <c r="Q50" s="20">
        <f>((1200/30)*5)</f>
        <v>200</v>
      </c>
      <c r="R50" s="13"/>
      <c r="S50" s="269"/>
      <c r="T50" s="269"/>
      <c r="U50" s="20"/>
      <c r="V50" s="43"/>
      <c r="W50" s="20"/>
      <c r="X50" s="20"/>
      <c r="Y50" s="20"/>
      <c r="Z50" s="269"/>
      <c r="AA50" s="20"/>
      <c r="AB50" s="20"/>
      <c r="AC50" s="20"/>
      <c r="AD50" s="20"/>
      <c r="AE50" s="41"/>
      <c r="AF50" s="226">
        <f t="shared" si="16"/>
        <v>200</v>
      </c>
      <c r="AG50" s="226">
        <f t="shared" si="17"/>
        <v>200</v>
      </c>
      <c r="AH50" s="275"/>
      <c r="AI50" s="20"/>
      <c r="AJ50" s="23">
        <v>0.1</v>
      </c>
      <c r="AK50" s="20">
        <f t="shared" si="20"/>
        <v>20</v>
      </c>
      <c r="AL50" s="23">
        <v>0</v>
      </c>
      <c r="AM50" s="20"/>
      <c r="AN50" s="23">
        <v>1.7000000000000001E-2</v>
      </c>
      <c r="AO50" s="20">
        <f t="shared" si="21"/>
        <v>3.4000000000000004</v>
      </c>
      <c r="AP50" s="23">
        <f t="shared" si="22"/>
        <v>0.11700000000000001</v>
      </c>
      <c r="AQ50" s="20">
        <f t="shared" si="22"/>
        <v>23.4</v>
      </c>
      <c r="AR50" s="20"/>
      <c r="AS50" s="226"/>
      <c r="AT50" s="20"/>
      <c r="AU50" s="21"/>
      <c r="AV50" s="20"/>
      <c r="AW50" s="13"/>
      <c r="AX50" s="20">
        <f t="shared" si="18"/>
        <v>23.4</v>
      </c>
      <c r="AY50" s="503">
        <f t="shared" si="19"/>
        <v>176.6</v>
      </c>
      <c r="AZ50" s="22">
        <v>0.09</v>
      </c>
      <c r="BA50" s="20">
        <f t="shared" si="23"/>
        <v>18</v>
      </c>
      <c r="BB50" s="20"/>
      <c r="BC50" s="337"/>
      <c r="BD50" s="476" t="s">
        <v>568</v>
      </c>
      <c r="BE50" s="206"/>
      <c r="BF50" s="1"/>
      <c r="BG50" s="12"/>
      <c r="BH50" s="12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</row>
    <row r="51" spans="1:160" s="8" customFormat="1" ht="14.25" customHeight="1">
      <c r="A51" s="368" t="s">
        <v>647</v>
      </c>
      <c r="B51" s="369"/>
      <c r="C51" s="370"/>
      <c r="D51" s="371"/>
      <c r="E51" s="371"/>
      <c r="F51" s="371"/>
      <c r="G51" s="371"/>
      <c r="H51" s="371"/>
      <c r="I51" s="372"/>
      <c r="J51" s="370"/>
      <c r="K51" s="373"/>
      <c r="L51" s="374"/>
      <c r="M51" s="374"/>
      <c r="N51" s="374"/>
      <c r="O51" s="375"/>
      <c r="P51" s="376"/>
      <c r="Q51" s="363">
        <f>SUM(Q43:Q49)</f>
        <v>9832</v>
      </c>
      <c r="R51" s="364"/>
      <c r="S51" s="364">
        <f t="shared" ref="S51:Z51" si="24">SUM(S43:S49)</f>
        <v>102.5</v>
      </c>
      <c r="T51" s="364">
        <f t="shared" si="24"/>
        <v>0</v>
      </c>
      <c r="U51" s="364">
        <f t="shared" si="24"/>
        <v>0</v>
      </c>
      <c r="V51" s="364">
        <f t="shared" si="24"/>
        <v>0</v>
      </c>
      <c r="W51" s="364">
        <f t="shared" si="24"/>
        <v>0</v>
      </c>
      <c r="X51" s="364">
        <f t="shared" si="24"/>
        <v>0</v>
      </c>
      <c r="Y51" s="364">
        <f t="shared" si="24"/>
        <v>0</v>
      </c>
      <c r="Z51" s="364">
        <f t="shared" si="24"/>
        <v>0</v>
      </c>
      <c r="AA51" s="364"/>
      <c r="AB51" s="364">
        <f>SUM(AB43:AB43)</f>
        <v>0</v>
      </c>
      <c r="AC51" s="364">
        <f>SUM(AC43:AC43)</f>
        <v>0</v>
      </c>
      <c r="AD51" s="364">
        <f>SUM(AD43:AD43)</f>
        <v>0</v>
      </c>
      <c r="AE51" s="364">
        <f>SUM(AE43:AE49)</f>
        <v>0</v>
      </c>
      <c r="AF51" s="364">
        <f>SUM(AF43:AF49)</f>
        <v>9934.5</v>
      </c>
      <c r="AG51" s="364">
        <f>SUM(AG43:AG49)</f>
        <v>9934.5</v>
      </c>
      <c r="AH51" s="365"/>
      <c r="AI51" s="364">
        <f>SUM(AI43:AI43)</f>
        <v>0</v>
      </c>
      <c r="AJ51" s="366"/>
      <c r="AK51" s="364">
        <f>SUM(AK43:AK49)</f>
        <v>910.25</v>
      </c>
      <c r="AL51" s="366"/>
      <c r="AM51" s="364">
        <f>SUM(AM43:AM49)</f>
        <v>0</v>
      </c>
      <c r="AN51" s="366"/>
      <c r="AO51" s="364">
        <f>SUM(AO43:AO49)</f>
        <v>154.74250000000001</v>
      </c>
      <c r="AP51" s="366"/>
      <c r="AQ51" s="364">
        <f>SUM(AQ43:AQ49)</f>
        <v>1064.9924999999998</v>
      </c>
      <c r="AR51" s="364"/>
      <c r="AS51" s="364">
        <f>SUM(AS43:AS49)</f>
        <v>0</v>
      </c>
      <c r="AT51" s="364">
        <f>SUM(AT43:AT49)</f>
        <v>0</v>
      </c>
      <c r="AU51" s="364">
        <f>SUM(AU43:AU49)</f>
        <v>0</v>
      </c>
      <c r="AV51" s="364"/>
      <c r="AW51" s="364">
        <f>SUM(AW43:AW49)</f>
        <v>0</v>
      </c>
      <c r="AX51" s="364">
        <f>SUM(AX43:AX49)</f>
        <v>1064.9924999999998</v>
      </c>
      <c r="AY51" s="364">
        <f>SUM(AY43:AY50)</f>
        <v>9046.1075000000001</v>
      </c>
      <c r="AZ51" s="365"/>
      <c r="BA51" s="377">
        <f>SUM(BA43:BC49)</f>
        <v>944.51499999999999</v>
      </c>
      <c r="BB51" s="266">
        <f>SUM(BB43:BB49)</f>
        <v>50.41</v>
      </c>
      <c r="BC51" s="299"/>
      <c r="BD51" s="476"/>
      <c r="BE51" s="206"/>
      <c r="BF51" s="3"/>
      <c r="BG51" s="5"/>
      <c r="BH51" s="5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</row>
    <row r="52" spans="1:160" s="6" customFormat="1" ht="14.25" customHeight="1" thickBot="1">
      <c r="A52" s="378"/>
      <c r="B52" s="379"/>
      <c r="C52" s="380"/>
      <c r="D52" s="381"/>
      <c r="E52" s="381"/>
      <c r="F52" s="381"/>
      <c r="G52" s="381"/>
      <c r="H52" s="381"/>
      <c r="I52" s="382"/>
      <c r="J52" s="380"/>
      <c r="K52" s="383"/>
      <c r="L52" s="384"/>
      <c r="M52" s="384"/>
      <c r="N52" s="384"/>
      <c r="O52" s="385"/>
      <c r="P52" s="386"/>
      <c r="Q52" s="387"/>
      <c r="R52" s="360"/>
      <c r="S52" s="360"/>
      <c r="T52" s="360"/>
      <c r="U52" s="360"/>
      <c r="V52" s="388"/>
      <c r="W52" s="360"/>
      <c r="X52" s="360"/>
      <c r="Y52" s="360"/>
      <c r="Z52" s="360"/>
      <c r="AA52" s="360"/>
      <c r="AB52" s="360"/>
      <c r="AC52" s="360"/>
      <c r="AD52" s="360"/>
      <c r="AE52" s="389"/>
      <c r="AF52" s="360"/>
      <c r="AG52" s="360"/>
      <c r="AH52" s="390"/>
      <c r="AI52" s="360"/>
      <c r="AJ52" s="391"/>
      <c r="AK52" s="360"/>
      <c r="AL52" s="391"/>
      <c r="AM52" s="360"/>
      <c r="AN52" s="391"/>
      <c r="AO52" s="360"/>
      <c r="AP52" s="391"/>
      <c r="AQ52" s="360"/>
      <c r="AR52" s="360"/>
      <c r="AS52" s="392"/>
      <c r="AT52" s="360"/>
      <c r="AU52" s="360"/>
      <c r="AV52" s="360"/>
      <c r="AW52" s="360"/>
      <c r="AX52" s="360"/>
      <c r="AY52" s="360"/>
      <c r="AZ52" s="390"/>
      <c r="BA52" s="393"/>
      <c r="BB52" s="367"/>
      <c r="BC52" s="300"/>
      <c r="BD52" s="476"/>
      <c r="BE52" s="206"/>
      <c r="BF52" s="1"/>
      <c r="BG52" s="12"/>
      <c r="BH52" s="1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</row>
    <row r="53" spans="1:160" s="6" customFormat="1" ht="14.25" customHeight="1" thickBot="1">
      <c r="A53" s="398" t="s">
        <v>647</v>
      </c>
      <c r="B53" s="399"/>
      <c r="C53" s="400"/>
      <c r="D53" s="401"/>
      <c r="E53" s="401"/>
      <c r="F53" s="401"/>
      <c r="G53" s="401"/>
      <c r="H53" s="401"/>
      <c r="I53" s="402"/>
      <c r="J53" s="400"/>
      <c r="K53" s="403"/>
      <c r="L53" s="404"/>
      <c r="M53" s="404"/>
      <c r="N53" s="404"/>
      <c r="O53" s="405"/>
      <c r="P53" s="406"/>
      <c r="Q53" s="395">
        <f>Q42+Q51</f>
        <v>15424</v>
      </c>
      <c r="R53" s="395"/>
      <c r="S53" s="395">
        <f t="shared" ref="S53:Z53" si="25">S42+S51</f>
        <v>102.5</v>
      </c>
      <c r="T53" s="395">
        <f t="shared" si="25"/>
        <v>0</v>
      </c>
      <c r="U53" s="395">
        <f t="shared" si="25"/>
        <v>0</v>
      </c>
      <c r="V53" s="395">
        <f t="shared" si="25"/>
        <v>0</v>
      </c>
      <c r="W53" s="395">
        <f t="shared" si="25"/>
        <v>0</v>
      </c>
      <c r="X53" s="395">
        <f t="shared" si="25"/>
        <v>0</v>
      </c>
      <c r="Y53" s="395">
        <f t="shared" si="25"/>
        <v>0</v>
      </c>
      <c r="Z53" s="395">
        <f t="shared" si="25"/>
        <v>0</v>
      </c>
      <c r="AA53" s="395"/>
      <c r="AB53" s="395">
        <f t="shared" ref="AB53:AG53" si="26">AB42+AB51</f>
        <v>0</v>
      </c>
      <c r="AC53" s="395">
        <f t="shared" si="26"/>
        <v>0</v>
      </c>
      <c r="AD53" s="395">
        <f t="shared" si="26"/>
        <v>0</v>
      </c>
      <c r="AE53" s="395">
        <f t="shared" si="26"/>
        <v>0</v>
      </c>
      <c r="AF53" s="395">
        <f t="shared" si="26"/>
        <v>15526.5</v>
      </c>
      <c r="AG53" s="395">
        <f t="shared" si="26"/>
        <v>15526.5</v>
      </c>
      <c r="AH53" s="395"/>
      <c r="AI53" s="395">
        <f>AI42+AI51</f>
        <v>0</v>
      </c>
      <c r="AJ53" s="395"/>
      <c r="AK53" s="395">
        <f>AK42+AK51</f>
        <v>1469.45</v>
      </c>
      <c r="AL53" s="395"/>
      <c r="AM53" s="395">
        <f>AM42+AM51</f>
        <v>40.672000000000004</v>
      </c>
      <c r="AN53" s="395"/>
      <c r="AO53" s="395">
        <f>AO42+AO51</f>
        <v>249.80650000000003</v>
      </c>
      <c r="AP53" s="395"/>
      <c r="AQ53" s="395">
        <f>AQ42+AQ51</f>
        <v>1759.9284999999998</v>
      </c>
      <c r="AR53" s="395">
        <f>AR42+AR51</f>
        <v>0</v>
      </c>
      <c r="AS53" s="396">
        <f>AS42+AS51</f>
        <v>0</v>
      </c>
      <c r="AT53" s="395">
        <f>AT42+AT51</f>
        <v>0</v>
      </c>
      <c r="AU53" s="395">
        <f>AU42+AU51</f>
        <v>0</v>
      </c>
      <c r="AV53" s="395"/>
      <c r="AW53" s="395">
        <f>AW42+AW51</f>
        <v>0</v>
      </c>
      <c r="AX53" s="395">
        <f>AX42+AX51</f>
        <v>1759.9284999999998</v>
      </c>
      <c r="AY53" s="395">
        <f>AY42+AY51</f>
        <v>13943.1715</v>
      </c>
      <c r="AZ53" s="395"/>
      <c r="BA53" s="397">
        <f>BA42+BA51</f>
        <v>1450.675</v>
      </c>
      <c r="BB53" s="394">
        <f>+BB42+BB51</f>
        <v>53.29</v>
      </c>
      <c r="BC53" s="60"/>
      <c r="BD53" s="476"/>
      <c r="BE53" s="206"/>
      <c r="BG53" s="12"/>
      <c r="BH53" s="12"/>
    </row>
    <row r="54" spans="1:160" s="6" customFormat="1" ht="14.25" customHeight="1">
      <c r="A54" s="1"/>
      <c r="B54" s="1"/>
      <c r="C54" s="15"/>
      <c r="D54" s="16"/>
      <c r="E54" s="16"/>
      <c r="F54" s="16"/>
      <c r="G54" s="16"/>
      <c r="H54" s="16"/>
      <c r="I54" s="245"/>
      <c r="J54" s="15"/>
      <c r="K54" s="39"/>
      <c r="L54" s="17"/>
      <c r="M54" s="17"/>
      <c r="N54" s="17"/>
      <c r="O54" s="18"/>
      <c r="P54" s="19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229"/>
      <c r="AT54" s="9"/>
      <c r="AU54" s="47"/>
      <c r="AV54" s="9"/>
      <c r="AW54" s="9"/>
      <c r="AX54" s="47"/>
      <c r="AY54" s="516"/>
      <c r="AZ54" s="47"/>
      <c r="BA54" s="47"/>
      <c r="BB54" s="47"/>
      <c r="BC54" s="47"/>
      <c r="BD54" s="472"/>
      <c r="BE54" s="206"/>
      <c r="BG54" s="12"/>
      <c r="BH54" s="12"/>
    </row>
    <row r="55" spans="1:160" s="6" customFormat="1" ht="14.25" customHeight="1">
      <c r="A55" s="1"/>
      <c r="B55" s="1"/>
      <c r="C55" s="15"/>
      <c r="D55" s="16"/>
      <c r="E55" s="16"/>
      <c r="F55" s="16"/>
      <c r="G55" s="16"/>
      <c r="H55" s="16"/>
      <c r="I55" s="245"/>
      <c r="J55" s="15"/>
      <c r="K55" s="39"/>
      <c r="L55" s="17"/>
      <c r="M55" s="17"/>
      <c r="N55" s="17"/>
      <c r="O55" s="18"/>
      <c r="P55" s="19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2"/>
      <c r="AI55" s="20"/>
      <c r="AJ55" s="23"/>
      <c r="AK55" s="20"/>
      <c r="AL55" s="23"/>
      <c r="AM55" s="20"/>
      <c r="AN55" s="23"/>
      <c r="AO55" s="20"/>
      <c r="AP55" s="23"/>
      <c r="AQ55" s="20"/>
      <c r="AR55" s="20"/>
      <c r="AS55" s="226"/>
      <c r="AT55" s="20"/>
      <c r="AU55" s="20"/>
      <c r="AV55" s="20"/>
      <c r="AW55" s="20"/>
      <c r="AX55" s="20"/>
      <c r="AY55" s="503"/>
      <c r="AZ55" s="22"/>
      <c r="BA55" s="20"/>
      <c r="BB55" s="20"/>
      <c r="BC55" s="24"/>
      <c r="BD55" s="472"/>
      <c r="BE55" s="206"/>
      <c r="BG55" s="12"/>
      <c r="BH55" s="12"/>
    </row>
    <row r="56" spans="1:160" s="6" customFormat="1" ht="14.25" customHeight="1">
      <c r="A56" s="1" t="s">
        <v>701</v>
      </c>
      <c r="B56" s="1"/>
      <c r="C56" s="15">
        <v>1</v>
      </c>
      <c r="D56" s="16" t="s">
        <v>702</v>
      </c>
      <c r="E56" s="16" t="s">
        <v>703</v>
      </c>
      <c r="F56" s="16" t="s">
        <v>704</v>
      </c>
      <c r="G56" s="16"/>
      <c r="H56" s="16" t="s">
        <v>70</v>
      </c>
      <c r="I56" s="245" t="s">
        <v>705</v>
      </c>
      <c r="J56" s="15"/>
      <c r="K56" s="39">
        <v>40961414</v>
      </c>
      <c r="L56" s="17">
        <v>44902</v>
      </c>
      <c r="M56" s="17">
        <v>28713</v>
      </c>
      <c r="N56" s="17"/>
      <c r="O56" s="18" t="s">
        <v>706</v>
      </c>
      <c r="P56" s="18" t="s">
        <v>707</v>
      </c>
      <c r="Q56" s="44">
        <v>2250.17</v>
      </c>
      <c r="R56" s="44"/>
      <c r="S56" s="44">
        <v>102.5</v>
      </c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>
        <f>SUM(Q56:AD56)-AE56</f>
        <v>2352.67</v>
      </c>
      <c r="AG56" s="44">
        <f>+Q56+S56+T56+U56+V56+X56-AE56</f>
        <v>2352.67</v>
      </c>
      <c r="AH56" s="44"/>
      <c r="AI56" s="44"/>
      <c r="AJ56" s="46">
        <v>0.1</v>
      </c>
      <c r="AK56" s="44">
        <f>+AG56*AJ56</f>
        <v>235.26700000000002</v>
      </c>
      <c r="AL56" s="46">
        <v>0</v>
      </c>
      <c r="AM56" s="44"/>
      <c r="AN56" s="46">
        <v>1.7000000000000001E-2</v>
      </c>
      <c r="AO56" s="44">
        <f>+AG56*AN56</f>
        <v>39.995390000000008</v>
      </c>
      <c r="AP56" s="46">
        <f>+AJ56+AL56+AN56</f>
        <v>0.11700000000000001</v>
      </c>
      <c r="AQ56" s="44">
        <f>+AK56+AM56+AO56</f>
        <v>275.26239000000004</v>
      </c>
      <c r="AR56" s="44"/>
      <c r="AS56" s="277"/>
      <c r="AT56" s="50"/>
      <c r="AU56" s="48">
        <v>250</v>
      </c>
      <c r="AV56" s="51"/>
      <c r="AW56" s="51"/>
      <c r="AX56" s="44">
        <f>+AI56+AQ56+AR56+AS56+AT56+AU56+AW56</f>
        <v>525.2623900000001</v>
      </c>
      <c r="AY56" s="517">
        <f>(+AF56-AX56)</f>
        <v>1827.40761</v>
      </c>
      <c r="AZ56" s="45">
        <v>0.09</v>
      </c>
      <c r="BA56" s="44">
        <f>+AG56*AZ56</f>
        <v>211.74029999999999</v>
      </c>
      <c r="BB56" s="20">
        <v>8.3000000000000007</v>
      </c>
      <c r="BC56" s="24"/>
      <c r="BD56" s="476" t="s">
        <v>568</v>
      </c>
      <c r="BE56" s="206"/>
      <c r="BG56" s="12"/>
      <c r="BH56" s="12"/>
    </row>
    <row r="57" spans="1:160" s="6" customFormat="1" ht="14.25" customHeight="1" thickBot="1">
      <c r="A57" s="1"/>
      <c r="B57" s="1"/>
      <c r="C57" s="15"/>
      <c r="D57" s="16"/>
      <c r="E57" s="16"/>
      <c r="F57" s="16"/>
      <c r="G57" s="16"/>
      <c r="H57" s="16"/>
      <c r="I57" s="245"/>
      <c r="J57" s="15"/>
      <c r="K57" s="39"/>
      <c r="L57" s="17"/>
      <c r="M57" s="17"/>
      <c r="N57" s="17"/>
      <c r="O57" s="18"/>
      <c r="P57" s="19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3"/>
      <c r="AK57" s="20"/>
      <c r="AL57" s="23"/>
      <c r="AM57" s="20"/>
      <c r="AN57" s="23"/>
      <c r="AO57" s="20"/>
      <c r="AP57" s="23"/>
      <c r="AQ57" s="20"/>
      <c r="AR57" s="20"/>
      <c r="AS57" s="226"/>
      <c r="AT57" s="269"/>
      <c r="AU57" s="20"/>
      <c r="AV57" s="270"/>
      <c r="AW57" s="270"/>
      <c r="AX57" s="20"/>
      <c r="AY57" s="503"/>
      <c r="AZ57" s="22"/>
      <c r="BA57" s="20"/>
      <c r="BB57" s="20"/>
      <c r="BC57" s="24"/>
      <c r="BD57" s="472"/>
      <c r="BE57" s="206"/>
      <c r="BG57" s="12"/>
      <c r="BH57" s="12"/>
    </row>
    <row r="58" spans="1:160" s="6" customFormat="1" ht="14.25" customHeight="1" thickBot="1">
      <c r="A58" s="349"/>
      <c r="B58" s="340"/>
      <c r="C58" s="341"/>
      <c r="D58" s="342"/>
      <c r="E58" s="342"/>
      <c r="F58" s="342"/>
      <c r="G58" s="342"/>
      <c r="H58" s="342"/>
      <c r="I58" s="407"/>
      <c r="J58" s="341"/>
      <c r="K58" s="352"/>
      <c r="L58" s="345"/>
      <c r="M58" s="345"/>
      <c r="N58" s="345"/>
      <c r="O58" s="350"/>
      <c r="P58" s="362"/>
      <c r="Q58" s="354">
        <f>SUM(Q55:Q56)</f>
        <v>2250.17</v>
      </c>
      <c r="R58" s="347"/>
      <c r="S58" s="347">
        <f>SUM(S55:S56)</f>
        <v>102.5</v>
      </c>
      <c r="T58" s="347">
        <f t="shared" ref="T58:Z58" si="27">SUM(T55:T56)</f>
        <v>0</v>
      </c>
      <c r="U58" s="347">
        <f t="shared" si="27"/>
        <v>0</v>
      </c>
      <c r="V58" s="347">
        <f t="shared" si="27"/>
        <v>0</v>
      </c>
      <c r="W58" s="347">
        <f t="shared" si="27"/>
        <v>0</v>
      </c>
      <c r="X58" s="347">
        <f t="shared" si="27"/>
        <v>0</v>
      </c>
      <c r="Y58" s="347">
        <f t="shared" si="27"/>
        <v>0</v>
      </c>
      <c r="Z58" s="347">
        <f t="shared" si="27"/>
        <v>0</v>
      </c>
      <c r="AA58" s="347"/>
      <c r="AB58" s="347">
        <f t="shared" ref="AB58:AG58" si="28">SUM(AB55:AB56)</f>
        <v>0</v>
      </c>
      <c r="AC58" s="347">
        <f t="shared" si="28"/>
        <v>0</v>
      </c>
      <c r="AD58" s="347">
        <f t="shared" si="28"/>
        <v>0</v>
      </c>
      <c r="AE58" s="347">
        <f t="shared" si="28"/>
        <v>0</v>
      </c>
      <c r="AF58" s="347">
        <f>SUM(AF55:AF56)</f>
        <v>2352.67</v>
      </c>
      <c r="AG58" s="347">
        <f t="shared" si="28"/>
        <v>2352.67</v>
      </c>
      <c r="AH58" s="408"/>
      <c r="AI58" s="347"/>
      <c r="AJ58" s="358"/>
      <c r="AK58" s="347">
        <f>SUM(AK55:AK56)</f>
        <v>235.26700000000002</v>
      </c>
      <c r="AL58" s="358"/>
      <c r="AM58" s="347">
        <f>SUM(AM55:AM56)</f>
        <v>0</v>
      </c>
      <c r="AN58" s="358"/>
      <c r="AO58" s="347">
        <f>SUM(AO55:AO56)</f>
        <v>39.995390000000008</v>
      </c>
      <c r="AP58" s="358"/>
      <c r="AQ58" s="347">
        <f>SUM(AQ55:AQ56)</f>
        <v>275.26239000000004</v>
      </c>
      <c r="AR58" s="347"/>
      <c r="AS58" s="359">
        <f>SUM(AS55:AS56)</f>
        <v>0</v>
      </c>
      <c r="AT58" s="347">
        <f>SUM(AT55:AT56)</f>
        <v>0</v>
      </c>
      <c r="AU58" s="347">
        <f>SUM(AU56:AU57)</f>
        <v>250</v>
      </c>
      <c r="AV58" s="347"/>
      <c r="AW58" s="347"/>
      <c r="AX58" s="347">
        <f>SUM(AX54:AX57)</f>
        <v>525.2623900000001</v>
      </c>
      <c r="AY58" s="347">
        <f>SUM(AY54:AY57)</f>
        <v>1827.40761</v>
      </c>
      <c r="AZ58" s="408"/>
      <c r="BA58" s="348">
        <f>SUM(BA54:BA57)</f>
        <v>211.74029999999999</v>
      </c>
      <c r="BB58" s="265">
        <f>SUM(BB54:BB57)</f>
        <v>8.3000000000000007</v>
      </c>
      <c r="BC58" s="301"/>
      <c r="BD58" s="472"/>
      <c r="BE58" s="206"/>
      <c r="BG58" s="12"/>
      <c r="BH58" s="12"/>
    </row>
    <row r="59" spans="1:160" s="6" customFormat="1" ht="14.25" customHeight="1" thickBot="1">
      <c r="A59" s="1"/>
      <c r="B59" s="1"/>
      <c r="C59" s="52"/>
      <c r="D59" s="53"/>
      <c r="E59" s="53"/>
      <c r="F59" s="53"/>
      <c r="G59" s="53"/>
      <c r="H59" s="53"/>
      <c r="I59" s="278"/>
      <c r="J59" s="52"/>
      <c r="K59" s="54"/>
      <c r="L59" s="55"/>
      <c r="M59" s="55"/>
      <c r="N59" s="55"/>
      <c r="O59" s="56"/>
      <c r="P59" s="19"/>
      <c r="Q59" s="20"/>
      <c r="R59" s="20"/>
      <c r="S59" s="20"/>
      <c r="T59" s="20"/>
      <c r="U59" s="20"/>
      <c r="V59" s="21"/>
      <c r="W59" s="20"/>
      <c r="X59" s="20"/>
      <c r="Y59" s="20"/>
      <c r="Z59" s="20"/>
      <c r="AA59" s="20"/>
      <c r="AB59" s="20"/>
      <c r="AC59" s="20"/>
      <c r="AD59" s="20"/>
      <c r="AE59" s="41"/>
      <c r="AF59" s="20"/>
      <c r="AG59" s="20"/>
      <c r="AH59" s="22"/>
      <c r="AI59" s="20"/>
      <c r="AJ59" s="23"/>
      <c r="AK59" s="20"/>
      <c r="AL59" s="23"/>
      <c r="AM59" s="20"/>
      <c r="AN59" s="23"/>
      <c r="AO59" s="20"/>
      <c r="AP59" s="23"/>
      <c r="AQ59" s="20"/>
      <c r="AR59" s="20"/>
      <c r="AS59" s="226"/>
      <c r="AT59" s="269"/>
      <c r="AU59" s="13"/>
      <c r="AV59" s="13"/>
      <c r="AW59" s="13"/>
      <c r="AX59" s="416"/>
      <c r="AY59" s="518"/>
      <c r="AZ59" s="415"/>
      <c r="BA59" s="303"/>
      <c r="BB59" s="20"/>
      <c r="BC59" s="24"/>
      <c r="BD59" s="472"/>
      <c r="BE59" s="206"/>
      <c r="BG59" s="12"/>
      <c r="BH59" s="12"/>
    </row>
    <row r="60" spans="1:160" s="6" customFormat="1" ht="15" customHeight="1" thickBot="1">
      <c r="A60" s="1"/>
      <c r="B60" s="1"/>
      <c r="C60" s="1"/>
      <c r="I60" s="239"/>
      <c r="J60" s="1"/>
      <c r="K60" s="234"/>
      <c r="L60" s="202"/>
      <c r="M60" s="202"/>
      <c r="N60" s="202"/>
      <c r="O60" s="203"/>
      <c r="P60" s="1581" t="s">
        <v>291</v>
      </c>
      <c r="Q60" s="270"/>
      <c r="R60" s="20"/>
      <c r="S60" s="20"/>
      <c r="T60" s="20"/>
      <c r="U60" s="20"/>
      <c r="V60" s="21"/>
      <c r="W60" s="20"/>
      <c r="X60" s="20"/>
      <c r="Y60" s="20"/>
      <c r="Z60" s="20"/>
      <c r="AA60" s="20"/>
      <c r="AB60" s="20"/>
      <c r="AC60" s="20"/>
      <c r="AD60" s="20"/>
      <c r="AE60" s="41"/>
      <c r="AF60" s="20"/>
      <c r="AG60" s="20"/>
      <c r="AH60" s="22"/>
      <c r="AI60" s="20"/>
      <c r="AJ60" s="23"/>
      <c r="AK60" s="20"/>
      <c r="AL60" s="23"/>
      <c r="AM60" s="20"/>
      <c r="AN60" s="23"/>
      <c r="AO60" s="20"/>
      <c r="AP60" s="23"/>
      <c r="AQ60" s="20"/>
      <c r="AR60" s="20"/>
      <c r="AS60" s="226"/>
      <c r="AT60" s="20"/>
      <c r="AU60" s="44"/>
      <c r="AV60" s="44"/>
      <c r="AW60" s="44"/>
      <c r="AX60" s="44"/>
      <c r="AY60" s="517"/>
      <c r="AZ60" s="45"/>
      <c r="BA60" s="44"/>
      <c r="BB60" s="20"/>
      <c r="BC60" s="24"/>
      <c r="BD60" s="472"/>
      <c r="BE60" s="206"/>
      <c r="BG60" s="12"/>
      <c r="BH60" s="12"/>
    </row>
    <row r="61" spans="1:160" s="8" customFormat="1" ht="16.5" thickBot="1">
      <c r="A61" s="3"/>
      <c r="B61" s="3"/>
      <c r="I61" s="240"/>
      <c r="J61" s="3"/>
      <c r="K61" s="3"/>
      <c r="L61" s="3"/>
      <c r="M61" s="3"/>
      <c r="N61" s="3"/>
      <c r="O61" s="5"/>
      <c r="P61" s="1582"/>
      <c r="Q61" s="410">
        <f>Q21+Q33+Q38+Q53+Q58</f>
        <v>49700.75</v>
      </c>
      <c r="R61" s="411"/>
      <c r="S61" s="411">
        <f t="shared" ref="S61:Z61" si="29">S21+S33+S38+S53+S58</f>
        <v>717.5</v>
      </c>
      <c r="T61" s="411">
        <f t="shared" si="29"/>
        <v>0</v>
      </c>
      <c r="U61" s="411">
        <f t="shared" si="29"/>
        <v>0</v>
      </c>
      <c r="V61" s="411">
        <f t="shared" si="29"/>
        <v>0</v>
      </c>
      <c r="W61" s="411">
        <f t="shared" si="29"/>
        <v>0</v>
      </c>
      <c r="X61" s="411">
        <f t="shared" si="29"/>
        <v>0</v>
      </c>
      <c r="Y61" s="411">
        <f t="shared" si="29"/>
        <v>0</v>
      </c>
      <c r="Z61" s="411">
        <f t="shared" si="29"/>
        <v>0</v>
      </c>
      <c r="AA61" s="411"/>
      <c r="AB61" s="411">
        <f t="shared" ref="AB61:AG61" si="30">AB21+AB33+AB38+AB53+AB58</f>
        <v>0</v>
      </c>
      <c r="AC61" s="411">
        <f t="shared" si="30"/>
        <v>0</v>
      </c>
      <c r="AD61" s="411">
        <f t="shared" si="30"/>
        <v>0</v>
      </c>
      <c r="AE61" s="411">
        <f t="shared" si="30"/>
        <v>83.33</v>
      </c>
      <c r="AF61" s="411">
        <f t="shared" si="30"/>
        <v>50334.92</v>
      </c>
      <c r="AG61" s="411">
        <f t="shared" si="30"/>
        <v>50334.92</v>
      </c>
      <c r="AH61" s="411"/>
      <c r="AI61" s="411">
        <f>AI21+AI33+AI38+AI53+AI58</f>
        <v>1451.2654000000002</v>
      </c>
      <c r="AJ61" s="411"/>
      <c r="AK61" s="411">
        <f>AK21+AK33+AK38+AK53+AK58</f>
        <v>3675.4669999999996</v>
      </c>
      <c r="AL61" s="411"/>
      <c r="AM61" s="411">
        <f>AM21+AM33+AM38+AM53+AM58</f>
        <v>121.31200000000001</v>
      </c>
      <c r="AN61" s="411"/>
      <c r="AO61" s="411">
        <f>AO21+AO33+AO38+AO53+AO58</f>
        <v>624.8293900000001</v>
      </c>
      <c r="AP61" s="411"/>
      <c r="AQ61" s="411">
        <f t="shared" ref="AQ61:AY61" si="31">AQ21+AQ33+AQ38+AQ53+AQ58</f>
        <v>4421.6083899999994</v>
      </c>
      <c r="AR61" s="411">
        <f t="shared" si="31"/>
        <v>213.47</v>
      </c>
      <c r="AS61" s="412">
        <f t="shared" si="31"/>
        <v>0</v>
      </c>
      <c r="AT61" s="411">
        <f t="shared" si="31"/>
        <v>0</v>
      </c>
      <c r="AU61" s="413">
        <f t="shared" si="31"/>
        <v>800</v>
      </c>
      <c r="AV61" s="413">
        <f t="shared" si="31"/>
        <v>1124.3</v>
      </c>
      <c r="AW61" s="413">
        <f t="shared" si="31"/>
        <v>0</v>
      </c>
      <c r="AX61" s="413">
        <f t="shared" si="31"/>
        <v>8010.6437900000001</v>
      </c>
      <c r="AY61" s="413">
        <f t="shared" si="31"/>
        <v>42500.876210000009</v>
      </c>
      <c r="AZ61" s="413"/>
      <c r="BA61" s="414">
        <f>BA21+BA33+BA38+BA53+BA58</f>
        <v>4583.4328000000005</v>
      </c>
      <c r="BB61" s="409">
        <f>+BB21+BB33+BB53+BB58+BB38</f>
        <v>201.28</v>
      </c>
      <c r="BC61" s="57"/>
      <c r="BD61" s="472"/>
      <c r="BE61" s="206"/>
      <c r="BG61" s="5"/>
      <c r="BH61" s="5"/>
    </row>
    <row r="62" spans="1:160" s="8" customFormat="1" ht="28.15" customHeight="1">
      <c r="A62" s="3"/>
      <c r="B62" s="3"/>
      <c r="I62" s="240"/>
      <c r="J62" s="3"/>
      <c r="K62" s="3"/>
      <c r="L62" s="3"/>
      <c r="M62" s="3"/>
      <c r="N62" s="3"/>
      <c r="O62" s="5"/>
      <c r="P62" s="3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207"/>
      <c r="AT62" s="9"/>
      <c r="AU62" s="9"/>
      <c r="AV62" s="9"/>
      <c r="AW62" s="285"/>
      <c r="AX62" s="285"/>
      <c r="AY62" s="285"/>
      <c r="AZ62" s="285"/>
      <c r="BA62" s="9"/>
      <c r="BB62" s="9"/>
      <c r="BC62" s="235"/>
      <c r="BD62" s="419"/>
      <c r="BG62" s="5"/>
      <c r="BH62" s="5"/>
    </row>
    <row r="63" spans="1:160" s="6" customFormat="1" ht="25.9" customHeight="1">
      <c r="A63" s="1"/>
      <c r="B63" s="1"/>
      <c r="C63"/>
      <c r="D63" s="288" t="s">
        <v>545</v>
      </c>
      <c r="E63" s="288" t="s">
        <v>708</v>
      </c>
      <c r="F63"/>
      <c r="G63"/>
      <c r="H63"/>
      <c r="I63" s="139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 s="13"/>
      <c r="AG63" s="14"/>
      <c r="AH63" s="13"/>
      <c r="AI63" s="58" t="s">
        <v>288</v>
      </c>
      <c r="AJ63" s="58" t="s">
        <v>289</v>
      </c>
      <c r="AK63" s="58" t="s">
        <v>11</v>
      </c>
      <c r="AL63" s="58" t="s">
        <v>177</v>
      </c>
      <c r="AM63" s="58" t="s">
        <v>132</v>
      </c>
      <c r="AN63" s="58" t="s">
        <v>72</v>
      </c>
      <c r="AO63" s="58" t="s">
        <v>290</v>
      </c>
      <c r="AP63" s="58" t="s">
        <v>291</v>
      </c>
      <c r="AQ63" s="13"/>
      <c r="AR63" s="208"/>
      <c r="AS63" s="13"/>
      <c r="AT63" s="13"/>
      <c r="AU63" s="13"/>
      <c r="AV63" s="13"/>
      <c r="AW63" s="286"/>
      <c r="AX63" s="286"/>
      <c r="AY63" s="285">
        <f>AY61</f>
        <v>42500.876210000009</v>
      </c>
      <c r="AZ63" s="286"/>
      <c r="BA63" s="13"/>
      <c r="BB63" s="40"/>
      <c r="BC63" s="40"/>
      <c r="BD63" s="12"/>
      <c r="BG63" s="12"/>
      <c r="BH63" s="12"/>
    </row>
    <row r="64" spans="1:160" s="6" customFormat="1" ht="14.25" customHeight="1">
      <c r="A64" s="1"/>
      <c r="B64" s="1"/>
      <c r="C64"/>
      <c r="D64" s="158" t="s">
        <v>709</v>
      </c>
      <c r="E64" s="519">
        <f>+AY42+AY51-AY49</f>
        <v>12353.771500000001</v>
      </c>
      <c r="F64"/>
      <c r="G64"/>
      <c r="H64"/>
      <c r="I64" s="139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I64" s="532" t="s">
        <v>289</v>
      </c>
      <c r="AJ64" s="59">
        <f>+AI61</f>
        <v>1451.2654000000002</v>
      </c>
      <c r="AK64" s="59"/>
      <c r="AL64" s="59"/>
      <c r="AM64" s="59"/>
      <c r="AN64" s="59"/>
      <c r="AO64" s="59"/>
      <c r="AP64" s="533">
        <f t="shared" ref="AP64:AP69" si="32">SUM(AJ64:AO64)</f>
        <v>1451.2654000000002</v>
      </c>
      <c r="AR64" s="232"/>
      <c r="AW64" s="284"/>
      <c r="AX64" s="284"/>
      <c r="AY64" s="284"/>
      <c r="AZ64" s="284"/>
      <c r="BB64" s="40"/>
      <c r="BC64" s="40"/>
      <c r="BD64" s="12"/>
      <c r="BG64" s="12"/>
      <c r="BH64" s="12"/>
    </row>
    <row r="65" spans="1:60" s="6" customFormat="1" ht="14.25" customHeight="1">
      <c r="A65" s="1"/>
      <c r="B65" s="1"/>
      <c r="C65"/>
      <c r="D65" s="158" t="s">
        <v>690</v>
      </c>
      <c r="E65" s="519">
        <f>+AY49</f>
        <v>1589.4</v>
      </c>
      <c r="F65"/>
      <c r="G65"/>
      <c r="H65"/>
      <c r="I65" s="139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I65" s="534" t="s">
        <v>11</v>
      </c>
      <c r="AJ65" s="20"/>
      <c r="AK65" s="20">
        <f>+BA61</f>
        <v>4583.4328000000005</v>
      </c>
      <c r="AL65" s="20"/>
      <c r="AM65" s="20"/>
      <c r="AN65" s="20"/>
      <c r="AO65" s="20"/>
      <c r="AP65" s="47">
        <f t="shared" si="32"/>
        <v>4583.4328000000005</v>
      </c>
      <c r="AR65" s="232"/>
      <c r="AW65" s="284"/>
      <c r="AX65" s="284"/>
      <c r="AY65" s="284"/>
      <c r="AZ65" s="284"/>
      <c r="BB65" s="40"/>
      <c r="BC65" s="40"/>
      <c r="BD65" s="12"/>
      <c r="BG65" s="12"/>
      <c r="BH65" s="12"/>
    </row>
    <row r="66" spans="1:60" ht="14.25" customHeight="1">
      <c r="D66" s="158" t="s">
        <v>710</v>
      </c>
      <c r="E66" s="519">
        <f>+AY35+AY36+AY56</f>
        <v>4932.3550100000002</v>
      </c>
      <c r="AI66" s="535" t="s">
        <v>70</v>
      </c>
      <c r="AJ66" s="20"/>
      <c r="AK66" s="20"/>
      <c r="AL66" s="20" t="e">
        <f>+#REF!+AK56+AK40+AK17</f>
        <v>#REF!</v>
      </c>
      <c r="AM66" s="20" t="e">
        <f>+#REF!+AM56</f>
        <v>#REF!</v>
      </c>
      <c r="AN66" s="20" t="e">
        <f>+#REF!+AO56+AO40+AO17</f>
        <v>#REF!</v>
      </c>
      <c r="AO66" s="20"/>
      <c r="AP66" s="47" t="e">
        <f>SUM(AJ66:AO66)</f>
        <v>#REF!</v>
      </c>
      <c r="AR66" s="236"/>
      <c r="AS66"/>
      <c r="AW66" s="287"/>
      <c r="AX66" s="287"/>
      <c r="AY66" s="287"/>
      <c r="AZ66" s="287"/>
    </row>
    <row r="67" spans="1:60" ht="14.25" customHeight="1">
      <c r="D67" s="158" t="s">
        <v>711</v>
      </c>
      <c r="E67" s="263">
        <f>+AY21</f>
        <v>8902.6375000000007</v>
      </c>
      <c r="AI67" s="535" t="s">
        <v>71</v>
      </c>
      <c r="AJ67" s="20"/>
      <c r="AK67" s="20"/>
      <c r="AL67" s="20" t="e">
        <f>+AK47+AK46+AK45+AK44+AK41+#REF!+AK31+AK30+AK29+AK28+#REF!+AK25+AK24+#REF!+AK19+AK18+AK16+#REF!+AK15+AK13+AK12+#REF!</f>
        <v>#REF!</v>
      </c>
      <c r="AM67" s="20">
        <f>+AM24+AM13+AM12</f>
        <v>31</v>
      </c>
      <c r="AN67" s="20" t="e">
        <f>+AO47+AO46+AO45+AO44+#REF!+AO41+#REF!+AO31+AO30+AO29+AO28+#REF!+AO25+AO24+#REF!+AO19+AO18+AO16+#REF!+AO15+AO13+AO12</f>
        <v>#REF!</v>
      </c>
      <c r="AO67" s="20"/>
      <c r="AP67" s="47" t="e">
        <f t="shared" si="32"/>
        <v>#REF!</v>
      </c>
      <c r="AR67" s="236"/>
      <c r="AS67"/>
      <c r="AW67" s="287"/>
      <c r="AX67" s="287"/>
      <c r="AY67" s="287"/>
      <c r="AZ67" s="287"/>
    </row>
    <row r="68" spans="1:60" ht="14.25" customHeight="1">
      <c r="D68" s="158" t="s">
        <v>712</v>
      </c>
      <c r="E68" s="263">
        <f>+AY33</f>
        <v>14722.712200000002</v>
      </c>
      <c r="AI68" s="535" t="s">
        <v>72</v>
      </c>
      <c r="AJ68" s="20"/>
      <c r="AK68" s="20"/>
      <c r="AL68" s="20">
        <f>+AK49+AK39+AK23</f>
        <v>744.45</v>
      </c>
      <c r="AM68" s="20">
        <f>+AM39+AM23</f>
        <v>90.312000000000012</v>
      </c>
      <c r="AN68" s="20">
        <f>+AO49+AO39+AO23</f>
        <v>126.55650000000001</v>
      </c>
      <c r="AO68" s="20"/>
      <c r="AP68" s="47">
        <f>SUM(AJ68:AO68)</f>
        <v>961.31850000000009</v>
      </c>
      <c r="AR68" s="236"/>
      <c r="AS68"/>
      <c r="AW68" s="287"/>
      <c r="AX68" s="287"/>
      <c r="AY68" s="287"/>
      <c r="AZ68" s="287"/>
    </row>
    <row r="69" spans="1:60">
      <c r="D69" s="289" t="s">
        <v>713</v>
      </c>
      <c r="E69" s="290">
        <f>SUM(E64:E68)</f>
        <v>42500.876210000002</v>
      </c>
      <c r="AI69" s="535" t="s">
        <v>290</v>
      </c>
      <c r="AJ69" s="20"/>
      <c r="AK69" s="20"/>
      <c r="AL69" s="20"/>
      <c r="AM69" s="20"/>
      <c r="AN69" s="20"/>
      <c r="AO69" s="20">
        <f>+AR61</f>
        <v>213.47</v>
      </c>
      <c r="AP69" s="47">
        <f t="shared" si="32"/>
        <v>213.47</v>
      </c>
      <c r="AR69" s="236"/>
      <c r="AS69"/>
      <c r="AW69" s="287"/>
      <c r="AX69" s="287"/>
      <c r="AY69" s="287"/>
      <c r="AZ69" s="287"/>
    </row>
    <row r="70" spans="1:60">
      <c r="AI70" s="536"/>
      <c r="AJ70" s="44"/>
      <c r="AK70" s="44"/>
      <c r="AL70" s="44"/>
      <c r="AM70" s="44"/>
      <c r="AN70" s="44"/>
      <c r="AO70" s="44"/>
      <c r="AP70" s="60">
        <v>0</v>
      </c>
      <c r="AR70" s="236"/>
      <c r="AS70"/>
      <c r="AW70" s="287"/>
      <c r="AX70" s="287"/>
      <c r="AY70" s="287"/>
      <c r="AZ70" s="287"/>
    </row>
    <row r="71" spans="1:60" ht="15.75" thickBot="1">
      <c r="AI71" s="13"/>
      <c r="AJ71" s="537">
        <f t="shared" ref="AJ71:AP71" si="33">SUM(AJ64:AJ70)</f>
        <v>1451.2654000000002</v>
      </c>
      <c r="AK71" s="537">
        <f t="shared" si="33"/>
        <v>4583.4328000000005</v>
      </c>
      <c r="AL71" s="537" t="e">
        <f t="shared" si="33"/>
        <v>#REF!</v>
      </c>
      <c r="AM71" s="537" t="e">
        <f t="shared" si="33"/>
        <v>#REF!</v>
      </c>
      <c r="AN71" s="537" t="e">
        <f t="shared" si="33"/>
        <v>#REF!</v>
      </c>
      <c r="AO71" s="537">
        <f t="shared" si="33"/>
        <v>213.47</v>
      </c>
      <c r="AP71" s="537" t="e">
        <f t="shared" si="33"/>
        <v>#REF!</v>
      </c>
      <c r="AR71" s="236"/>
      <c r="AS71"/>
      <c r="AW71" s="287"/>
      <c r="AX71" s="287"/>
      <c r="AY71" s="287"/>
      <c r="AZ71" s="287"/>
    </row>
    <row r="72" spans="1:60" ht="15.75" thickTop="1">
      <c r="AW72" s="287"/>
      <c r="AX72" s="287"/>
      <c r="AY72" s="287"/>
      <c r="AZ72" s="287"/>
    </row>
    <row r="73" spans="1:60">
      <c r="AW73" s="287"/>
      <c r="AX73" s="287"/>
      <c r="AY73" s="287"/>
      <c r="AZ73" s="287"/>
    </row>
    <row r="74" spans="1:60">
      <c r="AW74" s="287"/>
      <c r="AX74" s="287"/>
      <c r="AY74" s="287"/>
      <c r="AZ74" s="287"/>
    </row>
    <row r="75" spans="1:60">
      <c r="AW75" s="287"/>
      <c r="AX75" s="287"/>
      <c r="AY75" s="287"/>
      <c r="AZ75" s="287"/>
    </row>
    <row r="76" spans="1:60">
      <c r="AW76" s="287"/>
      <c r="AX76" s="287"/>
      <c r="AY76" s="287"/>
      <c r="AZ76" s="287"/>
    </row>
    <row r="77" spans="1:60">
      <c r="AW77" s="287"/>
      <c r="AX77" s="287"/>
      <c r="AY77" s="287"/>
      <c r="AZ77" s="287"/>
    </row>
    <row r="78" spans="1:60">
      <c r="AW78" s="287"/>
      <c r="AX78" s="287"/>
      <c r="AY78" s="287"/>
      <c r="AZ78" s="287"/>
    </row>
    <row r="79" spans="1:60">
      <c r="AW79" s="287"/>
      <c r="AX79" s="287"/>
      <c r="AY79" s="287"/>
      <c r="AZ79" s="287"/>
    </row>
    <row r="80" spans="1:60">
      <c r="AW80" s="287"/>
      <c r="AX80" s="287"/>
      <c r="AY80" s="287"/>
      <c r="AZ80" s="287"/>
    </row>
    <row r="81" spans="46:52">
      <c r="AW81" s="287"/>
      <c r="AX81" s="287"/>
      <c r="AY81" s="287"/>
      <c r="AZ81" s="287"/>
    </row>
    <row r="82" spans="46:52">
      <c r="AT82" s="539"/>
      <c r="AU82" s="542"/>
      <c r="AW82" s="287"/>
      <c r="AX82" s="287"/>
      <c r="AY82" s="287"/>
      <c r="AZ82" s="287"/>
    </row>
    <row r="83" spans="46:52">
      <c r="AT83" s="540"/>
      <c r="AU83" s="542"/>
      <c r="AW83" s="287"/>
      <c r="AX83" s="287"/>
      <c r="AY83" s="287"/>
      <c r="AZ83" s="287"/>
    </row>
    <row r="84" spans="46:52">
      <c r="AT84" s="541"/>
      <c r="AU84" s="542"/>
      <c r="AW84" s="287"/>
      <c r="AX84" s="287"/>
      <c r="AY84" s="287"/>
      <c r="AZ84" s="287"/>
    </row>
    <row r="85" spans="46:52">
      <c r="AT85" s="542"/>
      <c r="AU85" s="542"/>
      <c r="AW85" s="287"/>
      <c r="AX85" s="287"/>
      <c r="AY85" s="287"/>
      <c r="AZ85" s="287"/>
    </row>
    <row r="86" spans="46:52">
      <c r="AT86" s="542"/>
      <c r="AU86" s="542"/>
      <c r="AW86" s="287"/>
      <c r="AX86" s="287"/>
      <c r="AY86" s="287"/>
      <c r="AZ86" s="287"/>
    </row>
    <row r="87" spans="46:52">
      <c r="AT87" s="541"/>
      <c r="AU87" s="542"/>
      <c r="AW87" s="287"/>
      <c r="AX87" s="287"/>
      <c r="AY87" s="287"/>
      <c r="AZ87" s="287"/>
    </row>
    <row r="88" spans="46:52">
      <c r="AT88" s="542"/>
      <c r="AU88" s="542"/>
      <c r="AW88" s="287"/>
      <c r="AX88" s="287"/>
      <c r="AY88" s="287"/>
      <c r="AZ88" s="287"/>
    </row>
    <row r="89" spans="46:52">
      <c r="AT89" s="542"/>
      <c r="AU89" s="542"/>
      <c r="AW89" s="287"/>
      <c r="AX89" s="287"/>
      <c r="AY89" s="287"/>
      <c r="AZ89" s="287"/>
    </row>
    <row r="90" spans="46:52">
      <c r="AT90" s="542"/>
      <c r="AU90" s="542"/>
      <c r="AW90" s="287"/>
      <c r="AX90" s="287"/>
      <c r="AY90" s="287"/>
      <c r="AZ90" s="287"/>
    </row>
    <row r="91" spans="46:52">
      <c r="AT91" s="542"/>
      <c r="AU91" s="542"/>
      <c r="AW91" s="287"/>
      <c r="AX91" s="287"/>
      <c r="AY91" s="287"/>
      <c r="AZ91" s="287"/>
    </row>
    <row r="92" spans="46:52">
      <c r="AW92" s="287"/>
      <c r="AX92" s="287"/>
      <c r="AY92" s="287"/>
      <c r="AZ92" s="287"/>
    </row>
    <row r="93" spans="46:52">
      <c r="AW93" s="287"/>
      <c r="AX93" s="287"/>
      <c r="AY93" s="287"/>
      <c r="AZ93" s="287"/>
    </row>
    <row r="94" spans="46:52">
      <c r="AW94" s="287"/>
      <c r="AX94" s="287"/>
      <c r="AY94" s="287"/>
      <c r="AZ94" s="287"/>
    </row>
    <row r="95" spans="46:52">
      <c r="AW95" s="287"/>
      <c r="AX95" s="287"/>
      <c r="AY95" s="287"/>
      <c r="AZ95" s="287"/>
    </row>
    <row r="96" spans="46:52">
      <c r="AW96" s="287"/>
      <c r="AX96" s="287"/>
      <c r="AY96" s="287"/>
      <c r="AZ96" s="287"/>
    </row>
    <row r="97" spans="49:52">
      <c r="AW97" s="287"/>
      <c r="AX97" s="287"/>
      <c r="AY97" s="287"/>
      <c r="AZ97" s="287"/>
    </row>
    <row r="98" spans="49:52">
      <c r="AW98" s="287"/>
      <c r="AX98" s="287"/>
      <c r="AY98" s="287"/>
      <c r="AZ98" s="287"/>
    </row>
    <row r="99" spans="49:52">
      <c r="AW99" s="287"/>
      <c r="AX99" s="287"/>
      <c r="AY99" s="287"/>
      <c r="AZ99" s="287"/>
    </row>
    <row r="100" spans="49:52">
      <c r="AW100" s="287"/>
      <c r="AX100" s="287"/>
      <c r="AY100" s="287"/>
      <c r="AZ100" s="287"/>
    </row>
    <row r="101" spans="49:52">
      <c r="AW101" s="287"/>
      <c r="AX101" s="287"/>
      <c r="AZ101" s="287"/>
    </row>
    <row r="102" spans="49:52">
      <c r="AW102" s="287"/>
      <c r="AX102" s="287"/>
      <c r="AZ102" s="287"/>
    </row>
    <row r="103" spans="49:52">
      <c r="AW103" s="287"/>
      <c r="AX103" s="287"/>
      <c r="AZ103" s="287"/>
    </row>
    <row r="104" spans="49:52">
      <c r="AW104" s="287"/>
      <c r="AX104" s="287"/>
      <c r="AZ104" s="287"/>
    </row>
    <row r="105" spans="49:52">
      <c r="AW105" s="287"/>
      <c r="AX105" s="287"/>
      <c r="AZ105" s="287"/>
    </row>
    <row r="106" spans="49:52">
      <c r="AW106" s="287"/>
      <c r="AX106" s="287"/>
      <c r="AZ106" s="287"/>
    </row>
  </sheetData>
  <mergeCells count="23">
    <mergeCell ref="BF8:BF9"/>
    <mergeCell ref="BG8:BG9"/>
    <mergeCell ref="BH8:BH9"/>
    <mergeCell ref="R9:R11"/>
    <mergeCell ref="V9:V11"/>
    <mergeCell ref="AH9:AI9"/>
    <mergeCell ref="AJ9:AQ9"/>
    <mergeCell ref="AZ9:BA9"/>
    <mergeCell ref="AJ10:AK10"/>
    <mergeCell ref="AL10:AM10"/>
    <mergeCell ref="AN10:AO10"/>
    <mergeCell ref="AP10:AQ10"/>
    <mergeCell ref="D9:E9"/>
    <mergeCell ref="F9:G9"/>
    <mergeCell ref="P60:P61"/>
    <mergeCell ref="C2:BA2"/>
    <mergeCell ref="C4:BA4"/>
    <mergeCell ref="C6:BA6"/>
    <mergeCell ref="Q8:AE8"/>
    <mergeCell ref="AH8:AR8"/>
    <mergeCell ref="AZ8:BA8"/>
    <mergeCell ref="D8:G8"/>
    <mergeCell ref="H8:P8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0.499984740745262"/>
  </sheetPr>
  <dimension ref="B1:L36"/>
  <sheetViews>
    <sheetView topLeftCell="A4" zoomScaleNormal="100" zoomScaleSheetLayoutView="100" workbookViewId="0">
      <selection activeCell="E12" sqref="E12"/>
    </sheetView>
  </sheetViews>
  <sheetFormatPr baseColWidth="10" defaultColWidth="11.42578125" defaultRowHeight="20.100000000000001" customHeight="1"/>
  <cols>
    <col min="1" max="1" width="0.7109375" style="69" customWidth="1"/>
    <col min="2" max="2" width="5.5703125" style="61" customWidth="1"/>
    <col min="3" max="3" width="22.85546875" style="69" bestFit="1" customWidth="1"/>
    <col min="4" max="4" width="35.85546875" style="69" customWidth="1"/>
    <col min="5" max="6" width="10.140625" style="69" customWidth="1"/>
    <col min="7" max="8" width="13.28515625" style="69" customWidth="1"/>
    <col min="9" max="10" width="17.85546875" style="61" customWidth="1"/>
    <col min="11" max="11" width="19.7109375" style="61" customWidth="1"/>
    <col min="12" max="12" width="21.5703125" style="61" customWidth="1"/>
    <col min="13" max="235" width="11.42578125" style="69"/>
    <col min="236" max="236" width="2.28515625" style="69" customWidth="1"/>
    <col min="237" max="237" width="5.5703125" style="69" customWidth="1"/>
    <col min="238" max="238" width="34.28515625" style="69" customWidth="1"/>
    <col min="239" max="239" width="41.5703125" style="69" customWidth="1"/>
    <col min="240" max="245" width="10.140625" style="69" customWidth="1"/>
    <col min="246" max="246" width="11" style="69" customWidth="1"/>
    <col min="247" max="247" width="10.140625" style="69" customWidth="1"/>
    <col min="248" max="248" width="10.5703125" style="69" customWidth="1"/>
    <col min="249" max="251" width="10.140625" style="69" customWidth="1"/>
    <col min="252" max="252" width="4.140625" style="69" customWidth="1"/>
    <col min="253" max="255" width="10.42578125" style="69" customWidth="1"/>
    <col min="256" max="256" width="9.85546875" style="69" customWidth="1"/>
    <col min="257" max="257" width="21.5703125" style="69" customWidth="1"/>
    <col min="258" max="258" width="25.7109375" style="69" customWidth="1"/>
    <col min="259" max="261" width="21.5703125" style="69" customWidth="1"/>
    <col min="262" max="262" width="29.85546875" style="69" customWidth="1"/>
    <col min="263" max="491" width="11.42578125" style="69"/>
    <col min="492" max="492" width="2.28515625" style="69" customWidth="1"/>
    <col min="493" max="493" width="5.5703125" style="69" customWidth="1"/>
    <col min="494" max="494" width="34.28515625" style="69" customWidth="1"/>
    <col min="495" max="495" width="41.5703125" style="69" customWidth="1"/>
    <col min="496" max="501" width="10.140625" style="69" customWidth="1"/>
    <col min="502" max="502" width="11" style="69" customWidth="1"/>
    <col min="503" max="503" width="10.140625" style="69" customWidth="1"/>
    <col min="504" max="504" width="10.5703125" style="69" customWidth="1"/>
    <col min="505" max="507" width="10.140625" style="69" customWidth="1"/>
    <col min="508" max="508" width="4.140625" style="69" customWidth="1"/>
    <col min="509" max="511" width="10.42578125" style="69" customWidth="1"/>
    <col min="512" max="512" width="9.85546875" style="69" customWidth="1"/>
    <col min="513" max="513" width="21.5703125" style="69" customWidth="1"/>
    <col min="514" max="514" width="25.7109375" style="69" customWidth="1"/>
    <col min="515" max="517" width="21.5703125" style="69" customWidth="1"/>
    <col min="518" max="518" width="29.85546875" style="69" customWidth="1"/>
    <col min="519" max="747" width="11.42578125" style="69"/>
    <col min="748" max="748" width="2.28515625" style="69" customWidth="1"/>
    <col min="749" max="749" width="5.5703125" style="69" customWidth="1"/>
    <col min="750" max="750" width="34.28515625" style="69" customWidth="1"/>
    <col min="751" max="751" width="41.5703125" style="69" customWidth="1"/>
    <col min="752" max="757" width="10.140625" style="69" customWidth="1"/>
    <col min="758" max="758" width="11" style="69" customWidth="1"/>
    <col min="759" max="759" width="10.140625" style="69" customWidth="1"/>
    <col min="760" max="760" width="10.5703125" style="69" customWidth="1"/>
    <col min="761" max="763" width="10.140625" style="69" customWidth="1"/>
    <col min="764" max="764" width="4.140625" style="69" customWidth="1"/>
    <col min="765" max="767" width="10.42578125" style="69" customWidth="1"/>
    <col min="768" max="768" width="9.85546875" style="69" customWidth="1"/>
    <col min="769" max="769" width="21.5703125" style="69" customWidth="1"/>
    <col min="770" max="770" width="25.7109375" style="69" customWidth="1"/>
    <col min="771" max="773" width="21.5703125" style="69" customWidth="1"/>
    <col min="774" max="774" width="29.85546875" style="69" customWidth="1"/>
    <col min="775" max="1003" width="11.42578125" style="69"/>
    <col min="1004" max="1004" width="2.28515625" style="69" customWidth="1"/>
    <col min="1005" max="1005" width="5.5703125" style="69" customWidth="1"/>
    <col min="1006" max="1006" width="34.28515625" style="69" customWidth="1"/>
    <col min="1007" max="1007" width="41.5703125" style="69" customWidth="1"/>
    <col min="1008" max="1013" width="10.140625" style="69" customWidth="1"/>
    <col min="1014" max="1014" width="11" style="69" customWidth="1"/>
    <col min="1015" max="1015" width="10.140625" style="69" customWidth="1"/>
    <col min="1016" max="1016" width="10.5703125" style="69" customWidth="1"/>
    <col min="1017" max="1019" width="10.140625" style="69" customWidth="1"/>
    <col min="1020" max="1020" width="4.140625" style="69" customWidth="1"/>
    <col min="1021" max="1023" width="10.42578125" style="69" customWidth="1"/>
    <col min="1024" max="1024" width="9.85546875" style="69" customWidth="1"/>
    <col min="1025" max="1025" width="21.5703125" style="69" customWidth="1"/>
    <col min="1026" max="1026" width="25.7109375" style="69" customWidth="1"/>
    <col min="1027" max="1029" width="21.5703125" style="69" customWidth="1"/>
    <col min="1030" max="1030" width="29.85546875" style="69" customWidth="1"/>
    <col min="1031" max="1259" width="11.42578125" style="69"/>
    <col min="1260" max="1260" width="2.28515625" style="69" customWidth="1"/>
    <col min="1261" max="1261" width="5.5703125" style="69" customWidth="1"/>
    <col min="1262" max="1262" width="34.28515625" style="69" customWidth="1"/>
    <col min="1263" max="1263" width="41.5703125" style="69" customWidth="1"/>
    <col min="1264" max="1269" width="10.140625" style="69" customWidth="1"/>
    <col min="1270" max="1270" width="11" style="69" customWidth="1"/>
    <col min="1271" max="1271" width="10.140625" style="69" customWidth="1"/>
    <col min="1272" max="1272" width="10.5703125" style="69" customWidth="1"/>
    <col min="1273" max="1275" width="10.140625" style="69" customWidth="1"/>
    <col min="1276" max="1276" width="4.140625" style="69" customWidth="1"/>
    <col min="1277" max="1279" width="10.42578125" style="69" customWidth="1"/>
    <col min="1280" max="1280" width="9.85546875" style="69" customWidth="1"/>
    <col min="1281" max="1281" width="21.5703125" style="69" customWidth="1"/>
    <col min="1282" max="1282" width="25.7109375" style="69" customWidth="1"/>
    <col min="1283" max="1285" width="21.5703125" style="69" customWidth="1"/>
    <col min="1286" max="1286" width="29.85546875" style="69" customWidth="1"/>
    <col min="1287" max="1515" width="11.42578125" style="69"/>
    <col min="1516" max="1516" width="2.28515625" style="69" customWidth="1"/>
    <col min="1517" max="1517" width="5.5703125" style="69" customWidth="1"/>
    <col min="1518" max="1518" width="34.28515625" style="69" customWidth="1"/>
    <col min="1519" max="1519" width="41.5703125" style="69" customWidth="1"/>
    <col min="1520" max="1525" width="10.140625" style="69" customWidth="1"/>
    <col min="1526" max="1526" width="11" style="69" customWidth="1"/>
    <col min="1527" max="1527" width="10.140625" style="69" customWidth="1"/>
    <col min="1528" max="1528" width="10.5703125" style="69" customWidth="1"/>
    <col min="1529" max="1531" width="10.140625" style="69" customWidth="1"/>
    <col min="1532" max="1532" width="4.140625" style="69" customWidth="1"/>
    <col min="1533" max="1535" width="10.42578125" style="69" customWidth="1"/>
    <col min="1536" max="1536" width="9.85546875" style="69" customWidth="1"/>
    <col min="1537" max="1537" width="21.5703125" style="69" customWidth="1"/>
    <col min="1538" max="1538" width="25.7109375" style="69" customWidth="1"/>
    <col min="1539" max="1541" width="21.5703125" style="69" customWidth="1"/>
    <col min="1542" max="1542" width="29.85546875" style="69" customWidth="1"/>
    <col min="1543" max="1771" width="11.42578125" style="69"/>
    <col min="1772" max="1772" width="2.28515625" style="69" customWidth="1"/>
    <col min="1773" max="1773" width="5.5703125" style="69" customWidth="1"/>
    <col min="1774" max="1774" width="34.28515625" style="69" customWidth="1"/>
    <col min="1775" max="1775" width="41.5703125" style="69" customWidth="1"/>
    <col min="1776" max="1781" width="10.140625" style="69" customWidth="1"/>
    <col min="1782" max="1782" width="11" style="69" customWidth="1"/>
    <col min="1783" max="1783" width="10.140625" style="69" customWidth="1"/>
    <col min="1784" max="1784" width="10.5703125" style="69" customWidth="1"/>
    <col min="1785" max="1787" width="10.140625" style="69" customWidth="1"/>
    <col min="1788" max="1788" width="4.140625" style="69" customWidth="1"/>
    <col min="1789" max="1791" width="10.42578125" style="69" customWidth="1"/>
    <col min="1792" max="1792" width="9.85546875" style="69" customWidth="1"/>
    <col min="1793" max="1793" width="21.5703125" style="69" customWidth="1"/>
    <col min="1794" max="1794" width="25.7109375" style="69" customWidth="1"/>
    <col min="1795" max="1797" width="21.5703125" style="69" customWidth="1"/>
    <col min="1798" max="1798" width="29.85546875" style="69" customWidth="1"/>
    <col min="1799" max="2027" width="11.42578125" style="69"/>
    <col min="2028" max="2028" width="2.28515625" style="69" customWidth="1"/>
    <col min="2029" max="2029" width="5.5703125" style="69" customWidth="1"/>
    <col min="2030" max="2030" width="34.28515625" style="69" customWidth="1"/>
    <col min="2031" max="2031" width="41.5703125" style="69" customWidth="1"/>
    <col min="2032" max="2037" width="10.140625" style="69" customWidth="1"/>
    <col min="2038" max="2038" width="11" style="69" customWidth="1"/>
    <col min="2039" max="2039" width="10.140625" style="69" customWidth="1"/>
    <col min="2040" max="2040" width="10.5703125" style="69" customWidth="1"/>
    <col min="2041" max="2043" width="10.140625" style="69" customWidth="1"/>
    <col min="2044" max="2044" width="4.140625" style="69" customWidth="1"/>
    <col min="2045" max="2047" width="10.42578125" style="69" customWidth="1"/>
    <col min="2048" max="2048" width="9.85546875" style="69" customWidth="1"/>
    <col min="2049" max="2049" width="21.5703125" style="69" customWidth="1"/>
    <col min="2050" max="2050" width="25.7109375" style="69" customWidth="1"/>
    <col min="2051" max="2053" width="21.5703125" style="69" customWidth="1"/>
    <col min="2054" max="2054" width="29.85546875" style="69" customWidth="1"/>
    <col min="2055" max="2283" width="11.42578125" style="69"/>
    <col min="2284" max="2284" width="2.28515625" style="69" customWidth="1"/>
    <col min="2285" max="2285" width="5.5703125" style="69" customWidth="1"/>
    <col min="2286" max="2286" width="34.28515625" style="69" customWidth="1"/>
    <col min="2287" max="2287" width="41.5703125" style="69" customWidth="1"/>
    <col min="2288" max="2293" width="10.140625" style="69" customWidth="1"/>
    <col min="2294" max="2294" width="11" style="69" customWidth="1"/>
    <col min="2295" max="2295" width="10.140625" style="69" customWidth="1"/>
    <col min="2296" max="2296" width="10.5703125" style="69" customWidth="1"/>
    <col min="2297" max="2299" width="10.140625" style="69" customWidth="1"/>
    <col min="2300" max="2300" width="4.140625" style="69" customWidth="1"/>
    <col min="2301" max="2303" width="10.42578125" style="69" customWidth="1"/>
    <col min="2304" max="2304" width="9.85546875" style="69" customWidth="1"/>
    <col min="2305" max="2305" width="21.5703125" style="69" customWidth="1"/>
    <col min="2306" max="2306" width="25.7109375" style="69" customWidth="1"/>
    <col min="2307" max="2309" width="21.5703125" style="69" customWidth="1"/>
    <col min="2310" max="2310" width="29.85546875" style="69" customWidth="1"/>
    <col min="2311" max="2539" width="11.42578125" style="69"/>
    <col min="2540" max="2540" width="2.28515625" style="69" customWidth="1"/>
    <col min="2541" max="2541" width="5.5703125" style="69" customWidth="1"/>
    <col min="2542" max="2542" width="34.28515625" style="69" customWidth="1"/>
    <col min="2543" max="2543" width="41.5703125" style="69" customWidth="1"/>
    <col min="2544" max="2549" width="10.140625" style="69" customWidth="1"/>
    <col min="2550" max="2550" width="11" style="69" customWidth="1"/>
    <col min="2551" max="2551" width="10.140625" style="69" customWidth="1"/>
    <col min="2552" max="2552" width="10.5703125" style="69" customWidth="1"/>
    <col min="2553" max="2555" width="10.140625" style="69" customWidth="1"/>
    <col min="2556" max="2556" width="4.140625" style="69" customWidth="1"/>
    <col min="2557" max="2559" width="10.42578125" style="69" customWidth="1"/>
    <col min="2560" max="2560" width="9.85546875" style="69" customWidth="1"/>
    <col min="2561" max="2561" width="21.5703125" style="69" customWidth="1"/>
    <col min="2562" max="2562" width="25.7109375" style="69" customWidth="1"/>
    <col min="2563" max="2565" width="21.5703125" style="69" customWidth="1"/>
    <col min="2566" max="2566" width="29.85546875" style="69" customWidth="1"/>
    <col min="2567" max="2795" width="11.42578125" style="69"/>
    <col min="2796" max="2796" width="2.28515625" style="69" customWidth="1"/>
    <col min="2797" max="2797" width="5.5703125" style="69" customWidth="1"/>
    <col min="2798" max="2798" width="34.28515625" style="69" customWidth="1"/>
    <col min="2799" max="2799" width="41.5703125" style="69" customWidth="1"/>
    <col min="2800" max="2805" width="10.140625" style="69" customWidth="1"/>
    <col min="2806" max="2806" width="11" style="69" customWidth="1"/>
    <col min="2807" max="2807" width="10.140625" style="69" customWidth="1"/>
    <col min="2808" max="2808" width="10.5703125" style="69" customWidth="1"/>
    <col min="2809" max="2811" width="10.140625" style="69" customWidth="1"/>
    <col min="2812" max="2812" width="4.140625" style="69" customWidth="1"/>
    <col min="2813" max="2815" width="10.42578125" style="69" customWidth="1"/>
    <col min="2816" max="2816" width="9.85546875" style="69" customWidth="1"/>
    <col min="2817" max="2817" width="21.5703125" style="69" customWidth="1"/>
    <col min="2818" max="2818" width="25.7109375" style="69" customWidth="1"/>
    <col min="2819" max="2821" width="21.5703125" style="69" customWidth="1"/>
    <col min="2822" max="2822" width="29.85546875" style="69" customWidth="1"/>
    <col min="2823" max="3051" width="11.42578125" style="69"/>
    <col min="3052" max="3052" width="2.28515625" style="69" customWidth="1"/>
    <col min="3053" max="3053" width="5.5703125" style="69" customWidth="1"/>
    <col min="3054" max="3054" width="34.28515625" style="69" customWidth="1"/>
    <col min="3055" max="3055" width="41.5703125" style="69" customWidth="1"/>
    <col min="3056" max="3061" width="10.140625" style="69" customWidth="1"/>
    <col min="3062" max="3062" width="11" style="69" customWidth="1"/>
    <col min="3063" max="3063" width="10.140625" style="69" customWidth="1"/>
    <col min="3064" max="3064" width="10.5703125" style="69" customWidth="1"/>
    <col min="3065" max="3067" width="10.140625" style="69" customWidth="1"/>
    <col min="3068" max="3068" width="4.140625" style="69" customWidth="1"/>
    <col min="3069" max="3071" width="10.42578125" style="69" customWidth="1"/>
    <col min="3072" max="3072" width="9.85546875" style="69" customWidth="1"/>
    <col min="3073" max="3073" width="21.5703125" style="69" customWidth="1"/>
    <col min="3074" max="3074" width="25.7109375" style="69" customWidth="1"/>
    <col min="3075" max="3077" width="21.5703125" style="69" customWidth="1"/>
    <col min="3078" max="3078" width="29.85546875" style="69" customWidth="1"/>
    <col min="3079" max="3307" width="11.42578125" style="69"/>
    <col min="3308" max="3308" width="2.28515625" style="69" customWidth="1"/>
    <col min="3309" max="3309" width="5.5703125" style="69" customWidth="1"/>
    <col min="3310" max="3310" width="34.28515625" style="69" customWidth="1"/>
    <col min="3311" max="3311" width="41.5703125" style="69" customWidth="1"/>
    <col min="3312" max="3317" width="10.140625" style="69" customWidth="1"/>
    <col min="3318" max="3318" width="11" style="69" customWidth="1"/>
    <col min="3319" max="3319" width="10.140625" style="69" customWidth="1"/>
    <col min="3320" max="3320" width="10.5703125" style="69" customWidth="1"/>
    <col min="3321" max="3323" width="10.140625" style="69" customWidth="1"/>
    <col min="3324" max="3324" width="4.140625" style="69" customWidth="1"/>
    <col min="3325" max="3327" width="10.42578125" style="69" customWidth="1"/>
    <col min="3328" max="3328" width="9.85546875" style="69" customWidth="1"/>
    <col min="3329" max="3329" width="21.5703125" style="69" customWidth="1"/>
    <col min="3330" max="3330" width="25.7109375" style="69" customWidth="1"/>
    <col min="3331" max="3333" width="21.5703125" style="69" customWidth="1"/>
    <col min="3334" max="3334" width="29.85546875" style="69" customWidth="1"/>
    <col min="3335" max="3563" width="11.42578125" style="69"/>
    <col min="3564" max="3564" width="2.28515625" style="69" customWidth="1"/>
    <col min="3565" max="3565" width="5.5703125" style="69" customWidth="1"/>
    <col min="3566" max="3566" width="34.28515625" style="69" customWidth="1"/>
    <col min="3567" max="3567" width="41.5703125" style="69" customWidth="1"/>
    <col min="3568" max="3573" width="10.140625" style="69" customWidth="1"/>
    <col min="3574" max="3574" width="11" style="69" customWidth="1"/>
    <col min="3575" max="3575" width="10.140625" style="69" customWidth="1"/>
    <col min="3576" max="3576" width="10.5703125" style="69" customWidth="1"/>
    <col min="3577" max="3579" width="10.140625" style="69" customWidth="1"/>
    <col min="3580" max="3580" width="4.140625" style="69" customWidth="1"/>
    <col min="3581" max="3583" width="10.42578125" style="69" customWidth="1"/>
    <col min="3584" max="3584" width="9.85546875" style="69" customWidth="1"/>
    <col min="3585" max="3585" width="21.5703125" style="69" customWidth="1"/>
    <col min="3586" max="3586" width="25.7109375" style="69" customWidth="1"/>
    <col min="3587" max="3589" width="21.5703125" style="69" customWidth="1"/>
    <col min="3590" max="3590" width="29.85546875" style="69" customWidth="1"/>
    <col min="3591" max="3819" width="11.42578125" style="69"/>
    <col min="3820" max="3820" width="2.28515625" style="69" customWidth="1"/>
    <col min="3821" max="3821" width="5.5703125" style="69" customWidth="1"/>
    <col min="3822" max="3822" width="34.28515625" style="69" customWidth="1"/>
    <col min="3823" max="3823" width="41.5703125" style="69" customWidth="1"/>
    <col min="3824" max="3829" width="10.140625" style="69" customWidth="1"/>
    <col min="3830" max="3830" width="11" style="69" customWidth="1"/>
    <col min="3831" max="3831" width="10.140625" style="69" customWidth="1"/>
    <col min="3832" max="3832" width="10.5703125" style="69" customWidth="1"/>
    <col min="3833" max="3835" width="10.140625" style="69" customWidth="1"/>
    <col min="3836" max="3836" width="4.140625" style="69" customWidth="1"/>
    <col min="3837" max="3839" width="10.42578125" style="69" customWidth="1"/>
    <col min="3840" max="3840" width="9.85546875" style="69" customWidth="1"/>
    <col min="3841" max="3841" width="21.5703125" style="69" customWidth="1"/>
    <col min="3842" max="3842" width="25.7109375" style="69" customWidth="1"/>
    <col min="3843" max="3845" width="21.5703125" style="69" customWidth="1"/>
    <col min="3846" max="3846" width="29.85546875" style="69" customWidth="1"/>
    <col min="3847" max="4075" width="11.42578125" style="69"/>
    <col min="4076" max="4076" width="2.28515625" style="69" customWidth="1"/>
    <col min="4077" max="4077" width="5.5703125" style="69" customWidth="1"/>
    <col min="4078" max="4078" width="34.28515625" style="69" customWidth="1"/>
    <col min="4079" max="4079" width="41.5703125" style="69" customWidth="1"/>
    <col min="4080" max="4085" width="10.140625" style="69" customWidth="1"/>
    <col min="4086" max="4086" width="11" style="69" customWidth="1"/>
    <col min="4087" max="4087" width="10.140625" style="69" customWidth="1"/>
    <col min="4088" max="4088" width="10.5703125" style="69" customWidth="1"/>
    <col min="4089" max="4091" width="10.140625" style="69" customWidth="1"/>
    <col min="4092" max="4092" width="4.140625" style="69" customWidth="1"/>
    <col min="4093" max="4095" width="10.42578125" style="69" customWidth="1"/>
    <col min="4096" max="4096" width="9.85546875" style="69" customWidth="1"/>
    <col min="4097" max="4097" width="21.5703125" style="69" customWidth="1"/>
    <col min="4098" max="4098" width="25.7109375" style="69" customWidth="1"/>
    <col min="4099" max="4101" width="21.5703125" style="69" customWidth="1"/>
    <col min="4102" max="4102" width="29.85546875" style="69" customWidth="1"/>
    <col min="4103" max="4331" width="11.42578125" style="69"/>
    <col min="4332" max="4332" width="2.28515625" style="69" customWidth="1"/>
    <col min="4333" max="4333" width="5.5703125" style="69" customWidth="1"/>
    <col min="4334" max="4334" width="34.28515625" style="69" customWidth="1"/>
    <col min="4335" max="4335" width="41.5703125" style="69" customWidth="1"/>
    <col min="4336" max="4341" width="10.140625" style="69" customWidth="1"/>
    <col min="4342" max="4342" width="11" style="69" customWidth="1"/>
    <col min="4343" max="4343" width="10.140625" style="69" customWidth="1"/>
    <col min="4344" max="4344" width="10.5703125" style="69" customWidth="1"/>
    <col min="4345" max="4347" width="10.140625" style="69" customWidth="1"/>
    <col min="4348" max="4348" width="4.140625" style="69" customWidth="1"/>
    <col min="4349" max="4351" width="10.42578125" style="69" customWidth="1"/>
    <col min="4352" max="4352" width="9.85546875" style="69" customWidth="1"/>
    <col min="4353" max="4353" width="21.5703125" style="69" customWidth="1"/>
    <col min="4354" max="4354" width="25.7109375" style="69" customWidth="1"/>
    <col min="4355" max="4357" width="21.5703125" style="69" customWidth="1"/>
    <col min="4358" max="4358" width="29.85546875" style="69" customWidth="1"/>
    <col min="4359" max="4587" width="11.42578125" style="69"/>
    <col min="4588" max="4588" width="2.28515625" style="69" customWidth="1"/>
    <col min="4589" max="4589" width="5.5703125" style="69" customWidth="1"/>
    <col min="4590" max="4590" width="34.28515625" style="69" customWidth="1"/>
    <col min="4591" max="4591" width="41.5703125" style="69" customWidth="1"/>
    <col min="4592" max="4597" width="10.140625" style="69" customWidth="1"/>
    <col min="4598" max="4598" width="11" style="69" customWidth="1"/>
    <col min="4599" max="4599" width="10.140625" style="69" customWidth="1"/>
    <col min="4600" max="4600" width="10.5703125" style="69" customWidth="1"/>
    <col min="4601" max="4603" width="10.140625" style="69" customWidth="1"/>
    <col min="4604" max="4604" width="4.140625" style="69" customWidth="1"/>
    <col min="4605" max="4607" width="10.42578125" style="69" customWidth="1"/>
    <col min="4608" max="4608" width="9.85546875" style="69" customWidth="1"/>
    <col min="4609" max="4609" width="21.5703125" style="69" customWidth="1"/>
    <col min="4610" max="4610" width="25.7109375" style="69" customWidth="1"/>
    <col min="4611" max="4613" width="21.5703125" style="69" customWidth="1"/>
    <col min="4614" max="4614" width="29.85546875" style="69" customWidth="1"/>
    <col min="4615" max="4843" width="11.42578125" style="69"/>
    <col min="4844" max="4844" width="2.28515625" style="69" customWidth="1"/>
    <col min="4845" max="4845" width="5.5703125" style="69" customWidth="1"/>
    <col min="4846" max="4846" width="34.28515625" style="69" customWidth="1"/>
    <col min="4847" max="4847" width="41.5703125" style="69" customWidth="1"/>
    <col min="4848" max="4853" width="10.140625" style="69" customWidth="1"/>
    <col min="4854" max="4854" width="11" style="69" customWidth="1"/>
    <col min="4855" max="4855" width="10.140625" style="69" customWidth="1"/>
    <col min="4856" max="4856" width="10.5703125" style="69" customWidth="1"/>
    <col min="4857" max="4859" width="10.140625" style="69" customWidth="1"/>
    <col min="4860" max="4860" width="4.140625" style="69" customWidth="1"/>
    <col min="4861" max="4863" width="10.42578125" style="69" customWidth="1"/>
    <col min="4864" max="4864" width="9.85546875" style="69" customWidth="1"/>
    <col min="4865" max="4865" width="21.5703125" style="69" customWidth="1"/>
    <col min="4866" max="4866" width="25.7109375" style="69" customWidth="1"/>
    <col min="4867" max="4869" width="21.5703125" style="69" customWidth="1"/>
    <col min="4870" max="4870" width="29.85546875" style="69" customWidth="1"/>
    <col min="4871" max="5099" width="11.42578125" style="69"/>
    <col min="5100" max="5100" width="2.28515625" style="69" customWidth="1"/>
    <col min="5101" max="5101" width="5.5703125" style="69" customWidth="1"/>
    <col min="5102" max="5102" width="34.28515625" style="69" customWidth="1"/>
    <col min="5103" max="5103" width="41.5703125" style="69" customWidth="1"/>
    <col min="5104" max="5109" width="10.140625" style="69" customWidth="1"/>
    <col min="5110" max="5110" width="11" style="69" customWidth="1"/>
    <col min="5111" max="5111" width="10.140625" style="69" customWidth="1"/>
    <col min="5112" max="5112" width="10.5703125" style="69" customWidth="1"/>
    <col min="5113" max="5115" width="10.140625" style="69" customWidth="1"/>
    <col min="5116" max="5116" width="4.140625" style="69" customWidth="1"/>
    <col min="5117" max="5119" width="10.42578125" style="69" customWidth="1"/>
    <col min="5120" max="5120" width="9.85546875" style="69" customWidth="1"/>
    <col min="5121" max="5121" width="21.5703125" style="69" customWidth="1"/>
    <col min="5122" max="5122" width="25.7109375" style="69" customWidth="1"/>
    <col min="5123" max="5125" width="21.5703125" style="69" customWidth="1"/>
    <col min="5126" max="5126" width="29.85546875" style="69" customWidth="1"/>
    <col min="5127" max="5355" width="11.42578125" style="69"/>
    <col min="5356" max="5356" width="2.28515625" style="69" customWidth="1"/>
    <col min="5357" max="5357" width="5.5703125" style="69" customWidth="1"/>
    <col min="5358" max="5358" width="34.28515625" style="69" customWidth="1"/>
    <col min="5359" max="5359" width="41.5703125" style="69" customWidth="1"/>
    <col min="5360" max="5365" width="10.140625" style="69" customWidth="1"/>
    <col min="5366" max="5366" width="11" style="69" customWidth="1"/>
    <col min="5367" max="5367" width="10.140625" style="69" customWidth="1"/>
    <col min="5368" max="5368" width="10.5703125" style="69" customWidth="1"/>
    <col min="5369" max="5371" width="10.140625" style="69" customWidth="1"/>
    <col min="5372" max="5372" width="4.140625" style="69" customWidth="1"/>
    <col min="5373" max="5375" width="10.42578125" style="69" customWidth="1"/>
    <col min="5376" max="5376" width="9.85546875" style="69" customWidth="1"/>
    <col min="5377" max="5377" width="21.5703125" style="69" customWidth="1"/>
    <col min="5378" max="5378" width="25.7109375" style="69" customWidth="1"/>
    <col min="5379" max="5381" width="21.5703125" style="69" customWidth="1"/>
    <col min="5382" max="5382" width="29.85546875" style="69" customWidth="1"/>
    <col min="5383" max="5611" width="11.42578125" style="69"/>
    <col min="5612" max="5612" width="2.28515625" style="69" customWidth="1"/>
    <col min="5613" max="5613" width="5.5703125" style="69" customWidth="1"/>
    <col min="5614" max="5614" width="34.28515625" style="69" customWidth="1"/>
    <col min="5615" max="5615" width="41.5703125" style="69" customWidth="1"/>
    <col min="5616" max="5621" width="10.140625" style="69" customWidth="1"/>
    <col min="5622" max="5622" width="11" style="69" customWidth="1"/>
    <col min="5623" max="5623" width="10.140625" style="69" customWidth="1"/>
    <col min="5624" max="5624" width="10.5703125" style="69" customWidth="1"/>
    <col min="5625" max="5627" width="10.140625" style="69" customWidth="1"/>
    <col min="5628" max="5628" width="4.140625" style="69" customWidth="1"/>
    <col min="5629" max="5631" width="10.42578125" style="69" customWidth="1"/>
    <col min="5632" max="5632" width="9.85546875" style="69" customWidth="1"/>
    <col min="5633" max="5633" width="21.5703125" style="69" customWidth="1"/>
    <col min="5634" max="5634" width="25.7109375" style="69" customWidth="1"/>
    <col min="5635" max="5637" width="21.5703125" style="69" customWidth="1"/>
    <col min="5638" max="5638" width="29.85546875" style="69" customWidth="1"/>
    <col min="5639" max="5867" width="11.42578125" style="69"/>
    <col min="5868" max="5868" width="2.28515625" style="69" customWidth="1"/>
    <col min="5869" max="5869" width="5.5703125" style="69" customWidth="1"/>
    <col min="5870" max="5870" width="34.28515625" style="69" customWidth="1"/>
    <col min="5871" max="5871" width="41.5703125" style="69" customWidth="1"/>
    <col min="5872" max="5877" width="10.140625" style="69" customWidth="1"/>
    <col min="5878" max="5878" width="11" style="69" customWidth="1"/>
    <col min="5879" max="5879" width="10.140625" style="69" customWidth="1"/>
    <col min="5880" max="5880" width="10.5703125" style="69" customWidth="1"/>
    <col min="5881" max="5883" width="10.140625" style="69" customWidth="1"/>
    <col min="5884" max="5884" width="4.140625" style="69" customWidth="1"/>
    <col min="5885" max="5887" width="10.42578125" style="69" customWidth="1"/>
    <col min="5888" max="5888" width="9.85546875" style="69" customWidth="1"/>
    <col min="5889" max="5889" width="21.5703125" style="69" customWidth="1"/>
    <col min="5890" max="5890" width="25.7109375" style="69" customWidth="1"/>
    <col min="5891" max="5893" width="21.5703125" style="69" customWidth="1"/>
    <col min="5894" max="5894" width="29.85546875" style="69" customWidth="1"/>
    <col min="5895" max="6123" width="11.42578125" style="69"/>
    <col min="6124" max="6124" width="2.28515625" style="69" customWidth="1"/>
    <col min="6125" max="6125" width="5.5703125" style="69" customWidth="1"/>
    <col min="6126" max="6126" width="34.28515625" style="69" customWidth="1"/>
    <col min="6127" max="6127" width="41.5703125" style="69" customWidth="1"/>
    <col min="6128" max="6133" width="10.140625" style="69" customWidth="1"/>
    <col min="6134" max="6134" width="11" style="69" customWidth="1"/>
    <col min="6135" max="6135" width="10.140625" style="69" customWidth="1"/>
    <col min="6136" max="6136" width="10.5703125" style="69" customWidth="1"/>
    <col min="6137" max="6139" width="10.140625" style="69" customWidth="1"/>
    <col min="6140" max="6140" width="4.140625" style="69" customWidth="1"/>
    <col min="6141" max="6143" width="10.42578125" style="69" customWidth="1"/>
    <col min="6144" max="6144" width="9.85546875" style="69" customWidth="1"/>
    <col min="6145" max="6145" width="21.5703125" style="69" customWidth="1"/>
    <col min="6146" max="6146" width="25.7109375" style="69" customWidth="1"/>
    <col min="6147" max="6149" width="21.5703125" style="69" customWidth="1"/>
    <col min="6150" max="6150" width="29.85546875" style="69" customWidth="1"/>
    <col min="6151" max="6379" width="11.42578125" style="69"/>
    <col min="6380" max="6380" width="2.28515625" style="69" customWidth="1"/>
    <col min="6381" max="6381" width="5.5703125" style="69" customWidth="1"/>
    <col min="6382" max="6382" width="34.28515625" style="69" customWidth="1"/>
    <col min="6383" max="6383" width="41.5703125" style="69" customWidth="1"/>
    <col min="6384" max="6389" width="10.140625" style="69" customWidth="1"/>
    <col min="6390" max="6390" width="11" style="69" customWidth="1"/>
    <col min="6391" max="6391" width="10.140625" style="69" customWidth="1"/>
    <col min="6392" max="6392" width="10.5703125" style="69" customWidth="1"/>
    <col min="6393" max="6395" width="10.140625" style="69" customWidth="1"/>
    <col min="6396" max="6396" width="4.140625" style="69" customWidth="1"/>
    <col min="6397" max="6399" width="10.42578125" style="69" customWidth="1"/>
    <col min="6400" max="6400" width="9.85546875" style="69" customWidth="1"/>
    <col min="6401" max="6401" width="21.5703125" style="69" customWidth="1"/>
    <col min="6402" max="6402" width="25.7109375" style="69" customWidth="1"/>
    <col min="6403" max="6405" width="21.5703125" style="69" customWidth="1"/>
    <col min="6406" max="6406" width="29.85546875" style="69" customWidth="1"/>
    <col min="6407" max="6635" width="11.42578125" style="69"/>
    <col min="6636" max="6636" width="2.28515625" style="69" customWidth="1"/>
    <col min="6637" max="6637" width="5.5703125" style="69" customWidth="1"/>
    <col min="6638" max="6638" width="34.28515625" style="69" customWidth="1"/>
    <col min="6639" max="6639" width="41.5703125" style="69" customWidth="1"/>
    <col min="6640" max="6645" width="10.140625" style="69" customWidth="1"/>
    <col min="6646" max="6646" width="11" style="69" customWidth="1"/>
    <col min="6647" max="6647" width="10.140625" style="69" customWidth="1"/>
    <col min="6648" max="6648" width="10.5703125" style="69" customWidth="1"/>
    <col min="6649" max="6651" width="10.140625" style="69" customWidth="1"/>
    <col min="6652" max="6652" width="4.140625" style="69" customWidth="1"/>
    <col min="6653" max="6655" width="10.42578125" style="69" customWidth="1"/>
    <col min="6656" max="6656" width="9.85546875" style="69" customWidth="1"/>
    <col min="6657" max="6657" width="21.5703125" style="69" customWidth="1"/>
    <col min="6658" max="6658" width="25.7109375" style="69" customWidth="1"/>
    <col min="6659" max="6661" width="21.5703125" style="69" customWidth="1"/>
    <col min="6662" max="6662" width="29.85546875" style="69" customWidth="1"/>
    <col min="6663" max="6891" width="11.42578125" style="69"/>
    <col min="6892" max="6892" width="2.28515625" style="69" customWidth="1"/>
    <col min="6893" max="6893" width="5.5703125" style="69" customWidth="1"/>
    <col min="6894" max="6894" width="34.28515625" style="69" customWidth="1"/>
    <col min="6895" max="6895" width="41.5703125" style="69" customWidth="1"/>
    <col min="6896" max="6901" width="10.140625" style="69" customWidth="1"/>
    <col min="6902" max="6902" width="11" style="69" customWidth="1"/>
    <col min="6903" max="6903" width="10.140625" style="69" customWidth="1"/>
    <col min="6904" max="6904" width="10.5703125" style="69" customWidth="1"/>
    <col min="6905" max="6907" width="10.140625" style="69" customWidth="1"/>
    <col min="6908" max="6908" width="4.140625" style="69" customWidth="1"/>
    <col min="6909" max="6911" width="10.42578125" style="69" customWidth="1"/>
    <col min="6912" max="6912" width="9.85546875" style="69" customWidth="1"/>
    <col min="6913" max="6913" width="21.5703125" style="69" customWidth="1"/>
    <col min="6914" max="6914" width="25.7109375" style="69" customWidth="1"/>
    <col min="6915" max="6917" width="21.5703125" style="69" customWidth="1"/>
    <col min="6918" max="6918" width="29.85546875" style="69" customWidth="1"/>
    <col min="6919" max="7147" width="11.42578125" style="69"/>
    <col min="7148" max="7148" width="2.28515625" style="69" customWidth="1"/>
    <col min="7149" max="7149" width="5.5703125" style="69" customWidth="1"/>
    <col min="7150" max="7150" width="34.28515625" style="69" customWidth="1"/>
    <col min="7151" max="7151" width="41.5703125" style="69" customWidth="1"/>
    <col min="7152" max="7157" width="10.140625" style="69" customWidth="1"/>
    <col min="7158" max="7158" width="11" style="69" customWidth="1"/>
    <col min="7159" max="7159" width="10.140625" style="69" customWidth="1"/>
    <col min="7160" max="7160" width="10.5703125" style="69" customWidth="1"/>
    <col min="7161" max="7163" width="10.140625" style="69" customWidth="1"/>
    <col min="7164" max="7164" width="4.140625" style="69" customWidth="1"/>
    <col min="7165" max="7167" width="10.42578125" style="69" customWidth="1"/>
    <col min="7168" max="7168" width="9.85546875" style="69" customWidth="1"/>
    <col min="7169" max="7169" width="21.5703125" style="69" customWidth="1"/>
    <col min="7170" max="7170" width="25.7109375" style="69" customWidth="1"/>
    <col min="7171" max="7173" width="21.5703125" style="69" customWidth="1"/>
    <col min="7174" max="7174" width="29.85546875" style="69" customWidth="1"/>
    <col min="7175" max="7403" width="11.42578125" style="69"/>
    <col min="7404" max="7404" width="2.28515625" style="69" customWidth="1"/>
    <col min="7405" max="7405" width="5.5703125" style="69" customWidth="1"/>
    <col min="7406" max="7406" width="34.28515625" style="69" customWidth="1"/>
    <col min="7407" max="7407" width="41.5703125" style="69" customWidth="1"/>
    <col min="7408" max="7413" width="10.140625" style="69" customWidth="1"/>
    <col min="7414" max="7414" width="11" style="69" customWidth="1"/>
    <col min="7415" max="7415" width="10.140625" style="69" customWidth="1"/>
    <col min="7416" max="7416" width="10.5703125" style="69" customWidth="1"/>
    <col min="7417" max="7419" width="10.140625" style="69" customWidth="1"/>
    <col min="7420" max="7420" width="4.140625" style="69" customWidth="1"/>
    <col min="7421" max="7423" width="10.42578125" style="69" customWidth="1"/>
    <col min="7424" max="7424" width="9.85546875" style="69" customWidth="1"/>
    <col min="7425" max="7425" width="21.5703125" style="69" customWidth="1"/>
    <col min="7426" max="7426" width="25.7109375" style="69" customWidth="1"/>
    <col min="7427" max="7429" width="21.5703125" style="69" customWidth="1"/>
    <col min="7430" max="7430" width="29.85546875" style="69" customWidth="1"/>
    <col min="7431" max="7659" width="11.42578125" style="69"/>
    <col min="7660" max="7660" width="2.28515625" style="69" customWidth="1"/>
    <col min="7661" max="7661" width="5.5703125" style="69" customWidth="1"/>
    <col min="7662" max="7662" width="34.28515625" style="69" customWidth="1"/>
    <col min="7663" max="7663" width="41.5703125" style="69" customWidth="1"/>
    <col min="7664" max="7669" width="10.140625" style="69" customWidth="1"/>
    <col min="7670" max="7670" width="11" style="69" customWidth="1"/>
    <col min="7671" max="7671" width="10.140625" style="69" customWidth="1"/>
    <col min="7672" max="7672" width="10.5703125" style="69" customWidth="1"/>
    <col min="7673" max="7675" width="10.140625" style="69" customWidth="1"/>
    <col min="7676" max="7676" width="4.140625" style="69" customWidth="1"/>
    <col min="7677" max="7679" width="10.42578125" style="69" customWidth="1"/>
    <col min="7680" max="7680" width="9.85546875" style="69" customWidth="1"/>
    <col min="7681" max="7681" width="21.5703125" style="69" customWidth="1"/>
    <col min="7682" max="7682" width="25.7109375" style="69" customWidth="1"/>
    <col min="7683" max="7685" width="21.5703125" style="69" customWidth="1"/>
    <col min="7686" max="7686" width="29.85546875" style="69" customWidth="1"/>
    <col min="7687" max="7915" width="11.42578125" style="69"/>
    <col min="7916" max="7916" width="2.28515625" style="69" customWidth="1"/>
    <col min="7917" max="7917" width="5.5703125" style="69" customWidth="1"/>
    <col min="7918" max="7918" width="34.28515625" style="69" customWidth="1"/>
    <col min="7919" max="7919" width="41.5703125" style="69" customWidth="1"/>
    <col min="7920" max="7925" width="10.140625" style="69" customWidth="1"/>
    <col min="7926" max="7926" width="11" style="69" customWidth="1"/>
    <col min="7927" max="7927" width="10.140625" style="69" customWidth="1"/>
    <col min="7928" max="7928" width="10.5703125" style="69" customWidth="1"/>
    <col min="7929" max="7931" width="10.140625" style="69" customWidth="1"/>
    <col min="7932" max="7932" width="4.140625" style="69" customWidth="1"/>
    <col min="7933" max="7935" width="10.42578125" style="69" customWidth="1"/>
    <col min="7936" max="7936" width="9.85546875" style="69" customWidth="1"/>
    <col min="7937" max="7937" width="21.5703125" style="69" customWidth="1"/>
    <col min="7938" max="7938" width="25.7109375" style="69" customWidth="1"/>
    <col min="7939" max="7941" width="21.5703125" style="69" customWidth="1"/>
    <col min="7942" max="7942" width="29.85546875" style="69" customWidth="1"/>
    <col min="7943" max="8171" width="11.42578125" style="69"/>
    <col min="8172" max="8172" width="2.28515625" style="69" customWidth="1"/>
    <col min="8173" max="8173" width="5.5703125" style="69" customWidth="1"/>
    <col min="8174" max="8174" width="34.28515625" style="69" customWidth="1"/>
    <col min="8175" max="8175" width="41.5703125" style="69" customWidth="1"/>
    <col min="8176" max="8181" width="10.140625" style="69" customWidth="1"/>
    <col min="8182" max="8182" width="11" style="69" customWidth="1"/>
    <col min="8183" max="8183" width="10.140625" style="69" customWidth="1"/>
    <col min="8184" max="8184" width="10.5703125" style="69" customWidth="1"/>
    <col min="8185" max="8187" width="10.140625" style="69" customWidth="1"/>
    <col min="8188" max="8188" width="4.140625" style="69" customWidth="1"/>
    <col min="8189" max="8191" width="10.42578125" style="69" customWidth="1"/>
    <col min="8192" max="8192" width="9.85546875" style="69" customWidth="1"/>
    <col min="8193" max="8193" width="21.5703125" style="69" customWidth="1"/>
    <col min="8194" max="8194" width="25.7109375" style="69" customWidth="1"/>
    <col min="8195" max="8197" width="21.5703125" style="69" customWidth="1"/>
    <col min="8198" max="8198" width="29.85546875" style="69" customWidth="1"/>
    <col min="8199" max="8427" width="11.42578125" style="69"/>
    <col min="8428" max="8428" width="2.28515625" style="69" customWidth="1"/>
    <col min="8429" max="8429" width="5.5703125" style="69" customWidth="1"/>
    <col min="8430" max="8430" width="34.28515625" style="69" customWidth="1"/>
    <col min="8431" max="8431" width="41.5703125" style="69" customWidth="1"/>
    <col min="8432" max="8437" width="10.140625" style="69" customWidth="1"/>
    <col min="8438" max="8438" width="11" style="69" customWidth="1"/>
    <col min="8439" max="8439" width="10.140625" style="69" customWidth="1"/>
    <col min="8440" max="8440" width="10.5703125" style="69" customWidth="1"/>
    <col min="8441" max="8443" width="10.140625" style="69" customWidth="1"/>
    <col min="8444" max="8444" width="4.140625" style="69" customWidth="1"/>
    <col min="8445" max="8447" width="10.42578125" style="69" customWidth="1"/>
    <col min="8448" max="8448" width="9.85546875" style="69" customWidth="1"/>
    <col min="8449" max="8449" width="21.5703125" style="69" customWidth="1"/>
    <col min="8450" max="8450" width="25.7109375" style="69" customWidth="1"/>
    <col min="8451" max="8453" width="21.5703125" style="69" customWidth="1"/>
    <col min="8454" max="8454" width="29.85546875" style="69" customWidth="1"/>
    <col min="8455" max="8683" width="11.42578125" style="69"/>
    <col min="8684" max="8684" width="2.28515625" style="69" customWidth="1"/>
    <col min="8685" max="8685" width="5.5703125" style="69" customWidth="1"/>
    <col min="8686" max="8686" width="34.28515625" style="69" customWidth="1"/>
    <col min="8687" max="8687" width="41.5703125" style="69" customWidth="1"/>
    <col min="8688" max="8693" width="10.140625" style="69" customWidth="1"/>
    <col min="8694" max="8694" width="11" style="69" customWidth="1"/>
    <col min="8695" max="8695" width="10.140625" style="69" customWidth="1"/>
    <col min="8696" max="8696" width="10.5703125" style="69" customWidth="1"/>
    <col min="8697" max="8699" width="10.140625" style="69" customWidth="1"/>
    <col min="8700" max="8700" width="4.140625" style="69" customWidth="1"/>
    <col min="8701" max="8703" width="10.42578125" style="69" customWidth="1"/>
    <col min="8704" max="8704" width="9.85546875" style="69" customWidth="1"/>
    <col min="8705" max="8705" width="21.5703125" style="69" customWidth="1"/>
    <col min="8706" max="8706" width="25.7109375" style="69" customWidth="1"/>
    <col min="8707" max="8709" width="21.5703125" style="69" customWidth="1"/>
    <col min="8710" max="8710" width="29.85546875" style="69" customWidth="1"/>
    <col min="8711" max="8939" width="11.42578125" style="69"/>
    <col min="8940" max="8940" width="2.28515625" style="69" customWidth="1"/>
    <col min="8941" max="8941" width="5.5703125" style="69" customWidth="1"/>
    <col min="8942" max="8942" width="34.28515625" style="69" customWidth="1"/>
    <col min="8943" max="8943" width="41.5703125" style="69" customWidth="1"/>
    <col min="8944" max="8949" width="10.140625" style="69" customWidth="1"/>
    <col min="8950" max="8950" width="11" style="69" customWidth="1"/>
    <col min="8951" max="8951" width="10.140625" style="69" customWidth="1"/>
    <col min="8952" max="8952" width="10.5703125" style="69" customWidth="1"/>
    <col min="8953" max="8955" width="10.140625" style="69" customWidth="1"/>
    <col min="8956" max="8956" width="4.140625" style="69" customWidth="1"/>
    <col min="8957" max="8959" width="10.42578125" style="69" customWidth="1"/>
    <col min="8960" max="8960" width="9.85546875" style="69" customWidth="1"/>
    <col min="8961" max="8961" width="21.5703125" style="69" customWidth="1"/>
    <col min="8962" max="8962" width="25.7109375" style="69" customWidth="1"/>
    <col min="8963" max="8965" width="21.5703125" style="69" customWidth="1"/>
    <col min="8966" max="8966" width="29.85546875" style="69" customWidth="1"/>
    <col min="8967" max="9195" width="11.42578125" style="69"/>
    <col min="9196" max="9196" width="2.28515625" style="69" customWidth="1"/>
    <col min="9197" max="9197" width="5.5703125" style="69" customWidth="1"/>
    <col min="9198" max="9198" width="34.28515625" style="69" customWidth="1"/>
    <col min="9199" max="9199" width="41.5703125" style="69" customWidth="1"/>
    <col min="9200" max="9205" width="10.140625" style="69" customWidth="1"/>
    <col min="9206" max="9206" width="11" style="69" customWidth="1"/>
    <col min="9207" max="9207" width="10.140625" style="69" customWidth="1"/>
    <col min="9208" max="9208" width="10.5703125" style="69" customWidth="1"/>
    <col min="9209" max="9211" width="10.140625" style="69" customWidth="1"/>
    <col min="9212" max="9212" width="4.140625" style="69" customWidth="1"/>
    <col min="9213" max="9215" width="10.42578125" style="69" customWidth="1"/>
    <col min="9216" max="9216" width="9.85546875" style="69" customWidth="1"/>
    <col min="9217" max="9217" width="21.5703125" style="69" customWidth="1"/>
    <col min="9218" max="9218" width="25.7109375" style="69" customWidth="1"/>
    <col min="9219" max="9221" width="21.5703125" style="69" customWidth="1"/>
    <col min="9222" max="9222" width="29.85546875" style="69" customWidth="1"/>
    <col min="9223" max="9451" width="11.42578125" style="69"/>
    <col min="9452" max="9452" width="2.28515625" style="69" customWidth="1"/>
    <col min="9453" max="9453" width="5.5703125" style="69" customWidth="1"/>
    <col min="9454" max="9454" width="34.28515625" style="69" customWidth="1"/>
    <col min="9455" max="9455" width="41.5703125" style="69" customWidth="1"/>
    <col min="9456" max="9461" width="10.140625" style="69" customWidth="1"/>
    <col min="9462" max="9462" width="11" style="69" customWidth="1"/>
    <col min="9463" max="9463" width="10.140625" style="69" customWidth="1"/>
    <col min="9464" max="9464" width="10.5703125" style="69" customWidth="1"/>
    <col min="9465" max="9467" width="10.140625" style="69" customWidth="1"/>
    <col min="9468" max="9468" width="4.140625" style="69" customWidth="1"/>
    <col min="9469" max="9471" width="10.42578125" style="69" customWidth="1"/>
    <col min="9472" max="9472" width="9.85546875" style="69" customWidth="1"/>
    <col min="9473" max="9473" width="21.5703125" style="69" customWidth="1"/>
    <col min="9474" max="9474" width="25.7109375" style="69" customWidth="1"/>
    <col min="9475" max="9477" width="21.5703125" style="69" customWidth="1"/>
    <col min="9478" max="9478" width="29.85546875" style="69" customWidth="1"/>
    <col min="9479" max="9707" width="11.42578125" style="69"/>
    <col min="9708" max="9708" width="2.28515625" style="69" customWidth="1"/>
    <col min="9709" max="9709" width="5.5703125" style="69" customWidth="1"/>
    <col min="9710" max="9710" width="34.28515625" style="69" customWidth="1"/>
    <col min="9711" max="9711" width="41.5703125" style="69" customWidth="1"/>
    <col min="9712" max="9717" width="10.140625" style="69" customWidth="1"/>
    <col min="9718" max="9718" width="11" style="69" customWidth="1"/>
    <col min="9719" max="9719" width="10.140625" style="69" customWidth="1"/>
    <col min="9720" max="9720" width="10.5703125" style="69" customWidth="1"/>
    <col min="9721" max="9723" width="10.140625" style="69" customWidth="1"/>
    <col min="9724" max="9724" width="4.140625" style="69" customWidth="1"/>
    <col min="9725" max="9727" width="10.42578125" style="69" customWidth="1"/>
    <col min="9728" max="9728" width="9.85546875" style="69" customWidth="1"/>
    <col min="9729" max="9729" width="21.5703125" style="69" customWidth="1"/>
    <col min="9730" max="9730" width="25.7109375" style="69" customWidth="1"/>
    <col min="9731" max="9733" width="21.5703125" style="69" customWidth="1"/>
    <col min="9734" max="9734" width="29.85546875" style="69" customWidth="1"/>
    <col min="9735" max="9963" width="11.42578125" style="69"/>
    <col min="9964" max="9964" width="2.28515625" style="69" customWidth="1"/>
    <col min="9965" max="9965" width="5.5703125" style="69" customWidth="1"/>
    <col min="9966" max="9966" width="34.28515625" style="69" customWidth="1"/>
    <col min="9967" max="9967" width="41.5703125" style="69" customWidth="1"/>
    <col min="9968" max="9973" width="10.140625" style="69" customWidth="1"/>
    <col min="9974" max="9974" width="11" style="69" customWidth="1"/>
    <col min="9975" max="9975" width="10.140625" style="69" customWidth="1"/>
    <col min="9976" max="9976" width="10.5703125" style="69" customWidth="1"/>
    <col min="9977" max="9979" width="10.140625" style="69" customWidth="1"/>
    <col min="9980" max="9980" width="4.140625" style="69" customWidth="1"/>
    <col min="9981" max="9983" width="10.42578125" style="69" customWidth="1"/>
    <col min="9984" max="9984" width="9.85546875" style="69" customWidth="1"/>
    <col min="9985" max="9985" width="21.5703125" style="69" customWidth="1"/>
    <col min="9986" max="9986" width="25.7109375" style="69" customWidth="1"/>
    <col min="9987" max="9989" width="21.5703125" style="69" customWidth="1"/>
    <col min="9990" max="9990" width="29.85546875" style="69" customWidth="1"/>
    <col min="9991" max="10219" width="11.42578125" style="69"/>
    <col min="10220" max="10220" width="2.28515625" style="69" customWidth="1"/>
    <col min="10221" max="10221" width="5.5703125" style="69" customWidth="1"/>
    <col min="10222" max="10222" width="34.28515625" style="69" customWidth="1"/>
    <col min="10223" max="10223" width="41.5703125" style="69" customWidth="1"/>
    <col min="10224" max="10229" width="10.140625" style="69" customWidth="1"/>
    <col min="10230" max="10230" width="11" style="69" customWidth="1"/>
    <col min="10231" max="10231" width="10.140625" style="69" customWidth="1"/>
    <col min="10232" max="10232" width="10.5703125" style="69" customWidth="1"/>
    <col min="10233" max="10235" width="10.140625" style="69" customWidth="1"/>
    <col min="10236" max="10236" width="4.140625" style="69" customWidth="1"/>
    <col min="10237" max="10239" width="10.42578125" style="69" customWidth="1"/>
    <col min="10240" max="10240" width="9.85546875" style="69" customWidth="1"/>
    <col min="10241" max="10241" width="21.5703125" style="69" customWidth="1"/>
    <col min="10242" max="10242" width="25.7109375" style="69" customWidth="1"/>
    <col min="10243" max="10245" width="21.5703125" style="69" customWidth="1"/>
    <col min="10246" max="10246" width="29.85546875" style="69" customWidth="1"/>
    <col min="10247" max="10475" width="11.42578125" style="69"/>
    <col min="10476" max="10476" width="2.28515625" style="69" customWidth="1"/>
    <col min="10477" max="10477" width="5.5703125" style="69" customWidth="1"/>
    <col min="10478" max="10478" width="34.28515625" style="69" customWidth="1"/>
    <col min="10479" max="10479" width="41.5703125" style="69" customWidth="1"/>
    <col min="10480" max="10485" width="10.140625" style="69" customWidth="1"/>
    <col min="10486" max="10486" width="11" style="69" customWidth="1"/>
    <col min="10487" max="10487" width="10.140625" style="69" customWidth="1"/>
    <col min="10488" max="10488" width="10.5703125" style="69" customWidth="1"/>
    <col min="10489" max="10491" width="10.140625" style="69" customWidth="1"/>
    <col min="10492" max="10492" width="4.140625" style="69" customWidth="1"/>
    <col min="10493" max="10495" width="10.42578125" style="69" customWidth="1"/>
    <col min="10496" max="10496" width="9.85546875" style="69" customWidth="1"/>
    <col min="10497" max="10497" width="21.5703125" style="69" customWidth="1"/>
    <col min="10498" max="10498" width="25.7109375" style="69" customWidth="1"/>
    <col min="10499" max="10501" width="21.5703125" style="69" customWidth="1"/>
    <col min="10502" max="10502" width="29.85546875" style="69" customWidth="1"/>
    <col min="10503" max="10731" width="11.42578125" style="69"/>
    <col min="10732" max="10732" width="2.28515625" style="69" customWidth="1"/>
    <col min="10733" max="10733" width="5.5703125" style="69" customWidth="1"/>
    <col min="10734" max="10734" width="34.28515625" style="69" customWidth="1"/>
    <col min="10735" max="10735" width="41.5703125" style="69" customWidth="1"/>
    <col min="10736" max="10741" width="10.140625" style="69" customWidth="1"/>
    <col min="10742" max="10742" width="11" style="69" customWidth="1"/>
    <col min="10743" max="10743" width="10.140625" style="69" customWidth="1"/>
    <col min="10744" max="10744" width="10.5703125" style="69" customWidth="1"/>
    <col min="10745" max="10747" width="10.140625" style="69" customWidth="1"/>
    <col min="10748" max="10748" width="4.140625" style="69" customWidth="1"/>
    <col min="10749" max="10751" width="10.42578125" style="69" customWidth="1"/>
    <col min="10752" max="10752" width="9.85546875" style="69" customWidth="1"/>
    <col min="10753" max="10753" width="21.5703125" style="69" customWidth="1"/>
    <col min="10754" max="10754" width="25.7109375" style="69" customWidth="1"/>
    <col min="10755" max="10757" width="21.5703125" style="69" customWidth="1"/>
    <col min="10758" max="10758" width="29.85546875" style="69" customWidth="1"/>
    <col min="10759" max="10987" width="11.42578125" style="69"/>
    <col min="10988" max="10988" width="2.28515625" style="69" customWidth="1"/>
    <col min="10989" max="10989" width="5.5703125" style="69" customWidth="1"/>
    <col min="10990" max="10990" width="34.28515625" style="69" customWidth="1"/>
    <col min="10991" max="10991" width="41.5703125" style="69" customWidth="1"/>
    <col min="10992" max="10997" width="10.140625" style="69" customWidth="1"/>
    <col min="10998" max="10998" width="11" style="69" customWidth="1"/>
    <col min="10999" max="10999" width="10.140625" style="69" customWidth="1"/>
    <col min="11000" max="11000" width="10.5703125" style="69" customWidth="1"/>
    <col min="11001" max="11003" width="10.140625" style="69" customWidth="1"/>
    <col min="11004" max="11004" width="4.140625" style="69" customWidth="1"/>
    <col min="11005" max="11007" width="10.42578125" style="69" customWidth="1"/>
    <col min="11008" max="11008" width="9.85546875" style="69" customWidth="1"/>
    <col min="11009" max="11009" width="21.5703125" style="69" customWidth="1"/>
    <col min="11010" max="11010" width="25.7109375" style="69" customWidth="1"/>
    <col min="11011" max="11013" width="21.5703125" style="69" customWidth="1"/>
    <col min="11014" max="11014" width="29.85546875" style="69" customWidth="1"/>
    <col min="11015" max="11243" width="11.42578125" style="69"/>
    <col min="11244" max="11244" width="2.28515625" style="69" customWidth="1"/>
    <col min="11245" max="11245" width="5.5703125" style="69" customWidth="1"/>
    <col min="11246" max="11246" width="34.28515625" style="69" customWidth="1"/>
    <col min="11247" max="11247" width="41.5703125" style="69" customWidth="1"/>
    <col min="11248" max="11253" width="10.140625" style="69" customWidth="1"/>
    <col min="11254" max="11254" width="11" style="69" customWidth="1"/>
    <col min="11255" max="11255" width="10.140625" style="69" customWidth="1"/>
    <col min="11256" max="11256" width="10.5703125" style="69" customWidth="1"/>
    <col min="11257" max="11259" width="10.140625" style="69" customWidth="1"/>
    <col min="11260" max="11260" width="4.140625" style="69" customWidth="1"/>
    <col min="11261" max="11263" width="10.42578125" style="69" customWidth="1"/>
    <col min="11264" max="11264" width="9.85546875" style="69" customWidth="1"/>
    <col min="11265" max="11265" width="21.5703125" style="69" customWidth="1"/>
    <col min="11266" max="11266" width="25.7109375" style="69" customWidth="1"/>
    <col min="11267" max="11269" width="21.5703125" style="69" customWidth="1"/>
    <col min="11270" max="11270" width="29.85546875" style="69" customWidth="1"/>
    <col min="11271" max="11499" width="11.42578125" style="69"/>
    <col min="11500" max="11500" width="2.28515625" style="69" customWidth="1"/>
    <col min="11501" max="11501" width="5.5703125" style="69" customWidth="1"/>
    <col min="11502" max="11502" width="34.28515625" style="69" customWidth="1"/>
    <col min="11503" max="11503" width="41.5703125" style="69" customWidth="1"/>
    <col min="11504" max="11509" width="10.140625" style="69" customWidth="1"/>
    <col min="11510" max="11510" width="11" style="69" customWidth="1"/>
    <col min="11511" max="11511" width="10.140625" style="69" customWidth="1"/>
    <col min="11512" max="11512" width="10.5703125" style="69" customWidth="1"/>
    <col min="11513" max="11515" width="10.140625" style="69" customWidth="1"/>
    <col min="11516" max="11516" width="4.140625" style="69" customWidth="1"/>
    <col min="11517" max="11519" width="10.42578125" style="69" customWidth="1"/>
    <col min="11520" max="11520" width="9.85546875" style="69" customWidth="1"/>
    <col min="11521" max="11521" width="21.5703125" style="69" customWidth="1"/>
    <col min="11522" max="11522" width="25.7109375" style="69" customWidth="1"/>
    <col min="11523" max="11525" width="21.5703125" style="69" customWidth="1"/>
    <col min="11526" max="11526" width="29.85546875" style="69" customWidth="1"/>
    <col min="11527" max="11755" width="11.42578125" style="69"/>
    <col min="11756" max="11756" width="2.28515625" style="69" customWidth="1"/>
    <col min="11757" max="11757" width="5.5703125" style="69" customWidth="1"/>
    <col min="11758" max="11758" width="34.28515625" style="69" customWidth="1"/>
    <col min="11759" max="11759" width="41.5703125" style="69" customWidth="1"/>
    <col min="11760" max="11765" width="10.140625" style="69" customWidth="1"/>
    <col min="11766" max="11766" width="11" style="69" customWidth="1"/>
    <col min="11767" max="11767" width="10.140625" style="69" customWidth="1"/>
    <col min="11768" max="11768" width="10.5703125" style="69" customWidth="1"/>
    <col min="11769" max="11771" width="10.140625" style="69" customWidth="1"/>
    <col min="11772" max="11772" width="4.140625" style="69" customWidth="1"/>
    <col min="11773" max="11775" width="10.42578125" style="69" customWidth="1"/>
    <col min="11776" max="11776" width="9.85546875" style="69" customWidth="1"/>
    <col min="11777" max="11777" width="21.5703125" style="69" customWidth="1"/>
    <col min="11778" max="11778" width="25.7109375" style="69" customWidth="1"/>
    <col min="11779" max="11781" width="21.5703125" style="69" customWidth="1"/>
    <col min="11782" max="11782" width="29.85546875" style="69" customWidth="1"/>
    <col min="11783" max="12011" width="11.42578125" style="69"/>
    <col min="12012" max="12012" width="2.28515625" style="69" customWidth="1"/>
    <col min="12013" max="12013" width="5.5703125" style="69" customWidth="1"/>
    <col min="12014" max="12014" width="34.28515625" style="69" customWidth="1"/>
    <col min="12015" max="12015" width="41.5703125" style="69" customWidth="1"/>
    <col min="12016" max="12021" width="10.140625" style="69" customWidth="1"/>
    <col min="12022" max="12022" width="11" style="69" customWidth="1"/>
    <col min="12023" max="12023" width="10.140625" style="69" customWidth="1"/>
    <col min="12024" max="12024" width="10.5703125" style="69" customWidth="1"/>
    <col min="12025" max="12027" width="10.140625" style="69" customWidth="1"/>
    <col min="12028" max="12028" width="4.140625" style="69" customWidth="1"/>
    <col min="12029" max="12031" width="10.42578125" style="69" customWidth="1"/>
    <col min="12032" max="12032" width="9.85546875" style="69" customWidth="1"/>
    <col min="12033" max="12033" width="21.5703125" style="69" customWidth="1"/>
    <col min="12034" max="12034" width="25.7109375" style="69" customWidth="1"/>
    <col min="12035" max="12037" width="21.5703125" style="69" customWidth="1"/>
    <col min="12038" max="12038" width="29.85546875" style="69" customWidth="1"/>
    <col min="12039" max="12267" width="11.42578125" style="69"/>
    <col min="12268" max="12268" width="2.28515625" style="69" customWidth="1"/>
    <col min="12269" max="12269" width="5.5703125" style="69" customWidth="1"/>
    <col min="12270" max="12270" width="34.28515625" style="69" customWidth="1"/>
    <col min="12271" max="12271" width="41.5703125" style="69" customWidth="1"/>
    <col min="12272" max="12277" width="10.140625" style="69" customWidth="1"/>
    <col min="12278" max="12278" width="11" style="69" customWidth="1"/>
    <col min="12279" max="12279" width="10.140625" style="69" customWidth="1"/>
    <col min="12280" max="12280" width="10.5703125" style="69" customWidth="1"/>
    <col min="12281" max="12283" width="10.140625" style="69" customWidth="1"/>
    <col min="12284" max="12284" width="4.140625" style="69" customWidth="1"/>
    <col min="12285" max="12287" width="10.42578125" style="69" customWidth="1"/>
    <col min="12288" max="12288" width="9.85546875" style="69" customWidth="1"/>
    <col min="12289" max="12289" width="21.5703125" style="69" customWidth="1"/>
    <col min="12290" max="12290" width="25.7109375" style="69" customWidth="1"/>
    <col min="12291" max="12293" width="21.5703125" style="69" customWidth="1"/>
    <col min="12294" max="12294" width="29.85546875" style="69" customWidth="1"/>
    <col min="12295" max="12523" width="11.42578125" style="69"/>
    <col min="12524" max="12524" width="2.28515625" style="69" customWidth="1"/>
    <col min="12525" max="12525" width="5.5703125" style="69" customWidth="1"/>
    <col min="12526" max="12526" width="34.28515625" style="69" customWidth="1"/>
    <col min="12527" max="12527" width="41.5703125" style="69" customWidth="1"/>
    <col min="12528" max="12533" width="10.140625" style="69" customWidth="1"/>
    <col min="12534" max="12534" width="11" style="69" customWidth="1"/>
    <col min="12535" max="12535" width="10.140625" style="69" customWidth="1"/>
    <col min="12536" max="12536" width="10.5703125" style="69" customWidth="1"/>
    <col min="12537" max="12539" width="10.140625" style="69" customWidth="1"/>
    <col min="12540" max="12540" width="4.140625" style="69" customWidth="1"/>
    <col min="12541" max="12543" width="10.42578125" style="69" customWidth="1"/>
    <col min="12544" max="12544" width="9.85546875" style="69" customWidth="1"/>
    <col min="12545" max="12545" width="21.5703125" style="69" customWidth="1"/>
    <col min="12546" max="12546" width="25.7109375" style="69" customWidth="1"/>
    <col min="12547" max="12549" width="21.5703125" style="69" customWidth="1"/>
    <col min="12550" max="12550" width="29.85546875" style="69" customWidth="1"/>
    <col min="12551" max="12779" width="11.42578125" style="69"/>
    <col min="12780" max="12780" width="2.28515625" style="69" customWidth="1"/>
    <col min="12781" max="12781" width="5.5703125" style="69" customWidth="1"/>
    <col min="12782" max="12782" width="34.28515625" style="69" customWidth="1"/>
    <col min="12783" max="12783" width="41.5703125" style="69" customWidth="1"/>
    <col min="12784" max="12789" width="10.140625" style="69" customWidth="1"/>
    <col min="12790" max="12790" width="11" style="69" customWidth="1"/>
    <col min="12791" max="12791" width="10.140625" style="69" customWidth="1"/>
    <col min="12792" max="12792" width="10.5703125" style="69" customWidth="1"/>
    <col min="12793" max="12795" width="10.140625" style="69" customWidth="1"/>
    <col min="12796" max="12796" width="4.140625" style="69" customWidth="1"/>
    <col min="12797" max="12799" width="10.42578125" style="69" customWidth="1"/>
    <col min="12800" max="12800" width="9.85546875" style="69" customWidth="1"/>
    <col min="12801" max="12801" width="21.5703125" style="69" customWidth="1"/>
    <col min="12802" max="12802" width="25.7109375" style="69" customWidth="1"/>
    <col min="12803" max="12805" width="21.5703125" style="69" customWidth="1"/>
    <col min="12806" max="12806" width="29.85546875" style="69" customWidth="1"/>
    <col min="12807" max="13035" width="11.42578125" style="69"/>
    <col min="13036" max="13036" width="2.28515625" style="69" customWidth="1"/>
    <col min="13037" max="13037" width="5.5703125" style="69" customWidth="1"/>
    <col min="13038" max="13038" width="34.28515625" style="69" customWidth="1"/>
    <col min="13039" max="13039" width="41.5703125" style="69" customWidth="1"/>
    <col min="13040" max="13045" width="10.140625" style="69" customWidth="1"/>
    <col min="13046" max="13046" width="11" style="69" customWidth="1"/>
    <col min="13047" max="13047" width="10.140625" style="69" customWidth="1"/>
    <col min="13048" max="13048" width="10.5703125" style="69" customWidth="1"/>
    <col min="13049" max="13051" width="10.140625" style="69" customWidth="1"/>
    <col min="13052" max="13052" width="4.140625" style="69" customWidth="1"/>
    <col min="13053" max="13055" width="10.42578125" style="69" customWidth="1"/>
    <col min="13056" max="13056" width="9.85546875" style="69" customWidth="1"/>
    <col min="13057" max="13057" width="21.5703125" style="69" customWidth="1"/>
    <col min="13058" max="13058" width="25.7109375" style="69" customWidth="1"/>
    <col min="13059" max="13061" width="21.5703125" style="69" customWidth="1"/>
    <col min="13062" max="13062" width="29.85546875" style="69" customWidth="1"/>
    <col min="13063" max="13291" width="11.42578125" style="69"/>
    <col min="13292" max="13292" width="2.28515625" style="69" customWidth="1"/>
    <col min="13293" max="13293" width="5.5703125" style="69" customWidth="1"/>
    <col min="13294" max="13294" width="34.28515625" style="69" customWidth="1"/>
    <col min="13295" max="13295" width="41.5703125" style="69" customWidth="1"/>
    <col min="13296" max="13301" width="10.140625" style="69" customWidth="1"/>
    <col min="13302" max="13302" width="11" style="69" customWidth="1"/>
    <col min="13303" max="13303" width="10.140625" style="69" customWidth="1"/>
    <col min="13304" max="13304" width="10.5703125" style="69" customWidth="1"/>
    <col min="13305" max="13307" width="10.140625" style="69" customWidth="1"/>
    <col min="13308" max="13308" width="4.140625" style="69" customWidth="1"/>
    <col min="13309" max="13311" width="10.42578125" style="69" customWidth="1"/>
    <col min="13312" max="13312" width="9.85546875" style="69" customWidth="1"/>
    <col min="13313" max="13313" width="21.5703125" style="69" customWidth="1"/>
    <col min="13314" max="13314" width="25.7109375" style="69" customWidth="1"/>
    <col min="13315" max="13317" width="21.5703125" style="69" customWidth="1"/>
    <col min="13318" max="13318" width="29.85546875" style="69" customWidth="1"/>
    <col min="13319" max="13547" width="11.42578125" style="69"/>
    <col min="13548" max="13548" width="2.28515625" style="69" customWidth="1"/>
    <col min="13549" max="13549" width="5.5703125" style="69" customWidth="1"/>
    <col min="13550" max="13550" width="34.28515625" style="69" customWidth="1"/>
    <col min="13551" max="13551" width="41.5703125" style="69" customWidth="1"/>
    <col min="13552" max="13557" width="10.140625" style="69" customWidth="1"/>
    <col min="13558" max="13558" width="11" style="69" customWidth="1"/>
    <col min="13559" max="13559" width="10.140625" style="69" customWidth="1"/>
    <col min="13560" max="13560" width="10.5703125" style="69" customWidth="1"/>
    <col min="13561" max="13563" width="10.140625" style="69" customWidth="1"/>
    <col min="13564" max="13564" width="4.140625" style="69" customWidth="1"/>
    <col min="13565" max="13567" width="10.42578125" style="69" customWidth="1"/>
    <col min="13568" max="13568" width="9.85546875" style="69" customWidth="1"/>
    <col min="13569" max="13569" width="21.5703125" style="69" customWidth="1"/>
    <col min="13570" max="13570" width="25.7109375" style="69" customWidth="1"/>
    <col min="13571" max="13573" width="21.5703125" style="69" customWidth="1"/>
    <col min="13574" max="13574" width="29.85546875" style="69" customWidth="1"/>
    <col min="13575" max="13803" width="11.42578125" style="69"/>
    <col min="13804" max="13804" width="2.28515625" style="69" customWidth="1"/>
    <col min="13805" max="13805" width="5.5703125" style="69" customWidth="1"/>
    <col min="13806" max="13806" width="34.28515625" style="69" customWidth="1"/>
    <col min="13807" max="13807" width="41.5703125" style="69" customWidth="1"/>
    <col min="13808" max="13813" width="10.140625" style="69" customWidth="1"/>
    <col min="13814" max="13814" width="11" style="69" customWidth="1"/>
    <col min="13815" max="13815" width="10.140625" style="69" customWidth="1"/>
    <col min="13816" max="13816" width="10.5703125" style="69" customWidth="1"/>
    <col min="13817" max="13819" width="10.140625" style="69" customWidth="1"/>
    <col min="13820" max="13820" width="4.140625" style="69" customWidth="1"/>
    <col min="13821" max="13823" width="10.42578125" style="69" customWidth="1"/>
    <col min="13824" max="13824" width="9.85546875" style="69" customWidth="1"/>
    <col min="13825" max="13825" width="21.5703125" style="69" customWidth="1"/>
    <col min="13826" max="13826" width="25.7109375" style="69" customWidth="1"/>
    <col min="13827" max="13829" width="21.5703125" style="69" customWidth="1"/>
    <col min="13830" max="13830" width="29.85546875" style="69" customWidth="1"/>
    <col min="13831" max="14059" width="11.42578125" style="69"/>
    <col min="14060" max="14060" width="2.28515625" style="69" customWidth="1"/>
    <col min="14061" max="14061" width="5.5703125" style="69" customWidth="1"/>
    <col min="14062" max="14062" width="34.28515625" style="69" customWidth="1"/>
    <col min="14063" max="14063" width="41.5703125" style="69" customWidth="1"/>
    <col min="14064" max="14069" width="10.140625" style="69" customWidth="1"/>
    <col min="14070" max="14070" width="11" style="69" customWidth="1"/>
    <col min="14071" max="14071" width="10.140625" style="69" customWidth="1"/>
    <col min="14072" max="14072" width="10.5703125" style="69" customWidth="1"/>
    <col min="14073" max="14075" width="10.140625" style="69" customWidth="1"/>
    <col min="14076" max="14076" width="4.140625" style="69" customWidth="1"/>
    <col min="14077" max="14079" width="10.42578125" style="69" customWidth="1"/>
    <col min="14080" max="14080" width="9.85546875" style="69" customWidth="1"/>
    <col min="14081" max="14081" width="21.5703125" style="69" customWidth="1"/>
    <col min="14082" max="14082" width="25.7109375" style="69" customWidth="1"/>
    <col min="14083" max="14085" width="21.5703125" style="69" customWidth="1"/>
    <col min="14086" max="14086" width="29.85546875" style="69" customWidth="1"/>
    <col min="14087" max="14315" width="11.42578125" style="69"/>
    <col min="14316" max="14316" width="2.28515625" style="69" customWidth="1"/>
    <col min="14317" max="14317" width="5.5703125" style="69" customWidth="1"/>
    <col min="14318" max="14318" width="34.28515625" style="69" customWidth="1"/>
    <col min="14319" max="14319" width="41.5703125" style="69" customWidth="1"/>
    <col min="14320" max="14325" width="10.140625" style="69" customWidth="1"/>
    <col min="14326" max="14326" width="11" style="69" customWidth="1"/>
    <col min="14327" max="14327" width="10.140625" style="69" customWidth="1"/>
    <col min="14328" max="14328" width="10.5703125" style="69" customWidth="1"/>
    <col min="14329" max="14331" width="10.140625" style="69" customWidth="1"/>
    <col min="14332" max="14332" width="4.140625" style="69" customWidth="1"/>
    <col min="14333" max="14335" width="10.42578125" style="69" customWidth="1"/>
    <col min="14336" max="14336" width="9.85546875" style="69" customWidth="1"/>
    <col min="14337" max="14337" width="21.5703125" style="69" customWidth="1"/>
    <col min="14338" max="14338" width="25.7109375" style="69" customWidth="1"/>
    <col min="14339" max="14341" width="21.5703125" style="69" customWidth="1"/>
    <col min="14342" max="14342" width="29.85546875" style="69" customWidth="1"/>
    <col min="14343" max="14571" width="11.42578125" style="69"/>
    <col min="14572" max="14572" width="2.28515625" style="69" customWidth="1"/>
    <col min="14573" max="14573" width="5.5703125" style="69" customWidth="1"/>
    <col min="14574" max="14574" width="34.28515625" style="69" customWidth="1"/>
    <col min="14575" max="14575" width="41.5703125" style="69" customWidth="1"/>
    <col min="14576" max="14581" width="10.140625" style="69" customWidth="1"/>
    <col min="14582" max="14582" width="11" style="69" customWidth="1"/>
    <col min="14583" max="14583" width="10.140625" style="69" customWidth="1"/>
    <col min="14584" max="14584" width="10.5703125" style="69" customWidth="1"/>
    <col min="14585" max="14587" width="10.140625" style="69" customWidth="1"/>
    <col min="14588" max="14588" width="4.140625" style="69" customWidth="1"/>
    <col min="14589" max="14591" width="10.42578125" style="69" customWidth="1"/>
    <col min="14592" max="14592" width="9.85546875" style="69" customWidth="1"/>
    <col min="14593" max="14593" width="21.5703125" style="69" customWidth="1"/>
    <col min="14594" max="14594" width="25.7109375" style="69" customWidth="1"/>
    <col min="14595" max="14597" width="21.5703125" style="69" customWidth="1"/>
    <col min="14598" max="14598" width="29.85546875" style="69" customWidth="1"/>
    <col min="14599" max="14827" width="11.42578125" style="69"/>
    <col min="14828" max="14828" width="2.28515625" style="69" customWidth="1"/>
    <col min="14829" max="14829" width="5.5703125" style="69" customWidth="1"/>
    <col min="14830" max="14830" width="34.28515625" style="69" customWidth="1"/>
    <col min="14831" max="14831" width="41.5703125" style="69" customWidth="1"/>
    <col min="14832" max="14837" width="10.140625" style="69" customWidth="1"/>
    <col min="14838" max="14838" width="11" style="69" customWidth="1"/>
    <col min="14839" max="14839" width="10.140625" style="69" customWidth="1"/>
    <col min="14840" max="14840" width="10.5703125" style="69" customWidth="1"/>
    <col min="14841" max="14843" width="10.140625" style="69" customWidth="1"/>
    <col min="14844" max="14844" width="4.140625" style="69" customWidth="1"/>
    <col min="14845" max="14847" width="10.42578125" style="69" customWidth="1"/>
    <col min="14848" max="14848" width="9.85546875" style="69" customWidth="1"/>
    <col min="14849" max="14849" width="21.5703125" style="69" customWidth="1"/>
    <col min="14850" max="14850" width="25.7109375" style="69" customWidth="1"/>
    <col min="14851" max="14853" width="21.5703125" style="69" customWidth="1"/>
    <col min="14854" max="14854" width="29.85546875" style="69" customWidth="1"/>
    <col min="14855" max="15083" width="11.42578125" style="69"/>
    <col min="15084" max="15084" width="2.28515625" style="69" customWidth="1"/>
    <col min="15085" max="15085" width="5.5703125" style="69" customWidth="1"/>
    <col min="15086" max="15086" width="34.28515625" style="69" customWidth="1"/>
    <col min="15087" max="15087" width="41.5703125" style="69" customWidth="1"/>
    <col min="15088" max="15093" width="10.140625" style="69" customWidth="1"/>
    <col min="15094" max="15094" width="11" style="69" customWidth="1"/>
    <col min="15095" max="15095" width="10.140625" style="69" customWidth="1"/>
    <col min="15096" max="15096" width="10.5703125" style="69" customWidth="1"/>
    <col min="15097" max="15099" width="10.140625" style="69" customWidth="1"/>
    <col min="15100" max="15100" width="4.140625" style="69" customWidth="1"/>
    <col min="15101" max="15103" width="10.42578125" style="69" customWidth="1"/>
    <col min="15104" max="15104" width="9.85546875" style="69" customWidth="1"/>
    <col min="15105" max="15105" width="21.5703125" style="69" customWidth="1"/>
    <col min="15106" max="15106" width="25.7109375" style="69" customWidth="1"/>
    <col min="15107" max="15109" width="21.5703125" style="69" customWidth="1"/>
    <col min="15110" max="15110" width="29.85546875" style="69" customWidth="1"/>
    <col min="15111" max="15339" width="11.42578125" style="69"/>
    <col min="15340" max="15340" width="2.28515625" style="69" customWidth="1"/>
    <col min="15341" max="15341" width="5.5703125" style="69" customWidth="1"/>
    <col min="15342" max="15342" width="34.28515625" style="69" customWidth="1"/>
    <col min="15343" max="15343" width="41.5703125" style="69" customWidth="1"/>
    <col min="15344" max="15349" width="10.140625" style="69" customWidth="1"/>
    <col min="15350" max="15350" width="11" style="69" customWidth="1"/>
    <col min="15351" max="15351" width="10.140625" style="69" customWidth="1"/>
    <col min="15352" max="15352" width="10.5703125" style="69" customWidth="1"/>
    <col min="15353" max="15355" width="10.140625" style="69" customWidth="1"/>
    <col min="15356" max="15356" width="4.140625" style="69" customWidth="1"/>
    <col min="15357" max="15359" width="10.42578125" style="69" customWidth="1"/>
    <col min="15360" max="15360" width="9.85546875" style="69" customWidth="1"/>
    <col min="15361" max="15361" width="21.5703125" style="69" customWidth="1"/>
    <col min="15362" max="15362" width="25.7109375" style="69" customWidth="1"/>
    <col min="15363" max="15365" width="21.5703125" style="69" customWidth="1"/>
    <col min="15366" max="15366" width="29.85546875" style="69" customWidth="1"/>
    <col min="15367" max="15595" width="11.42578125" style="69"/>
    <col min="15596" max="15596" width="2.28515625" style="69" customWidth="1"/>
    <col min="15597" max="15597" width="5.5703125" style="69" customWidth="1"/>
    <col min="15598" max="15598" width="34.28515625" style="69" customWidth="1"/>
    <col min="15599" max="15599" width="41.5703125" style="69" customWidth="1"/>
    <col min="15600" max="15605" width="10.140625" style="69" customWidth="1"/>
    <col min="15606" max="15606" width="11" style="69" customWidth="1"/>
    <col min="15607" max="15607" width="10.140625" style="69" customWidth="1"/>
    <col min="15608" max="15608" width="10.5703125" style="69" customWidth="1"/>
    <col min="15609" max="15611" width="10.140625" style="69" customWidth="1"/>
    <col min="15612" max="15612" width="4.140625" style="69" customWidth="1"/>
    <col min="15613" max="15615" width="10.42578125" style="69" customWidth="1"/>
    <col min="15616" max="15616" width="9.85546875" style="69" customWidth="1"/>
    <col min="15617" max="15617" width="21.5703125" style="69" customWidth="1"/>
    <col min="15618" max="15618" width="25.7109375" style="69" customWidth="1"/>
    <col min="15619" max="15621" width="21.5703125" style="69" customWidth="1"/>
    <col min="15622" max="15622" width="29.85546875" style="69" customWidth="1"/>
    <col min="15623" max="15851" width="11.42578125" style="69"/>
    <col min="15852" max="15852" width="2.28515625" style="69" customWidth="1"/>
    <col min="15853" max="15853" width="5.5703125" style="69" customWidth="1"/>
    <col min="15854" max="15854" width="34.28515625" style="69" customWidth="1"/>
    <col min="15855" max="15855" width="41.5703125" style="69" customWidth="1"/>
    <col min="15856" max="15861" width="10.140625" style="69" customWidth="1"/>
    <col min="15862" max="15862" width="11" style="69" customWidth="1"/>
    <col min="15863" max="15863" width="10.140625" style="69" customWidth="1"/>
    <col min="15864" max="15864" width="10.5703125" style="69" customWidth="1"/>
    <col min="15865" max="15867" width="10.140625" style="69" customWidth="1"/>
    <col min="15868" max="15868" width="4.140625" style="69" customWidth="1"/>
    <col min="15869" max="15871" width="10.42578125" style="69" customWidth="1"/>
    <col min="15872" max="15872" width="9.85546875" style="69" customWidth="1"/>
    <col min="15873" max="15873" width="21.5703125" style="69" customWidth="1"/>
    <col min="15874" max="15874" width="25.7109375" style="69" customWidth="1"/>
    <col min="15875" max="15877" width="21.5703125" style="69" customWidth="1"/>
    <col min="15878" max="15878" width="29.85546875" style="69" customWidth="1"/>
    <col min="15879" max="16107" width="11.42578125" style="69"/>
    <col min="16108" max="16108" width="2.28515625" style="69" customWidth="1"/>
    <col min="16109" max="16109" width="5.5703125" style="69" customWidth="1"/>
    <col min="16110" max="16110" width="34.28515625" style="69" customWidth="1"/>
    <col min="16111" max="16111" width="41.5703125" style="69" customWidth="1"/>
    <col min="16112" max="16117" width="10.140625" style="69" customWidth="1"/>
    <col min="16118" max="16118" width="11" style="69" customWidth="1"/>
    <col min="16119" max="16119" width="10.140625" style="69" customWidth="1"/>
    <col min="16120" max="16120" width="10.5703125" style="69" customWidth="1"/>
    <col min="16121" max="16123" width="10.140625" style="69" customWidth="1"/>
    <col min="16124" max="16124" width="4.140625" style="69" customWidth="1"/>
    <col min="16125" max="16127" width="10.42578125" style="69" customWidth="1"/>
    <col min="16128" max="16128" width="9.85546875" style="69" customWidth="1"/>
    <col min="16129" max="16129" width="21.5703125" style="69" customWidth="1"/>
    <col min="16130" max="16130" width="25.7109375" style="69" customWidth="1"/>
    <col min="16131" max="16133" width="21.5703125" style="69" customWidth="1"/>
    <col min="16134" max="16134" width="29.85546875" style="69" customWidth="1"/>
    <col min="16135" max="16384" width="11.42578125" style="69"/>
  </cols>
  <sheetData>
    <row r="1" spans="2:12" ht="20.100000000000001" customHeight="1">
      <c r="C1" s="62"/>
      <c r="D1" s="63"/>
      <c r="E1" s="64"/>
      <c r="F1" s="65"/>
      <c r="G1" s="65"/>
      <c r="H1" s="65"/>
      <c r="I1" s="66"/>
      <c r="J1" s="66"/>
    </row>
    <row r="2" spans="2:12" s="80" customFormat="1" ht="20.100000000000001" hidden="1" customHeight="1">
      <c r="B2" s="70"/>
      <c r="C2" s="71"/>
      <c r="D2" s="72"/>
      <c r="E2" s="73"/>
      <c r="F2" s="73"/>
      <c r="G2" s="73"/>
      <c r="H2" s="73"/>
      <c r="I2" s="74"/>
      <c r="J2" s="74"/>
      <c r="K2" s="78"/>
      <c r="L2" s="78"/>
    </row>
    <row r="3" spans="2:12" ht="12" customHeight="1">
      <c r="B3" s="81"/>
      <c r="D3" s="63"/>
      <c r="E3" s="65"/>
      <c r="F3" s="139"/>
      <c r="G3" s="139"/>
      <c r="H3" s="139"/>
      <c r="I3" s="82">
        <f>18.17%</f>
        <v>0.18170000000000003</v>
      </c>
      <c r="J3" s="82"/>
    </row>
    <row r="4" spans="2:12" s="65" customFormat="1" ht="20.100000000000001" customHeight="1">
      <c r="B4" s="138" t="s">
        <v>0</v>
      </c>
      <c r="C4" s="139"/>
      <c r="D4" s="139"/>
      <c r="E4" s="137"/>
      <c r="F4" s="139"/>
      <c r="G4" s="139"/>
      <c r="H4" s="139"/>
      <c r="I4" s="136"/>
      <c r="J4" s="136"/>
      <c r="K4" s="88"/>
      <c r="L4" s="88"/>
    </row>
    <row r="5" spans="2:12" s="65" customFormat="1" ht="20.100000000000001" customHeight="1">
      <c r="B5" s="84"/>
      <c r="E5" s="85"/>
      <c r="F5" s="139"/>
      <c r="G5" s="139"/>
      <c r="H5" s="139"/>
      <c r="I5" s="147"/>
      <c r="J5" s="147"/>
      <c r="K5" s="88"/>
      <c r="L5" s="88"/>
    </row>
    <row r="6" spans="2:12" ht="20.100000000000001" customHeight="1">
      <c r="B6" s="1610" t="s">
        <v>2</v>
      </c>
      <c r="C6" s="1608" t="s">
        <v>3</v>
      </c>
      <c r="D6" s="1608" t="s">
        <v>4</v>
      </c>
      <c r="E6" s="1608" t="s">
        <v>5</v>
      </c>
      <c r="F6" s="1608" t="s">
        <v>6</v>
      </c>
      <c r="G6" s="1608" t="s">
        <v>7</v>
      </c>
      <c r="H6" s="1605" t="s">
        <v>714</v>
      </c>
      <c r="I6" s="1609" t="s">
        <v>8</v>
      </c>
      <c r="J6" s="1602" t="s">
        <v>715</v>
      </c>
      <c r="K6" s="149" t="s">
        <v>125</v>
      </c>
      <c r="L6" s="149" t="s">
        <v>125</v>
      </c>
    </row>
    <row r="7" spans="2:12" ht="20.100000000000001" customHeight="1">
      <c r="B7" s="1610"/>
      <c r="C7" s="1608"/>
      <c r="D7" s="1608"/>
      <c r="E7" s="1608"/>
      <c r="F7" s="1608"/>
      <c r="G7" s="1608"/>
      <c r="H7" s="1606"/>
      <c r="I7" s="1609"/>
      <c r="J7" s="1603"/>
      <c r="K7" s="150" t="s">
        <v>358</v>
      </c>
      <c r="L7" s="150" t="s">
        <v>358</v>
      </c>
    </row>
    <row r="8" spans="2:12" ht="20.100000000000001" customHeight="1">
      <c r="B8" s="1610"/>
      <c r="C8" s="1608"/>
      <c r="D8" s="1608"/>
      <c r="E8" s="1608"/>
      <c r="F8" s="1608"/>
      <c r="G8" s="1608"/>
      <c r="H8" s="1607"/>
      <c r="I8" s="1609"/>
      <c r="J8" s="1604"/>
      <c r="K8" s="151" t="s">
        <v>716</v>
      </c>
      <c r="L8" s="151" t="s">
        <v>441</v>
      </c>
    </row>
    <row r="9" spans="2:12" ht="20.100000000000001" customHeight="1">
      <c r="B9" s="93">
        <v>1</v>
      </c>
      <c r="C9" s="94" t="s">
        <v>20</v>
      </c>
      <c r="D9" s="95" t="s">
        <v>21</v>
      </c>
      <c r="E9" s="96">
        <v>793.24</v>
      </c>
      <c r="F9" s="97">
        <v>0</v>
      </c>
      <c r="G9" s="109">
        <f t="shared" ref="G9:G16" si="0">E9+F9</f>
        <v>793.24</v>
      </c>
      <c r="H9" s="99">
        <f>1025*9%</f>
        <v>92.25</v>
      </c>
      <c r="I9" s="99">
        <f>+G9/2*2</f>
        <v>793.24</v>
      </c>
      <c r="J9" s="99">
        <f>+I9*9%</f>
        <v>71.391599999999997</v>
      </c>
      <c r="K9" s="148">
        <f>SUM(I9:J9)</f>
        <v>864.63160000000005</v>
      </c>
      <c r="L9" s="152">
        <f t="shared" ref="L9:L16" si="1">+K9/12</f>
        <v>72.052633333333333</v>
      </c>
    </row>
    <row r="10" spans="2:12" ht="20.100000000000001" customHeight="1">
      <c r="B10" s="93">
        <f>B9+1</f>
        <v>2</v>
      </c>
      <c r="C10" s="106" t="s">
        <v>22</v>
      </c>
      <c r="D10" s="107" t="s">
        <v>23</v>
      </c>
      <c r="E10" s="108">
        <v>1966.47</v>
      </c>
      <c r="F10" s="146">
        <v>102.5</v>
      </c>
      <c r="G10" s="109">
        <f>E10+F10</f>
        <v>2068.9700000000003</v>
      </c>
      <c r="H10" s="99">
        <f>+G10*9%</f>
        <v>186.2073</v>
      </c>
      <c r="I10" s="99">
        <f>+G10/2*2</f>
        <v>2068.9700000000003</v>
      </c>
      <c r="J10" s="99">
        <f>+I10*9%</f>
        <v>186.2073</v>
      </c>
      <c r="K10" s="153">
        <f>SUM(I10:J10)</f>
        <v>2255.1773000000003</v>
      </c>
      <c r="L10" s="152">
        <f t="shared" si="1"/>
        <v>187.9314416666667</v>
      </c>
    </row>
    <row r="11" spans="2:12" ht="20.100000000000001" customHeight="1">
      <c r="B11" s="93">
        <f>B10+1</f>
        <v>3</v>
      </c>
      <c r="C11" s="111" t="s">
        <v>22</v>
      </c>
      <c r="D11" s="112" t="s">
        <v>25</v>
      </c>
      <c r="E11" s="108">
        <v>1588.02</v>
      </c>
      <c r="F11" s="97"/>
      <c r="G11" s="109">
        <f t="shared" si="0"/>
        <v>1588.02</v>
      </c>
      <c r="H11" s="99">
        <f t="shared" ref="H11:H16" si="2">+G11*9%</f>
        <v>142.92179999999999</v>
      </c>
      <c r="I11" s="99">
        <f t="shared" ref="I11:I16" si="3">+G11/2*2</f>
        <v>1588.02</v>
      </c>
      <c r="J11" s="99">
        <f t="shared" ref="J11:J16" si="4">+I11*9%</f>
        <v>142.92179999999999</v>
      </c>
      <c r="K11" s="153">
        <f t="shared" ref="K11:K16" si="5">SUM(I11:J11)</f>
        <v>1730.9418000000001</v>
      </c>
      <c r="L11" s="152">
        <f t="shared" si="1"/>
        <v>144.24515</v>
      </c>
    </row>
    <row r="12" spans="2:12" ht="20.100000000000001" customHeight="1">
      <c r="B12" s="93">
        <v>4</v>
      </c>
      <c r="C12" s="106" t="s">
        <v>30</v>
      </c>
      <c r="D12" s="107" t="s">
        <v>31</v>
      </c>
      <c r="E12" s="108">
        <v>830.15</v>
      </c>
      <c r="F12" s="97"/>
      <c r="G12" s="109">
        <f t="shared" si="0"/>
        <v>830.15</v>
      </c>
      <c r="H12" s="99">
        <f t="shared" si="2"/>
        <v>74.713499999999996</v>
      </c>
      <c r="I12" s="99">
        <f t="shared" si="3"/>
        <v>830.15</v>
      </c>
      <c r="J12" s="99">
        <f t="shared" si="4"/>
        <v>74.713499999999996</v>
      </c>
      <c r="K12" s="153">
        <f t="shared" si="5"/>
        <v>904.86349999999993</v>
      </c>
      <c r="L12" s="152">
        <f t="shared" si="1"/>
        <v>75.405291666666656</v>
      </c>
    </row>
    <row r="13" spans="2:12" s="63" customFormat="1" ht="20.100000000000001" customHeight="1">
      <c r="B13" s="93">
        <v>5</v>
      </c>
      <c r="C13" s="106" t="s">
        <v>717</v>
      </c>
      <c r="D13" s="112" t="s">
        <v>27</v>
      </c>
      <c r="E13" s="96">
        <v>1474.5900000000001</v>
      </c>
      <c r="F13" s="96">
        <v>0</v>
      </c>
      <c r="G13" s="109">
        <f t="shared" si="0"/>
        <v>1474.5900000000001</v>
      </c>
      <c r="H13" s="99">
        <f t="shared" si="2"/>
        <v>132.7131</v>
      </c>
      <c r="I13" s="99">
        <f t="shared" si="3"/>
        <v>1474.5900000000001</v>
      </c>
      <c r="J13" s="99">
        <f t="shared" si="4"/>
        <v>132.7131</v>
      </c>
      <c r="K13" s="153">
        <f t="shared" si="5"/>
        <v>1607.3031000000001</v>
      </c>
      <c r="L13" s="152">
        <f t="shared" si="1"/>
        <v>133.941925</v>
      </c>
    </row>
    <row r="14" spans="2:12" s="63" customFormat="1" ht="20.100000000000001" customHeight="1">
      <c r="B14" s="93">
        <v>6</v>
      </c>
      <c r="C14" s="106" t="s">
        <v>28</v>
      </c>
      <c r="D14" s="106" t="s">
        <v>29</v>
      </c>
      <c r="E14" s="96">
        <v>1025</v>
      </c>
      <c r="F14" s="96"/>
      <c r="G14" s="109">
        <f t="shared" si="0"/>
        <v>1025</v>
      </c>
      <c r="H14" s="99">
        <f t="shared" si="2"/>
        <v>92.25</v>
      </c>
      <c r="I14" s="99">
        <f t="shared" si="3"/>
        <v>1025</v>
      </c>
      <c r="J14" s="99">
        <f t="shared" si="4"/>
        <v>92.25</v>
      </c>
      <c r="K14" s="153">
        <f t="shared" si="5"/>
        <v>1117.25</v>
      </c>
      <c r="L14" s="152">
        <f t="shared" si="1"/>
        <v>93.104166666666671</v>
      </c>
    </row>
    <row r="15" spans="2:12" ht="20.100000000000001" customHeight="1">
      <c r="B15" s="93">
        <v>7</v>
      </c>
      <c r="C15" s="106" t="s">
        <v>32</v>
      </c>
      <c r="D15" s="134" t="s">
        <v>33</v>
      </c>
      <c r="E15" s="108">
        <v>3000</v>
      </c>
      <c r="F15" s="146">
        <v>102.5</v>
      </c>
      <c r="G15" s="109">
        <f t="shared" si="0"/>
        <v>3102.5</v>
      </c>
      <c r="H15" s="99">
        <f t="shared" si="2"/>
        <v>279.22499999999997</v>
      </c>
      <c r="I15" s="99">
        <f t="shared" si="3"/>
        <v>3102.5</v>
      </c>
      <c r="J15" s="99">
        <f t="shared" si="4"/>
        <v>279.22499999999997</v>
      </c>
      <c r="K15" s="153">
        <f t="shared" si="5"/>
        <v>3381.7249999999999</v>
      </c>
      <c r="L15" s="152">
        <f t="shared" si="1"/>
        <v>281.81041666666664</v>
      </c>
    </row>
    <row r="16" spans="2:12" ht="20.100000000000001" customHeight="1" thickBot="1">
      <c r="B16" s="93">
        <v>8</v>
      </c>
      <c r="C16" s="106" t="s">
        <v>20</v>
      </c>
      <c r="D16" s="134" t="s">
        <v>34</v>
      </c>
      <c r="E16" s="96">
        <v>1270.8</v>
      </c>
      <c r="F16" s="97"/>
      <c r="G16" s="109">
        <f t="shared" si="0"/>
        <v>1270.8</v>
      </c>
      <c r="H16" s="99">
        <f t="shared" si="2"/>
        <v>114.37199999999999</v>
      </c>
      <c r="I16" s="99">
        <f t="shared" si="3"/>
        <v>1270.8</v>
      </c>
      <c r="J16" s="99">
        <f t="shared" si="4"/>
        <v>114.37199999999999</v>
      </c>
      <c r="K16" s="153">
        <f t="shared" si="5"/>
        <v>1385.172</v>
      </c>
      <c r="L16" s="152">
        <f t="shared" si="1"/>
        <v>115.431</v>
      </c>
    </row>
    <row r="17" spans="2:12" s="63" customFormat="1" ht="20.100000000000001" customHeight="1" thickBot="1">
      <c r="B17" s="125"/>
      <c r="C17" s="140"/>
      <c r="D17" s="141" t="s">
        <v>35</v>
      </c>
      <c r="E17" s="142">
        <f>SUM(E9:E16)</f>
        <v>11948.269999999999</v>
      </c>
      <c r="F17" s="143">
        <f>SUM(F9:F16)</f>
        <v>205</v>
      </c>
      <c r="G17" s="143">
        <f>SUM(G9:G16)</f>
        <v>12153.269999999999</v>
      </c>
      <c r="H17" s="143">
        <f>SUM(H9:H16)</f>
        <v>1114.6527000000001</v>
      </c>
      <c r="I17" s="143">
        <f>SUM(I9:I16)</f>
        <v>12153.269999999999</v>
      </c>
      <c r="J17" s="143">
        <f>SUM(J10:J16)</f>
        <v>1022.4027</v>
      </c>
      <c r="K17" s="154">
        <f>SUM(K10:K16)</f>
        <v>12382.432700000001</v>
      </c>
      <c r="L17" s="154">
        <f>SUM(L9:L16)</f>
        <v>1103.9220250000001</v>
      </c>
    </row>
    <row r="18" spans="2:12" s="65" customFormat="1" ht="20.100000000000001" customHeight="1">
      <c r="B18" s="84"/>
      <c r="E18" s="85"/>
      <c r="I18" s="82"/>
      <c r="J18" s="82"/>
      <c r="K18" s="88"/>
      <c r="L18" s="88"/>
    </row>
    <row r="19" spans="2:12" s="65" customFormat="1" ht="20.100000000000001" customHeight="1">
      <c r="B19" s="84"/>
      <c r="E19" s="85"/>
      <c r="I19" s="82"/>
      <c r="J19" s="82"/>
      <c r="K19" s="88"/>
      <c r="L19" s="88"/>
    </row>
    <row r="20" spans="2:12" ht="20.100000000000001" customHeight="1">
      <c r="B20" s="1610" t="s">
        <v>2</v>
      </c>
      <c r="C20" s="1608" t="s">
        <v>3</v>
      </c>
      <c r="D20" s="1608" t="s">
        <v>4</v>
      </c>
      <c r="E20" s="1608" t="s">
        <v>5</v>
      </c>
      <c r="F20" s="1608" t="s">
        <v>6</v>
      </c>
      <c r="G20" s="1608" t="s">
        <v>7</v>
      </c>
      <c r="H20" s="1605" t="s">
        <v>714</v>
      </c>
      <c r="I20" s="1609" t="s">
        <v>8</v>
      </c>
      <c r="J20" s="1602" t="s">
        <v>715</v>
      </c>
      <c r="K20" s="149" t="s">
        <v>125</v>
      </c>
      <c r="L20" s="149" t="s">
        <v>125</v>
      </c>
    </row>
    <row r="21" spans="2:12" ht="20.100000000000001" customHeight="1">
      <c r="B21" s="1610"/>
      <c r="C21" s="1608"/>
      <c r="D21" s="1608"/>
      <c r="E21" s="1608"/>
      <c r="F21" s="1608"/>
      <c r="G21" s="1608"/>
      <c r="H21" s="1606"/>
      <c r="I21" s="1609"/>
      <c r="J21" s="1603"/>
      <c r="K21" s="150" t="s">
        <v>358</v>
      </c>
      <c r="L21" s="150" t="s">
        <v>358</v>
      </c>
    </row>
    <row r="22" spans="2:12" ht="20.100000000000001" customHeight="1">
      <c r="B22" s="1610"/>
      <c r="C22" s="1608"/>
      <c r="D22" s="1608"/>
      <c r="E22" s="1608"/>
      <c r="F22" s="1608"/>
      <c r="G22" s="1608"/>
      <c r="H22" s="1607"/>
      <c r="I22" s="1609"/>
      <c r="J22" s="1604"/>
      <c r="K22" s="151" t="s">
        <v>716</v>
      </c>
      <c r="L22" s="151" t="s">
        <v>441</v>
      </c>
    </row>
    <row r="23" spans="2:12" ht="20.100000000000001" customHeight="1">
      <c r="B23" s="93">
        <v>1</v>
      </c>
      <c r="C23" s="94" t="s">
        <v>36</v>
      </c>
      <c r="D23" s="95" t="s">
        <v>718</v>
      </c>
      <c r="E23" s="96">
        <v>4208.6000000000004</v>
      </c>
      <c r="F23" s="97">
        <v>0</v>
      </c>
      <c r="G23" s="98">
        <f>E23+F23</f>
        <v>4208.6000000000004</v>
      </c>
      <c r="H23" s="99">
        <f>+G23*9%</f>
        <v>378.774</v>
      </c>
      <c r="I23" s="99">
        <f>+G23*2</f>
        <v>8417.2000000000007</v>
      </c>
      <c r="J23" s="99">
        <f>+I23*9%</f>
        <v>757.548</v>
      </c>
      <c r="K23" s="152">
        <f>SUM(I23:J23)</f>
        <v>9174.7480000000014</v>
      </c>
      <c r="L23" s="152">
        <f>+K23/12</f>
        <v>764.56233333333341</v>
      </c>
    </row>
    <row r="24" spans="2:12" ht="20.100000000000001" customHeight="1">
      <c r="B24" s="93">
        <f>B23+1</f>
        <v>2</v>
      </c>
      <c r="C24" s="94" t="s">
        <v>38</v>
      </c>
      <c r="D24" s="107" t="s">
        <v>39</v>
      </c>
      <c r="E24" s="108">
        <v>2081.4100000000003</v>
      </c>
      <c r="F24" s="146">
        <v>102.5</v>
      </c>
      <c r="G24" s="109">
        <f t="shared" ref="G24:G32" si="6">E24+F24</f>
        <v>2183.9100000000003</v>
      </c>
      <c r="H24" s="109">
        <f t="shared" ref="H24:H32" si="7">+G24*9%</f>
        <v>196.55190000000002</v>
      </c>
      <c r="I24" s="99">
        <f>+G24/2*2</f>
        <v>2183.9100000000003</v>
      </c>
      <c r="J24" s="99">
        <f t="shared" ref="J24:J32" si="8">+I24*9%</f>
        <v>196.55190000000002</v>
      </c>
      <c r="K24" s="152">
        <f t="shared" ref="K24:K32" si="9">SUM(I24:J24)</f>
        <v>2380.4619000000002</v>
      </c>
      <c r="L24" s="152">
        <f t="shared" ref="L24:L32" si="10">+K24/12</f>
        <v>198.37182500000003</v>
      </c>
    </row>
    <row r="25" spans="2:12" ht="20.100000000000001" customHeight="1">
      <c r="B25" s="93">
        <f>B24+1</f>
        <v>3</v>
      </c>
      <c r="C25" s="94" t="s">
        <v>40</v>
      </c>
      <c r="D25" s="112" t="s">
        <v>41</v>
      </c>
      <c r="E25" s="108">
        <v>1588.02</v>
      </c>
      <c r="F25" s="97"/>
      <c r="G25" s="109">
        <f t="shared" si="6"/>
        <v>1588.02</v>
      </c>
      <c r="H25" s="109">
        <f t="shared" si="7"/>
        <v>142.92179999999999</v>
      </c>
      <c r="I25" s="99">
        <f t="shared" ref="I25:I32" si="11">+G25/2*2</f>
        <v>1588.02</v>
      </c>
      <c r="J25" s="99">
        <f t="shared" si="8"/>
        <v>142.92179999999999</v>
      </c>
      <c r="K25" s="152">
        <f t="shared" si="9"/>
        <v>1730.9418000000001</v>
      </c>
      <c r="L25" s="152">
        <f t="shared" si="10"/>
        <v>144.24515</v>
      </c>
    </row>
    <row r="26" spans="2:12" s="63" customFormat="1" ht="20.100000000000001" customHeight="1">
      <c r="B26" s="93">
        <v>4</v>
      </c>
      <c r="C26" s="94" t="s">
        <v>42</v>
      </c>
      <c r="D26" s="112" t="s">
        <v>43</v>
      </c>
      <c r="E26" s="96">
        <v>1474.6000000000001</v>
      </c>
      <c r="F26" s="96"/>
      <c r="G26" s="109">
        <f>E26+F26</f>
        <v>1474.6000000000001</v>
      </c>
      <c r="H26" s="109">
        <f t="shared" si="7"/>
        <v>132.714</v>
      </c>
      <c r="I26" s="99">
        <f t="shared" si="11"/>
        <v>1474.6000000000001</v>
      </c>
      <c r="J26" s="99">
        <f t="shared" si="8"/>
        <v>132.714</v>
      </c>
      <c r="K26" s="152">
        <f t="shared" si="9"/>
        <v>1607.3140000000001</v>
      </c>
      <c r="L26" s="152">
        <f t="shared" si="10"/>
        <v>133.94283333333334</v>
      </c>
    </row>
    <row r="27" spans="2:12" s="63" customFormat="1" ht="20.100000000000001" customHeight="1">
      <c r="B27" s="93">
        <v>5</v>
      </c>
      <c r="C27" s="94" t="s">
        <v>44</v>
      </c>
      <c r="D27" s="112" t="s">
        <v>45</v>
      </c>
      <c r="E27" s="96">
        <v>1474.6000000000001</v>
      </c>
      <c r="F27" s="96">
        <v>0</v>
      </c>
      <c r="G27" s="109">
        <f t="shared" si="6"/>
        <v>1474.6000000000001</v>
      </c>
      <c r="H27" s="109">
        <f t="shared" si="7"/>
        <v>132.714</v>
      </c>
      <c r="I27" s="99">
        <f t="shared" si="11"/>
        <v>1474.6000000000001</v>
      </c>
      <c r="J27" s="99">
        <f t="shared" si="8"/>
        <v>132.714</v>
      </c>
      <c r="K27" s="152">
        <f t="shared" si="9"/>
        <v>1607.3140000000001</v>
      </c>
      <c r="L27" s="152">
        <f t="shared" si="10"/>
        <v>133.94283333333334</v>
      </c>
    </row>
    <row r="28" spans="2:12" ht="20.100000000000001" customHeight="1">
      <c r="B28" s="93">
        <v>6</v>
      </c>
      <c r="C28" s="94" t="s">
        <v>24</v>
      </c>
      <c r="D28" s="107" t="s">
        <v>46</v>
      </c>
      <c r="E28" s="108">
        <v>1701.45</v>
      </c>
      <c r="F28" s="97"/>
      <c r="G28" s="109">
        <f t="shared" si="6"/>
        <v>1701.45</v>
      </c>
      <c r="H28" s="109">
        <f t="shared" si="7"/>
        <v>153.13050000000001</v>
      </c>
      <c r="I28" s="99">
        <f t="shared" si="11"/>
        <v>1701.45</v>
      </c>
      <c r="J28" s="99">
        <f t="shared" si="8"/>
        <v>153.13050000000001</v>
      </c>
      <c r="K28" s="152">
        <f t="shared" si="9"/>
        <v>1854.5805</v>
      </c>
      <c r="L28" s="152">
        <f t="shared" si="10"/>
        <v>154.54837499999999</v>
      </c>
    </row>
    <row r="29" spans="2:12" ht="20.100000000000001" customHeight="1">
      <c r="B29" s="93">
        <v>7</v>
      </c>
      <c r="C29" s="94" t="s">
        <v>30</v>
      </c>
      <c r="D29" s="107" t="s">
        <v>31</v>
      </c>
      <c r="E29" s="108">
        <v>830.15</v>
      </c>
      <c r="F29" s="97"/>
      <c r="G29" s="109">
        <f t="shared" si="6"/>
        <v>830.15</v>
      </c>
      <c r="H29" s="109">
        <f t="shared" si="7"/>
        <v>74.713499999999996</v>
      </c>
      <c r="I29" s="99">
        <f t="shared" si="11"/>
        <v>830.15</v>
      </c>
      <c r="J29" s="99">
        <f t="shared" si="8"/>
        <v>74.713499999999996</v>
      </c>
      <c r="K29" s="152">
        <f t="shared" si="9"/>
        <v>904.86349999999993</v>
      </c>
      <c r="L29" s="152">
        <f t="shared" si="10"/>
        <v>75.405291666666656</v>
      </c>
    </row>
    <row r="30" spans="2:12" ht="20.100000000000001" customHeight="1">
      <c r="B30" s="93">
        <v>8</v>
      </c>
      <c r="C30" s="94" t="s">
        <v>24</v>
      </c>
      <c r="D30" s="112" t="s">
        <v>47</v>
      </c>
      <c r="E30" s="108">
        <v>2155.17</v>
      </c>
      <c r="F30" s="97"/>
      <c r="G30" s="109">
        <f t="shared" si="6"/>
        <v>2155.17</v>
      </c>
      <c r="H30" s="109">
        <f t="shared" si="7"/>
        <v>193.96530000000001</v>
      </c>
      <c r="I30" s="99">
        <f t="shared" si="11"/>
        <v>2155.17</v>
      </c>
      <c r="J30" s="99">
        <f t="shared" si="8"/>
        <v>193.96530000000001</v>
      </c>
      <c r="K30" s="152">
        <f t="shared" si="9"/>
        <v>2349.1352999999999</v>
      </c>
      <c r="L30" s="152">
        <f t="shared" si="10"/>
        <v>195.76127499999998</v>
      </c>
    </row>
    <row r="31" spans="2:12" ht="20.100000000000001" customHeight="1">
      <c r="B31" s="93">
        <v>9</v>
      </c>
      <c r="C31" s="94" t="s">
        <v>28</v>
      </c>
      <c r="D31" s="106" t="s">
        <v>48</v>
      </c>
      <c r="E31" s="96">
        <v>1336.28</v>
      </c>
      <c r="F31" s="97"/>
      <c r="G31" s="109">
        <f t="shared" si="6"/>
        <v>1336.28</v>
      </c>
      <c r="H31" s="98">
        <f t="shared" si="7"/>
        <v>120.26519999999999</v>
      </c>
      <c r="I31" s="99">
        <f t="shared" si="11"/>
        <v>1336.28</v>
      </c>
      <c r="J31" s="99">
        <f t="shared" si="8"/>
        <v>120.26519999999999</v>
      </c>
      <c r="K31" s="152">
        <f t="shared" si="9"/>
        <v>1456.5452</v>
      </c>
      <c r="L31" s="152">
        <f t="shared" si="10"/>
        <v>121.37876666666666</v>
      </c>
    </row>
    <row r="32" spans="2:12" ht="20.100000000000001" customHeight="1" thickBot="1">
      <c r="B32" s="93">
        <v>10</v>
      </c>
      <c r="C32" s="94" t="s">
        <v>22</v>
      </c>
      <c r="D32" s="106" t="s">
        <v>49</v>
      </c>
      <c r="E32" s="96">
        <v>1814.88</v>
      </c>
      <c r="F32" s="97"/>
      <c r="G32" s="109">
        <f t="shared" si="6"/>
        <v>1814.88</v>
      </c>
      <c r="H32" s="109">
        <f t="shared" si="7"/>
        <v>163.33920000000001</v>
      </c>
      <c r="I32" s="99">
        <f t="shared" si="11"/>
        <v>1814.88</v>
      </c>
      <c r="J32" s="99">
        <f t="shared" si="8"/>
        <v>163.33920000000001</v>
      </c>
      <c r="K32" s="152">
        <f t="shared" si="9"/>
        <v>1978.2192</v>
      </c>
      <c r="L32" s="155">
        <f t="shared" si="10"/>
        <v>164.85159999999999</v>
      </c>
    </row>
    <row r="33" spans="2:12" s="63" customFormat="1" ht="20.100000000000001" customHeight="1" thickBot="1">
      <c r="B33" s="125"/>
      <c r="C33" s="140"/>
      <c r="D33" s="141" t="s">
        <v>35</v>
      </c>
      <c r="E33" s="142">
        <f t="shared" ref="E33:L33" si="12">SUM(E23:E32)</f>
        <v>18665.160000000003</v>
      </c>
      <c r="F33" s="143">
        <f t="shared" si="12"/>
        <v>102.5</v>
      </c>
      <c r="G33" s="143">
        <f t="shared" si="12"/>
        <v>18767.660000000003</v>
      </c>
      <c r="H33" s="143">
        <f t="shared" si="12"/>
        <v>1689.0894000000003</v>
      </c>
      <c r="I33" s="143">
        <f t="shared" si="12"/>
        <v>22976.260000000006</v>
      </c>
      <c r="J33" s="154">
        <f t="shared" si="12"/>
        <v>2067.8634000000002</v>
      </c>
      <c r="K33" s="154">
        <f t="shared" si="12"/>
        <v>25044.123400000004</v>
      </c>
      <c r="L33" s="143">
        <f t="shared" si="12"/>
        <v>2087.0102833333335</v>
      </c>
    </row>
    <row r="34" spans="2:12" ht="20.100000000000001" customHeight="1" thickBot="1">
      <c r="D34" s="65"/>
      <c r="E34" s="131"/>
      <c r="F34" s="87"/>
      <c r="G34" s="131"/>
      <c r="H34" s="131"/>
      <c r="I34" s="132"/>
      <c r="J34" s="132"/>
      <c r="K34" s="87"/>
      <c r="L34" s="87"/>
    </row>
    <row r="35" spans="2:12" ht="20.100000000000001" customHeight="1" thickBot="1">
      <c r="C35" s="140"/>
      <c r="D35" s="141" t="s">
        <v>35</v>
      </c>
      <c r="E35" s="142">
        <f>+E17+E33</f>
        <v>30613.43</v>
      </c>
    </row>
    <row r="36" spans="2:12" ht="20.100000000000001" customHeight="1">
      <c r="E36" s="132"/>
    </row>
  </sheetData>
  <mergeCells count="18">
    <mergeCell ref="B6:B8"/>
    <mergeCell ref="C6:C8"/>
    <mergeCell ref="D6:D8"/>
    <mergeCell ref="E6:E8"/>
    <mergeCell ref="F6:F8"/>
    <mergeCell ref="B20:B22"/>
    <mergeCell ref="C20:C22"/>
    <mergeCell ref="D20:D22"/>
    <mergeCell ref="E20:E22"/>
    <mergeCell ref="F20:F22"/>
    <mergeCell ref="J6:J8"/>
    <mergeCell ref="J20:J22"/>
    <mergeCell ref="H6:H8"/>
    <mergeCell ref="H20:H22"/>
    <mergeCell ref="G20:G22"/>
    <mergeCell ref="I20:I22"/>
    <mergeCell ref="I6:I8"/>
    <mergeCell ref="G6:G8"/>
  </mergeCells>
  <pageMargins left="0.23622047244094491" right="0.23622047244094491" top="0.74803149606299213" bottom="0.74803149606299213" header="0.31496062992125984" footer="0.31496062992125984"/>
  <pageSetup paperSize="8" scale="68" orientation="landscape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 tint="0.499984740745262"/>
  </sheetPr>
  <dimension ref="A2:J35"/>
  <sheetViews>
    <sheetView workbookViewId="0">
      <selection activeCell="G13" sqref="G13"/>
    </sheetView>
  </sheetViews>
  <sheetFormatPr baseColWidth="10" defaultColWidth="11.42578125" defaultRowHeight="15"/>
  <cols>
    <col min="2" max="2" width="21.85546875" customWidth="1"/>
    <col min="3" max="3" width="29.85546875" customWidth="1"/>
    <col min="7" max="7" width="15.7109375" customWidth="1"/>
    <col min="8" max="8" width="15.140625" customWidth="1"/>
    <col min="9" max="9" width="16.85546875" customWidth="1"/>
  </cols>
  <sheetData>
    <row r="2" spans="1:10">
      <c r="C2" s="1611" t="s">
        <v>719</v>
      </c>
      <c r="D2" s="1611"/>
      <c r="E2" s="1611"/>
      <c r="F2" s="1611"/>
      <c r="G2" s="1611"/>
      <c r="H2" s="1611"/>
    </row>
    <row r="4" spans="1:10" ht="15.75">
      <c r="A4" s="138" t="s">
        <v>0</v>
      </c>
      <c r="B4" s="139"/>
      <c r="C4" s="139"/>
      <c r="D4" s="137"/>
      <c r="E4" s="139"/>
      <c r="F4" s="139"/>
      <c r="G4" s="136"/>
      <c r="H4" s="88"/>
      <c r="I4" s="88"/>
    </row>
    <row r="5" spans="1:10" ht="15.75">
      <c r="A5" s="84"/>
      <c r="B5" s="65"/>
      <c r="C5" s="65"/>
      <c r="D5" s="85"/>
      <c r="E5" s="139"/>
      <c r="F5" s="139"/>
      <c r="G5" s="147"/>
      <c r="H5" s="88"/>
      <c r="I5" s="88"/>
    </row>
    <row r="6" spans="1:10">
      <c r="A6" s="1610" t="s">
        <v>2</v>
      </c>
      <c r="B6" s="1608" t="s">
        <v>3</v>
      </c>
      <c r="C6" s="1608" t="s">
        <v>4</v>
      </c>
      <c r="D6" s="1608" t="s">
        <v>5</v>
      </c>
      <c r="E6" s="1608" t="s">
        <v>6</v>
      </c>
      <c r="F6" s="1608" t="s">
        <v>7</v>
      </c>
      <c r="G6" s="145" t="s">
        <v>720</v>
      </c>
      <c r="H6" s="160" t="s">
        <v>721</v>
      </c>
      <c r="I6" s="144" t="s">
        <v>125</v>
      </c>
      <c r="J6" s="144" t="s">
        <v>125</v>
      </c>
    </row>
    <row r="7" spans="1:10">
      <c r="A7" s="1610"/>
      <c r="B7" s="1608"/>
      <c r="C7" s="1608"/>
      <c r="D7" s="1608"/>
      <c r="E7" s="1608"/>
      <c r="F7" s="1608"/>
      <c r="G7" s="145" t="s">
        <v>9</v>
      </c>
      <c r="H7" s="144" t="s">
        <v>722</v>
      </c>
      <c r="I7" s="144" t="s">
        <v>723</v>
      </c>
      <c r="J7" s="144" t="s">
        <v>9</v>
      </c>
    </row>
    <row r="8" spans="1:10">
      <c r="A8" s="1610"/>
      <c r="B8" s="1608"/>
      <c r="C8" s="1608"/>
      <c r="D8" s="1608"/>
      <c r="E8" s="1608"/>
      <c r="F8" s="1608"/>
      <c r="G8" s="145" t="s">
        <v>716</v>
      </c>
      <c r="H8" s="144" t="s">
        <v>724</v>
      </c>
      <c r="I8" s="144" t="s">
        <v>716</v>
      </c>
      <c r="J8" s="151" t="s">
        <v>441</v>
      </c>
    </row>
    <row r="9" spans="1:10">
      <c r="A9" s="93">
        <v>1</v>
      </c>
      <c r="B9" s="94" t="s">
        <v>20</v>
      </c>
      <c r="C9" s="95" t="s">
        <v>21</v>
      </c>
      <c r="D9" s="96">
        <v>793.24</v>
      </c>
      <c r="E9" s="97">
        <v>0</v>
      </c>
      <c r="F9" s="109">
        <f t="shared" ref="F9:F16" si="0">D9+E9</f>
        <v>793.24</v>
      </c>
      <c r="G9" s="99"/>
      <c r="H9" s="135"/>
      <c r="I9" s="157"/>
      <c r="J9" s="158"/>
    </row>
    <row r="10" spans="1:10" ht="20.25" customHeight="1">
      <c r="A10" s="93">
        <f>A9+1</f>
        <v>2</v>
      </c>
      <c r="B10" s="106" t="s">
        <v>22</v>
      </c>
      <c r="C10" s="107" t="s">
        <v>23</v>
      </c>
      <c r="D10" s="108">
        <v>1966.47</v>
      </c>
      <c r="E10" s="146">
        <v>102.5</v>
      </c>
      <c r="F10" s="109">
        <f>D10+E10</f>
        <v>2068.9700000000003</v>
      </c>
      <c r="G10" s="99">
        <f>+F10/2</f>
        <v>1034.4850000000001</v>
      </c>
      <c r="H10" s="153">
        <f>+'COSTO GRATIFICACIONES'!L10*2</f>
        <v>375.8628833333334</v>
      </c>
      <c r="I10" s="153">
        <f>SUM(G10:H10)</f>
        <v>1410.3478833333336</v>
      </c>
      <c r="J10" s="159">
        <f>+I10/12</f>
        <v>117.52899027777779</v>
      </c>
    </row>
    <row r="11" spans="1:10">
      <c r="A11" s="93">
        <f>A10+1</f>
        <v>3</v>
      </c>
      <c r="B11" s="111" t="s">
        <v>22</v>
      </c>
      <c r="C11" s="112" t="s">
        <v>25</v>
      </c>
      <c r="D11" s="108">
        <v>1588.02</v>
      </c>
      <c r="E11" s="97"/>
      <c r="F11" s="109">
        <f t="shared" si="0"/>
        <v>1588.02</v>
      </c>
      <c r="G11" s="99">
        <f t="shared" ref="G11:G16" si="1">+F11/2</f>
        <v>794.01</v>
      </c>
      <c r="H11" s="153">
        <f>+'COSTO GRATIFICACIONES'!L11*2</f>
        <v>288.49029999999999</v>
      </c>
      <c r="I11" s="153">
        <f t="shared" ref="I11:I16" si="2">SUM(G11:H11)</f>
        <v>1082.5002999999999</v>
      </c>
      <c r="J11" s="159">
        <f t="shared" ref="J11:J16" si="3">+I11/12</f>
        <v>90.208358333333322</v>
      </c>
    </row>
    <row r="12" spans="1:10" ht="18" customHeight="1">
      <c r="A12" s="93">
        <v>4</v>
      </c>
      <c r="B12" s="106" t="s">
        <v>30</v>
      </c>
      <c r="C12" s="107" t="s">
        <v>31</v>
      </c>
      <c r="D12" s="108">
        <v>830.15</v>
      </c>
      <c r="E12" s="97"/>
      <c r="F12" s="109">
        <f t="shared" si="0"/>
        <v>830.15</v>
      </c>
      <c r="G12" s="99">
        <f>+F12/2</f>
        <v>415.07499999999999</v>
      </c>
      <c r="H12" s="153">
        <f>+'COSTO GRATIFICACIONES'!L12*2</f>
        <v>150.81058333333331</v>
      </c>
      <c r="I12" s="153">
        <f t="shared" si="2"/>
        <v>565.88558333333333</v>
      </c>
      <c r="J12" s="159">
        <f t="shared" si="3"/>
        <v>47.157131944444444</v>
      </c>
    </row>
    <row r="13" spans="1:10">
      <c r="A13" s="93">
        <v>5</v>
      </c>
      <c r="B13" s="106" t="s">
        <v>717</v>
      </c>
      <c r="C13" s="112" t="s">
        <v>27</v>
      </c>
      <c r="D13" s="96">
        <v>1474.5900000000001</v>
      </c>
      <c r="E13" s="96">
        <v>0</v>
      </c>
      <c r="F13" s="109">
        <f t="shared" si="0"/>
        <v>1474.5900000000001</v>
      </c>
      <c r="G13" s="99">
        <f t="shared" si="1"/>
        <v>737.29500000000007</v>
      </c>
      <c r="H13" s="153">
        <f>+'COSTO GRATIFICACIONES'!L13*2</f>
        <v>267.88385</v>
      </c>
      <c r="I13" s="153">
        <f t="shared" si="2"/>
        <v>1005.17885</v>
      </c>
      <c r="J13" s="159">
        <f t="shared" si="3"/>
        <v>83.764904166666668</v>
      </c>
    </row>
    <row r="14" spans="1:10">
      <c r="A14" s="93">
        <v>6</v>
      </c>
      <c r="B14" s="106" t="s">
        <v>28</v>
      </c>
      <c r="C14" s="106" t="s">
        <v>29</v>
      </c>
      <c r="D14" s="96">
        <v>1025</v>
      </c>
      <c r="E14" s="96"/>
      <c r="F14" s="109">
        <f t="shared" si="0"/>
        <v>1025</v>
      </c>
      <c r="G14" s="99">
        <f t="shared" si="1"/>
        <v>512.5</v>
      </c>
      <c r="H14" s="153">
        <f>+'COSTO GRATIFICACIONES'!L14*2</f>
        <v>186.20833333333334</v>
      </c>
      <c r="I14" s="153">
        <f t="shared" si="2"/>
        <v>698.70833333333337</v>
      </c>
      <c r="J14" s="159">
        <f t="shared" si="3"/>
        <v>58.22569444444445</v>
      </c>
    </row>
    <row r="15" spans="1:10" ht="17.25" customHeight="1">
      <c r="A15" s="93">
        <v>7</v>
      </c>
      <c r="B15" s="106" t="s">
        <v>32</v>
      </c>
      <c r="C15" s="134" t="s">
        <v>33</v>
      </c>
      <c r="D15" s="108">
        <v>3000</v>
      </c>
      <c r="E15" s="146">
        <v>102.5</v>
      </c>
      <c r="F15" s="109">
        <f t="shared" si="0"/>
        <v>3102.5</v>
      </c>
      <c r="G15" s="99">
        <f t="shared" si="1"/>
        <v>1551.25</v>
      </c>
      <c r="H15" s="153">
        <f>+'COSTO GRATIFICACIONES'!L15*2</f>
        <v>563.62083333333328</v>
      </c>
      <c r="I15" s="153">
        <f t="shared" si="2"/>
        <v>2114.8708333333334</v>
      </c>
      <c r="J15" s="159">
        <f t="shared" si="3"/>
        <v>176.23923611111113</v>
      </c>
    </row>
    <row r="16" spans="1:10" ht="18" customHeight="1" thickBot="1">
      <c r="A16" s="93">
        <v>8</v>
      </c>
      <c r="B16" s="106" t="s">
        <v>20</v>
      </c>
      <c r="C16" s="134" t="s">
        <v>34</v>
      </c>
      <c r="D16" s="96">
        <v>1270.8</v>
      </c>
      <c r="E16" s="97"/>
      <c r="F16" s="109">
        <f t="shared" si="0"/>
        <v>1270.8</v>
      </c>
      <c r="G16" s="99">
        <f t="shared" si="1"/>
        <v>635.4</v>
      </c>
      <c r="H16" s="153">
        <f>+'COSTO GRATIFICACIONES'!L16*2</f>
        <v>230.86199999999999</v>
      </c>
      <c r="I16" s="153">
        <f t="shared" si="2"/>
        <v>866.26199999999994</v>
      </c>
      <c r="J16" s="159">
        <f t="shared" si="3"/>
        <v>72.188499999999991</v>
      </c>
    </row>
    <row r="17" spans="1:10" ht="15.75" thickBot="1">
      <c r="A17" s="125"/>
      <c r="B17" s="140"/>
      <c r="C17" s="141" t="s">
        <v>35</v>
      </c>
      <c r="D17" s="142">
        <f>SUM(D9:D16)</f>
        <v>11948.269999999999</v>
      </c>
      <c r="E17" s="143">
        <f>SUM(E9:E16)</f>
        <v>205</v>
      </c>
      <c r="F17" s="143">
        <f>SUM(F9:F16)</f>
        <v>12153.269999999999</v>
      </c>
      <c r="G17" s="143">
        <f>SUM(G9:G16)</f>
        <v>5680.0149999999994</v>
      </c>
      <c r="H17" s="154">
        <f>SUM(H10:H16)</f>
        <v>2063.7387833333332</v>
      </c>
      <c r="I17" s="154">
        <f>SUM(I10:I16)</f>
        <v>7743.7537833333326</v>
      </c>
      <c r="J17" s="143">
        <f>SUM(J10:J16)</f>
        <v>645.31281527777776</v>
      </c>
    </row>
    <row r="18" spans="1:10" ht="15.75">
      <c r="A18" s="84"/>
      <c r="B18" s="65"/>
      <c r="C18" s="65"/>
      <c r="D18" s="85"/>
      <c r="E18" s="65"/>
      <c r="F18" s="65"/>
      <c r="G18" s="82"/>
      <c r="H18" s="88"/>
      <c r="I18" s="88"/>
    </row>
    <row r="19" spans="1:10" ht="15.75">
      <c r="A19" s="84"/>
      <c r="B19" s="65"/>
      <c r="C19" s="65"/>
      <c r="D19" s="85"/>
      <c r="E19" s="65"/>
      <c r="F19" s="65"/>
      <c r="G19" s="82"/>
      <c r="H19" s="88"/>
      <c r="I19" s="88"/>
    </row>
    <row r="20" spans="1:10" ht="15" customHeight="1">
      <c r="A20" s="1610" t="s">
        <v>2</v>
      </c>
      <c r="B20" s="1608" t="s">
        <v>3</v>
      </c>
      <c r="C20" s="1608" t="s">
        <v>4</v>
      </c>
      <c r="D20" s="1608" t="s">
        <v>5</v>
      </c>
      <c r="E20" s="1608" t="s">
        <v>6</v>
      </c>
      <c r="F20" s="1608" t="s">
        <v>7</v>
      </c>
      <c r="G20" s="145" t="s">
        <v>720</v>
      </c>
      <c r="H20" s="160" t="s">
        <v>721</v>
      </c>
      <c r="I20" s="144" t="s">
        <v>125</v>
      </c>
      <c r="J20" s="144" t="s">
        <v>125</v>
      </c>
    </row>
    <row r="21" spans="1:10">
      <c r="A21" s="1610"/>
      <c r="B21" s="1608"/>
      <c r="C21" s="1608"/>
      <c r="D21" s="1608"/>
      <c r="E21" s="1608"/>
      <c r="F21" s="1608"/>
      <c r="G21" s="145" t="s">
        <v>9</v>
      </c>
      <c r="H21" s="144" t="s">
        <v>722</v>
      </c>
      <c r="I21" s="144" t="s">
        <v>723</v>
      </c>
      <c r="J21" s="144" t="s">
        <v>9</v>
      </c>
    </row>
    <row r="22" spans="1:10">
      <c r="A22" s="1610"/>
      <c r="B22" s="1608"/>
      <c r="C22" s="1608"/>
      <c r="D22" s="1608"/>
      <c r="E22" s="1608"/>
      <c r="F22" s="1608"/>
      <c r="G22" s="145" t="s">
        <v>716</v>
      </c>
      <c r="H22" s="144" t="s">
        <v>724</v>
      </c>
      <c r="I22" s="151" t="s">
        <v>716</v>
      </c>
      <c r="J22" s="144" t="s">
        <v>441</v>
      </c>
    </row>
    <row r="23" spans="1:10">
      <c r="A23" s="93">
        <v>1</v>
      </c>
      <c r="B23" s="94" t="s">
        <v>36</v>
      </c>
      <c r="C23" s="95" t="s">
        <v>718</v>
      </c>
      <c r="D23" s="96">
        <v>4208.6000000000004</v>
      </c>
      <c r="E23" s="97">
        <v>0</v>
      </c>
      <c r="F23" s="98">
        <f>D23+E23</f>
        <v>4208.6000000000004</v>
      </c>
      <c r="G23" s="99">
        <f>+F23/2</f>
        <v>2104.3000000000002</v>
      </c>
      <c r="H23" s="152">
        <f>+'COSTO GRATIFICACIONES'!L23*2</f>
        <v>1529.1246666666668</v>
      </c>
      <c r="I23" s="152">
        <f>SUM(G23:H23)</f>
        <v>3633.4246666666668</v>
      </c>
      <c r="J23" s="159">
        <f>+I23/12</f>
        <v>302.78538888888892</v>
      </c>
    </row>
    <row r="24" spans="1:10" ht="16.5" customHeight="1">
      <c r="A24" s="93">
        <f>A23+1</f>
        <v>2</v>
      </c>
      <c r="B24" s="94" t="s">
        <v>38</v>
      </c>
      <c r="C24" s="107" t="s">
        <v>39</v>
      </c>
      <c r="D24" s="108">
        <v>2081.4100000000003</v>
      </c>
      <c r="E24" s="146">
        <v>102.5</v>
      </c>
      <c r="F24" s="109">
        <f t="shared" ref="F24:F32" si="4">D24+E24</f>
        <v>2183.9100000000003</v>
      </c>
      <c r="G24" s="99">
        <f>+F24/2</f>
        <v>1091.9550000000002</v>
      </c>
      <c r="H24" s="152">
        <f>+'COSTO GRATIFICACIONES'!L24*2</f>
        <v>396.74365000000006</v>
      </c>
      <c r="I24" s="152">
        <f t="shared" ref="I24:I32" si="5">SUM(G24:H24)</f>
        <v>1488.6986500000003</v>
      </c>
      <c r="J24" s="159">
        <f t="shared" ref="J24:J32" si="6">+I24/12</f>
        <v>124.05822083333335</v>
      </c>
    </row>
    <row r="25" spans="1:10">
      <c r="A25" s="93">
        <f>A24+1</f>
        <v>3</v>
      </c>
      <c r="B25" s="94" t="s">
        <v>40</v>
      </c>
      <c r="C25" s="112" t="s">
        <v>41</v>
      </c>
      <c r="D25" s="108">
        <v>1588.02</v>
      </c>
      <c r="E25" s="97"/>
      <c r="F25" s="109">
        <f t="shared" si="4"/>
        <v>1588.02</v>
      </c>
      <c r="G25" s="99">
        <f t="shared" ref="G25:G32" si="7">+F25/2</f>
        <v>794.01</v>
      </c>
      <c r="H25" s="152">
        <f>+'COSTO GRATIFICACIONES'!L25*2</f>
        <v>288.49029999999999</v>
      </c>
      <c r="I25" s="152">
        <f t="shared" si="5"/>
        <v>1082.5002999999999</v>
      </c>
      <c r="J25" s="159">
        <f t="shared" si="6"/>
        <v>90.208358333333322</v>
      </c>
    </row>
    <row r="26" spans="1:10">
      <c r="A26" s="93">
        <v>4</v>
      </c>
      <c r="B26" s="94" t="s">
        <v>42</v>
      </c>
      <c r="C26" s="112" t="s">
        <v>43</v>
      </c>
      <c r="D26" s="96">
        <v>1474.6000000000001</v>
      </c>
      <c r="E26" s="96"/>
      <c r="F26" s="109">
        <f>D26+E26</f>
        <v>1474.6000000000001</v>
      </c>
      <c r="G26" s="99">
        <f t="shared" si="7"/>
        <v>737.30000000000007</v>
      </c>
      <c r="H26" s="152">
        <f>+'COSTO GRATIFICACIONES'!L26*2</f>
        <v>267.88566666666668</v>
      </c>
      <c r="I26" s="152">
        <f t="shared" si="5"/>
        <v>1005.1856666666667</v>
      </c>
      <c r="J26" s="159">
        <f t="shared" si="6"/>
        <v>83.765472222222229</v>
      </c>
    </row>
    <row r="27" spans="1:10">
      <c r="A27" s="93">
        <v>5</v>
      </c>
      <c r="B27" s="94" t="s">
        <v>44</v>
      </c>
      <c r="C27" s="112" t="s">
        <v>45</v>
      </c>
      <c r="D27" s="96">
        <v>1474.6000000000001</v>
      </c>
      <c r="E27" s="96">
        <v>0</v>
      </c>
      <c r="F27" s="109">
        <f t="shared" si="4"/>
        <v>1474.6000000000001</v>
      </c>
      <c r="G27" s="99">
        <f t="shared" si="7"/>
        <v>737.30000000000007</v>
      </c>
      <c r="H27" s="152">
        <f>+'COSTO GRATIFICACIONES'!L27*2</f>
        <v>267.88566666666668</v>
      </c>
      <c r="I27" s="152">
        <f t="shared" si="5"/>
        <v>1005.1856666666667</v>
      </c>
      <c r="J27" s="159">
        <f t="shared" si="6"/>
        <v>83.765472222222229</v>
      </c>
    </row>
    <row r="28" spans="1:10" ht="15.75" customHeight="1">
      <c r="A28" s="93">
        <v>6</v>
      </c>
      <c r="B28" s="94" t="s">
        <v>24</v>
      </c>
      <c r="C28" s="107" t="s">
        <v>46</v>
      </c>
      <c r="D28" s="108">
        <v>1701.45</v>
      </c>
      <c r="E28" s="97"/>
      <c r="F28" s="109">
        <f t="shared" si="4"/>
        <v>1701.45</v>
      </c>
      <c r="G28" s="99">
        <f t="shared" si="7"/>
        <v>850.72500000000002</v>
      </c>
      <c r="H28" s="152">
        <f>+'COSTO GRATIFICACIONES'!L28*2</f>
        <v>309.09674999999999</v>
      </c>
      <c r="I28" s="152">
        <f t="shared" si="5"/>
        <v>1159.8217500000001</v>
      </c>
      <c r="J28" s="159">
        <f t="shared" si="6"/>
        <v>96.651812500000005</v>
      </c>
    </row>
    <row r="29" spans="1:10" ht="20.25" customHeight="1">
      <c r="A29" s="93">
        <v>7</v>
      </c>
      <c r="B29" s="94" t="s">
        <v>30</v>
      </c>
      <c r="C29" s="107" t="s">
        <v>31</v>
      </c>
      <c r="D29" s="108">
        <v>830.15</v>
      </c>
      <c r="E29" s="97"/>
      <c r="F29" s="109">
        <f t="shared" si="4"/>
        <v>830.15</v>
      </c>
      <c r="G29" s="99">
        <f t="shared" si="7"/>
        <v>415.07499999999999</v>
      </c>
      <c r="H29" s="152">
        <f>+'COSTO GRATIFICACIONES'!L29*2</f>
        <v>150.81058333333331</v>
      </c>
      <c r="I29" s="152">
        <f t="shared" si="5"/>
        <v>565.88558333333333</v>
      </c>
      <c r="J29" s="159">
        <f t="shared" si="6"/>
        <v>47.157131944444444</v>
      </c>
    </row>
    <row r="30" spans="1:10">
      <c r="A30" s="93">
        <v>8</v>
      </c>
      <c r="B30" s="94" t="s">
        <v>24</v>
      </c>
      <c r="C30" s="112" t="s">
        <v>47</v>
      </c>
      <c r="D30" s="108">
        <v>2155.17</v>
      </c>
      <c r="E30" s="97"/>
      <c r="F30" s="109">
        <f t="shared" si="4"/>
        <v>2155.17</v>
      </c>
      <c r="G30" s="99">
        <f t="shared" si="7"/>
        <v>1077.585</v>
      </c>
      <c r="H30" s="152">
        <f>+'COSTO GRATIFICACIONES'!L30*2</f>
        <v>391.52254999999997</v>
      </c>
      <c r="I30" s="152">
        <f t="shared" si="5"/>
        <v>1469.1075499999999</v>
      </c>
      <c r="J30" s="159">
        <f t="shared" si="6"/>
        <v>122.42562916666667</v>
      </c>
    </row>
    <row r="31" spans="1:10">
      <c r="A31" s="93">
        <v>9</v>
      </c>
      <c r="B31" s="94" t="s">
        <v>28</v>
      </c>
      <c r="C31" s="106" t="s">
        <v>48</v>
      </c>
      <c r="D31" s="96">
        <v>1336.28</v>
      </c>
      <c r="E31" s="97"/>
      <c r="F31" s="109">
        <f t="shared" si="4"/>
        <v>1336.28</v>
      </c>
      <c r="G31" s="99">
        <f t="shared" si="7"/>
        <v>668.14</v>
      </c>
      <c r="H31" s="152">
        <f>+'COSTO GRATIFICACIONES'!L31*2</f>
        <v>242.75753333333333</v>
      </c>
      <c r="I31" s="152">
        <f t="shared" si="5"/>
        <v>910.89753333333329</v>
      </c>
      <c r="J31" s="159">
        <f t="shared" si="6"/>
        <v>75.908127777777779</v>
      </c>
    </row>
    <row r="32" spans="1:10" ht="15.75" thickBot="1">
      <c r="A32" s="93">
        <v>10</v>
      </c>
      <c r="B32" s="94" t="s">
        <v>22</v>
      </c>
      <c r="C32" s="106" t="s">
        <v>49</v>
      </c>
      <c r="D32" s="96">
        <v>1814.88</v>
      </c>
      <c r="E32" s="97"/>
      <c r="F32" s="109">
        <f t="shared" si="4"/>
        <v>1814.88</v>
      </c>
      <c r="G32" s="99">
        <f t="shared" si="7"/>
        <v>907.44</v>
      </c>
      <c r="H32" s="152">
        <f>+'COSTO GRATIFICACIONES'!L32*2</f>
        <v>329.70319999999998</v>
      </c>
      <c r="I32" s="152">
        <f t="shared" si="5"/>
        <v>1237.1432</v>
      </c>
      <c r="J32" s="159">
        <f t="shared" si="6"/>
        <v>103.09526666666666</v>
      </c>
    </row>
    <row r="33" spans="1:10" ht="15.75" thickBot="1">
      <c r="A33" s="125"/>
      <c r="B33" s="140"/>
      <c r="C33" s="141" t="s">
        <v>35</v>
      </c>
      <c r="D33" s="142">
        <f t="shared" ref="D33:J33" si="8">SUM(D23:D32)</f>
        <v>18665.160000000003</v>
      </c>
      <c r="E33" s="143">
        <f t="shared" si="8"/>
        <v>102.5</v>
      </c>
      <c r="F33" s="143">
        <f t="shared" si="8"/>
        <v>18767.660000000003</v>
      </c>
      <c r="G33" s="143">
        <f t="shared" si="8"/>
        <v>9383.8300000000017</v>
      </c>
      <c r="H33" s="154">
        <f t="shared" si="8"/>
        <v>4174.020566666667</v>
      </c>
      <c r="I33" s="143">
        <f t="shared" si="8"/>
        <v>13557.850566666666</v>
      </c>
      <c r="J33" s="143">
        <f t="shared" si="8"/>
        <v>1129.8208805555557</v>
      </c>
    </row>
    <row r="34" spans="1:10" ht="15.75" thickBot="1"/>
    <row r="35" spans="1:10" ht="15.75" thickBot="1">
      <c r="B35" s="140"/>
      <c r="C35" s="141" t="s">
        <v>35</v>
      </c>
      <c r="D35" s="142">
        <f>+D17+D33</f>
        <v>30613.43</v>
      </c>
    </row>
  </sheetData>
  <mergeCells count="13">
    <mergeCell ref="C2:H2"/>
    <mergeCell ref="A20:A22"/>
    <mergeCell ref="B20:B22"/>
    <mergeCell ref="C20:C22"/>
    <mergeCell ref="D20:D22"/>
    <mergeCell ref="E20:E22"/>
    <mergeCell ref="F20:F22"/>
    <mergeCell ref="A6:A8"/>
    <mergeCell ref="B6:B8"/>
    <mergeCell ref="C6:C8"/>
    <mergeCell ref="D6:D8"/>
    <mergeCell ref="E6:E8"/>
    <mergeCell ref="F6:F8"/>
  </mergeCells>
  <pageMargins left="0.7" right="0.7" top="0.75" bottom="0.75" header="0.3" footer="0.3"/>
  <pageSetup orientation="portrait" horizontalDpi="4294967292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0.499984740745262"/>
  </sheetPr>
  <dimension ref="A2:I35"/>
  <sheetViews>
    <sheetView workbookViewId="0">
      <selection activeCell="M4" sqref="M4"/>
    </sheetView>
  </sheetViews>
  <sheetFormatPr baseColWidth="10" defaultColWidth="11.42578125" defaultRowHeight="15"/>
  <cols>
    <col min="2" max="2" width="21.85546875" customWidth="1"/>
    <col min="3" max="3" width="29.85546875" customWidth="1"/>
    <col min="7" max="8" width="15.7109375" customWidth="1"/>
    <col min="9" max="9" width="16.42578125" customWidth="1"/>
  </cols>
  <sheetData>
    <row r="2" spans="1:9">
      <c r="C2" s="1612"/>
      <c r="D2" s="1612"/>
      <c r="E2" s="1612"/>
      <c r="F2" s="1612"/>
      <c r="G2" s="1612"/>
      <c r="H2" s="156"/>
    </row>
    <row r="4" spans="1:9" ht="15.75">
      <c r="A4" s="138" t="s">
        <v>0</v>
      </c>
      <c r="B4" s="139"/>
      <c r="C4" s="139"/>
      <c r="D4" s="137"/>
      <c r="E4" s="139"/>
      <c r="F4" s="139"/>
      <c r="G4" s="136"/>
      <c r="H4" s="136"/>
    </row>
    <row r="5" spans="1:9" ht="15.75">
      <c r="A5" s="84"/>
      <c r="B5" s="65"/>
      <c r="C5" s="65"/>
      <c r="D5" s="85"/>
      <c r="E5" s="139"/>
      <c r="F5" s="139"/>
      <c r="G5" s="147"/>
      <c r="H5" s="147"/>
    </row>
    <row r="6" spans="1:9">
      <c r="A6" s="1610" t="s">
        <v>2</v>
      </c>
      <c r="B6" s="1608" t="s">
        <v>3</v>
      </c>
      <c r="C6" s="1608" t="s">
        <v>4</v>
      </c>
      <c r="D6" s="1608" t="s">
        <v>5</v>
      </c>
      <c r="E6" s="1608" t="s">
        <v>6</v>
      </c>
      <c r="F6" s="1608" t="s">
        <v>7</v>
      </c>
      <c r="G6" s="145" t="s">
        <v>720</v>
      </c>
      <c r="H6" s="1608" t="s">
        <v>11</v>
      </c>
      <c r="I6" s="144" t="s">
        <v>125</v>
      </c>
    </row>
    <row r="7" spans="1:9">
      <c r="A7" s="1610"/>
      <c r="B7" s="1608"/>
      <c r="C7" s="1608"/>
      <c r="D7" s="1608"/>
      <c r="E7" s="1608"/>
      <c r="F7" s="1608"/>
      <c r="G7" s="145" t="s">
        <v>10</v>
      </c>
      <c r="H7" s="1608"/>
      <c r="I7" s="144" t="s">
        <v>10</v>
      </c>
    </row>
    <row r="8" spans="1:9">
      <c r="A8" s="1610"/>
      <c r="B8" s="1608"/>
      <c r="C8" s="1608"/>
      <c r="D8" s="1608"/>
      <c r="E8" s="1608"/>
      <c r="F8" s="1608"/>
      <c r="G8" s="145" t="s">
        <v>716</v>
      </c>
      <c r="H8" s="1608"/>
      <c r="I8" s="151" t="s">
        <v>441</v>
      </c>
    </row>
    <row r="9" spans="1:9">
      <c r="A9" s="93">
        <v>1</v>
      </c>
      <c r="B9" s="94" t="s">
        <v>20</v>
      </c>
      <c r="C9" s="95" t="s">
        <v>21</v>
      </c>
      <c r="D9" s="96">
        <v>794.01</v>
      </c>
      <c r="E9" s="97">
        <v>0</v>
      </c>
      <c r="F9" s="98">
        <f t="shared" ref="F9:F16" si="0">D9+E9</f>
        <v>794.01</v>
      </c>
      <c r="G9" s="99">
        <f>+F9/12/30*6</f>
        <v>13.233500000000003</v>
      </c>
      <c r="H9" s="99">
        <f>1025*9%</f>
        <v>92.25</v>
      </c>
      <c r="I9" s="159">
        <f>(+G9+H9)/12</f>
        <v>8.7902916666666666</v>
      </c>
    </row>
    <row r="10" spans="1:9" ht="20.25" customHeight="1">
      <c r="A10" s="93">
        <f>A9+1</f>
        <v>2</v>
      </c>
      <c r="B10" s="106" t="s">
        <v>22</v>
      </c>
      <c r="C10" s="107" t="s">
        <v>23</v>
      </c>
      <c r="D10" s="108">
        <v>1966.47</v>
      </c>
      <c r="E10" s="146">
        <v>102.5</v>
      </c>
      <c r="F10" s="109">
        <f>D10+E10</f>
        <v>2068.9700000000003</v>
      </c>
      <c r="G10" s="99">
        <f>+F10/2</f>
        <v>1034.4850000000001</v>
      </c>
      <c r="H10" s="99">
        <f>+G10*9%</f>
        <v>93.103650000000002</v>
      </c>
      <c r="I10" s="159">
        <f t="shared" ref="I10:I16" si="1">(+G10+H10)/12</f>
        <v>93.96572083333335</v>
      </c>
    </row>
    <row r="11" spans="1:9">
      <c r="A11" s="93">
        <f>A10+1</f>
        <v>3</v>
      </c>
      <c r="B11" s="111" t="s">
        <v>22</v>
      </c>
      <c r="C11" s="112" t="s">
        <v>25</v>
      </c>
      <c r="D11" s="108">
        <v>1588.02</v>
      </c>
      <c r="E11" s="97"/>
      <c r="F11" s="109">
        <f t="shared" si="0"/>
        <v>1588.02</v>
      </c>
      <c r="G11" s="99">
        <f t="shared" ref="G11:G16" si="2">+F11/2</f>
        <v>794.01</v>
      </c>
      <c r="H11" s="99">
        <f t="shared" ref="H11:H16" si="3">+G11*9%</f>
        <v>71.460899999999995</v>
      </c>
      <c r="I11" s="159">
        <f t="shared" si="1"/>
        <v>72.122574999999998</v>
      </c>
    </row>
    <row r="12" spans="1:9" ht="18" customHeight="1">
      <c r="A12" s="93">
        <v>4</v>
      </c>
      <c r="B12" s="106" t="s">
        <v>30</v>
      </c>
      <c r="C12" s="107" t="s">
        <v>31</v>
      </c>
      <c r="D12" s="108">
        <v>830.15</v>
      </c>
      <c r="E12" s="97"/>
      <c r="F12" s="109">
        <f t="shared" si="0"/>
        <v>830.15</v>
      </c>
      <c r="G12" s="99">
        <f t="shared" si="2"/>
        <v>415.07499999999999</v>
      </c>
      <c r="H12" s="99">
        <f t="shared" si="3"/>
        <v>37.356749999999998</v>
      </c>
      <c r="I12" s="159">
        <f t="shared" si="1"/>
        <v>37.702645833333328</v>
      </c>
    </row>
    <row r="13" spans="1:9">
      <c r="A13" s="93">
        <v>5</v>
      </c>
      <c r="B13" s="106" t="s">
        <v>717</v>
      </c>
      <c r="C13" s="112" t="s">
        <v>27</v>
      </c>
      <c r="D13" s="96">
        <v>1474.5900000000001</v>
      </c>
      <c r="E13" s="96">
        <v>0</v>
      </c>
      <c r="F13" s="109">
        <f t="shared" si="0"/>
        <v>1474.5900000000001</v>
      </c>
      <c r="G13" s="99">
        <f t="shared" si="2"/>
        <v>737.29500000000007</v>
      </c>
      <c r="H13" s="99">
        <f t="shared" si="3"/>
        <v>66.356549999999999</v>
      </c>
      <c r="I13" s="159">
        <f t="shared" si="1"/>
        <v>66.970962499999999</v>
      </c>
    </row>
    <row r="14" spans="1:9">
      <c r="A14" s="93">
        <v>6</v>
      </c>
      <c r="B14" s="106" t="s">
        <v>28</v>
      </c>
      <c r="C14" s="106" t="s">
        <v>29</v>
      </c>
      <c r="D14" s="96">
        <v>1025</v>
      </c>
      <c r="E14" s="96"/>
      <c r="F14" s="109">
        <f t="shared" si="0"/>
        <v>1025</v>
      </c>
      <c r="G14" s="99">
        <f t="shared" si="2"/>
        <v>512.5</v>
      </c>
      <c r="H14" s="99">
        <f t="shared" si="3"/>
        <v>46.125</v>
      </c>
      <c r="I14" s="159">
        <f t="shared" si="1"/>
        <v>46.552083333333336</v>
      </c>
    </row>
    <row r="15" spans="1:9" ht="17.25" customHeight="1">
      <c r="A15" s="93">
        <v>7</v>
      </c>
      <c r="B15" s="106" t="s">
        <v>32</v>
      </c>
      <c r="C15" s="134" t="s">
        <v>33</v>
      </c>
      <c r="D15" s="108">
        <v>3000</v>
      </c>
      <c r="E15" s="146">
        <v>102.5</v>
      </c>
      <c r="F15" s="109">
        <f t="shared" si="0"/>
        <v>3102.5</v>
      </c>
      <c r="G15" s="99">
        <f t="shared" si="2"/>
        <v>1551.25</v>
      </c>
      <c r="H15" s="99">
        <f t="shared" si="3"/>
        <v>139.61249999999998</v>
      </c>
      <c r="I15" s="159">
        <f t="shared" si="1"/>
        <v>140.90520833333332</v>
      </c>
    </row>
    <row r="16" spans="1:9" ht="18" customHeight="1" thickBot="1">
      <c r="A16" s="93">
        <v>8</v>
      </c>
      <c r="B16" s="106" t="s">
        <v>20</v>
      </c>
      <c r="C16" s="134" t="s">
        <v>34</v>
      </c>
      <c r="D16" s="96">
        <v>1270.8</v>
      </c>
      <c r="E16" s="97"/>
      <c r="F16" s="109">
        <f t="shared" si="0"/>
        <v>1270.8</v>
      </c>
      <c r="G16" s="99">
        <f t="shared" si="2"/>
        <v>635.4</v>
      </c>
      <c r="H16" s="99">
        <f t="shared" si="3"/>
        <v>57.185999999999993</v>
      </c>
      <c r="I16" s="159">
        <f t="shared" si="1"/>
        <v>57.715499999999999</v>
      </c>
    </row>
    <row r="17" spans="1:9" ht="15.75" thickBot="1">
      <c r="A17" s="125"/>
      <c r="B17" s="140"/>
      <c r="C17" s="141" t="s">
        <v>35</v>
      </c>
      <c r="D17" s="142">
        <f>SUM(D9:D16)</f>
        <v>11949.039999999999</v>
      </c>
      <c r="E17" s="143">
        <f>SUM(E9:E16)</f>
        <v>205</v>
      </c>
      <c r="F17" s="143">
        <f>SUM(F9:F16)</f>
        <v>12154.039999999999</v>
      </c>
      <c r="G17" s="143">
        <f>SUM(G9:G16)</f>
        <v>5693.2484999999997</v>
      </c>
      <c r="H17" s="143">
        <f>SUM(H10:H16)</f>
        <v>511.20134999999999</v>
      </c>
      <c r="I17" s="143">
        <f>SUM(I9:I16)</f>
        <v>524.7249875</v>
      </c>
    </row>
    <row r="18" spans="1:9" ht="15.75">
      <c r="A18" s="84"/>
      <c r="B18" s="65"/>
      <c r="C18" s="65"/>
      <c r="D18" s="85"/>
      <c r="E18" s="65"/>
      <c r="F18" s="65"/>
      <c r="G18" s="82"/>
      <c r="H18" s="82"/>
    </row>
    <row r="19" spans="1:9" ht="15.75">
      <c r="A19" s="84"/>
      <c r="B19" s="65"/>
      <c r="C19" s="65"/>
      <c r="D19" s="85"/>
      <c r="E19" s="65"/>
      <c r="F19" s="65"/>
      <c r="G19" s="82"/>
      <c r="H19" s="82"/>
    </row>
    <row r="20" spans="1:9" ht="15" customHeight="1">
      <c r="A20" s="1610" t="s">
        <v>2</v>
      </c>
      <c r="B20" s="1608" t="s">
        <v>3</v>
      </c>
      <c r="C20" s="1608" t="s">
        <v>4</v>
      </c>
      <c r="D20" s="1608" t="s">
        <v>5</v>
      </c>
      <c r="E20" s="1608" t="s">
        <v>6</v>
      </c>
      <c r="F20" s="1608" t="s">
        <v>7</v>
      </c>
      <c r="G20" s="145" t="s">
        <v>720</v>
      </c>
      <c r="H20" s="1608" t="s">
        <v>11</v>
      </c>
      <c r="I20" s="144" t="s">
        <v>125</v>
      </c>
    </row>
    <row r="21" spans="1:9">
      <c r="A21" s="1610"/>
      <c r="B21" s="1608"/>
      <c r="C21" s="1608"/>
      <c r="D21" s="1608"/>
      <c r="E21" s="1608"/>
      <c r="F21" s="1608"/>
      <c r="G21" s="145" t="s">
        <v>725</v>
      </c>
      <c r="H21" s="1608"/>
      <c r="I21" s="144" t="s">
        <v>10</v>
      </c>
    </row>
    <row r="22" spans="1:9">
      <c r="A22" s="1610"/>
      <c r="B22" s="1608"/>
      <c r="C22" s="1608"/>
      <c r="D22" s="1608"/>
      <c r="E22" s="1608"/>
      <c r="F22" s="1608"/>
      <c r="G22" s="145" t="s">
        <v>716</v>
      </c>
      <c r="H22" s="1608"/>
      <c r="I22" s="151" t="s">
        <v>441</v>
      </c>
    </row>
    <row r="23" spans="1:9">
      <c r="A23" s="93">
        <v>1</v>
      </c>
      <c r="B23" s="94" t="s">
        <v>36</v>
      </c>
      <c r="C23" s="95" t="s">
        <v>718</v>
      </c>
      <c r="D23" s="96">
        <v>4208.6000000000004</v>
      </c>
      <c r="E23" s="97">
        <v>0</v>
      </c>
      <c r="F23" s="98">
        <f>D23+E23</f>
        <v>4208.6000000000004</v>
      </c>
      <c r="G23" s="99">
        <f>+F23*1</f>
        <v>4208.6000000000004</v>
      </c>
      <c r="H23" s="99">
        <f>+G23*9%</f>
        <v>378.774</v>
      </c>
      <c r="I23" s="159">
        <f>(+G23+H23)/12</f>
        <v>382.28116666666671</v>
      </c>
    </row>
    <row r="24" spans="1:9" ht="16.5" customHeight="1">
      <c r="A24" s="93">
        <f>A23+1</f>
        <v>2</v>
      </c>
      <c r="B24" s="94" t="s">
        <v>38</v>
      </c>
      <c r="C24" s="107" t="s">
        <v>39</v>
      </c>
      <c r="D24" s="108">
        <v>2081.4100000000003</v>
      </c>
      <c r="E24" s="146">
        <v>102.5</v>
      </c>
      <c r="F24" s="109">
        <f t="shared" ref="F24:F32" si="4">D24+E24</f>
        <v>2183.9100000000003</v>
      </c>
      <c r="G24" s="99">
        <f>+F24/2</f>
        <v>1091.9550000000002</v>
      </c>
      <c r="H24" s="99">
        <f t="shared" ref="H24:H32" si="5">+G24*9%</f>
        <v>98.275950000000009</v>
      </c>
      <c r="I24" s="159">
        <f t="shared" ref="I24:I32" si="6">(+G24+H24)/12</f>
        <v>99.185912500000015</v>
      </c>
    </row>
    <row r="25" spans="1:9">
      <c r="A25" s="93">
        <f>A24+1</f>
        <v>3</v>
      </c>
      <c r="B25" s="94" t="s">
        <v>40</v>
      </c>
      <c r="C25" s="112" t="s">
        <v>41</v>
      </c>
      <c r="D25" s="108">
        <v>1588.02</v>
      </c>
      <c r="E25" s="97"/>
      <c r="F25" s="109">
        <f t="shared" si="4"/>
        <v>1588.02</v>
      </c>
      <c r="G25" s="99">
        <f t="shared" ref="G25:G32" si="7">+F25/2</f>
        <v>794.01</v>
      </c>
      <c r="H25" s="99">
        <f t="shared" si="5"/>
        <v>71.460899999999995</v>
      </c>
      <c r="I25" s="159">
        <f t="shared" si="6"/>
        <v>72.122574999999998</v>
      </c>
    </row>
    <row r="26" spans="1:9">
      <c r="A26" s="93">
        <v>4</v>
      </c>
      <c r="B26" s="94" t="s">
        <v>42</v>
      </c>
      <c r="C26" s="112" t="s">
        <v>43</v>
      </c>
      <c r="D26" s="96">
        <v>1474.6000000000001</v>
      </c>
      <c r="E26" s="96"/>
      <c r="F26" s="109">
        <f>D26+E26</f>
        <v>1474.6000000000001</v>
      </c>
      <c r="G26" s="99">
        <f t="shared" si="7"/>
        <v>737.30000000000007</v>
      </c>
      <c r="H26" s="99">
        <f t="shared" si="5"/>
        <v>66.356999999999999</v>
      </c>
      <c r="I26" s="159">
        <f t="shared" si="6"/>
        <v>66.97141666666667</v>
      </c>
    </row>
    <row r="27" spans="1:9">
      <c r="A27" s="93">
        <v>5</v>
      </c>
      <c r="B27" s="94" t="s">
        <v>44</v>
      </c>
      <c r="C27" s="112" t="s">
        <v>45</v>
      </c>
      <c r="D27" s="96">
        <v>1474.6000000000001</v>
      </c>
      <c r="E27" s="96">
        <v>0</v>
      </c>
      <c r="F27" s="109">
        <f t="shared" si="4"/>
        <v>1474.6000000000001</v>
      </c>
      <c r="G27" s="99">
        <f t="shared" si="7"/>
        <v>737.30000000000007</v>
      </c>
      <c r="H27" s="99">
        <f t="shared" si="5"/>
        <v>66.356999999999999</v>
      </c>
      <c r="I27" s="159">
        <f t="shared" si="6"/>
        <v>66.97141666666667</v>
      </c>
    </row>
    <row r="28" spans="1:9" ht="15.75" customHeight="1">
      <c r="A28" s="93">
        <v>6</v>
      </c>
      <c r="B28" s="94" t="s">
        <v>24</v>
      </c>
      <c r="C28" s="107" t="s">
        <v>46</v>
      </c>
      <c r="D28" s="108">
        <v>1701.45</v>
      </c>
      <c r="E28" s="97"/>
      <c r="F28" s="109">
        <f t="shared" si="4"/>
        <v>1701.45</v>
      </c>
      <c r="G28" s="99">
        <f t="shared" si="7"/>
        <v>850.72500000000002</v>
      </c>
      <c r="H28" s="99">
        <f t="shared" si="5"/>
        <v>76.565250000000006</v>
      </c>
      <c r="I28" s="159">
        <f t="shared" si="6"/>
        <v>77.274187499999996</v>
      </c>
    </row>
    <row r="29" spans="1:9" ht="20.25" customHeight="1">
      <c r="A29" s="93">
        <v>7</v>
      </c>
      <c r="B29" s="94" t="s">
        <v>30</v>
      </c>
      <c r="C29" s="107" t="s">
        <v>31</v>
      </c>
      <c r="D29" s="108">
        <v>830.15</v>
      </c>
      <c r="E29" s="97"/>
      <c r="F29" s="109">
        <f t="shared" si="4"/>
        <v>830.15</v>
      </c>
      <c r="G29" s="99">
        <f t="shared" si="7"/>
        <v>415.07499999999999</v>
      </c>
      <c r="H29" s="99">
        <f t="shared" si="5"/>
        <v>37.356749999999998</v>
      </c>
      <c r="I29" s="159">
        <f t="shared" si="6"/>
        <v>37.702645833333328</v>
      </c>
    </row>
    <row r="30" spans="1:9">
      <c r="A30" s="93">
        <v>8</v>
      </c>
      <c r="B30" s="94" t="s">
        <v>24</v>
      </c>
      <c r="C30" s="112" t="s">
        <v>47</v>
      </c>
      <c r="D30" s="108">
        <v>2155.17</v>
      </c>
      <c r="E30" s="97"/>
      <c r="F30" s="109">
        <f t="shared" si="4"/>
        <v>2155.17</v>
      </c>
      <c r="G30" s="99">
        <f t="shared" si="7"/>
        <v>1077.585</v>
      </c>
      <c r="H30" s="99">
        <f t="shared" si="5"/>
        <v>96.982650000000007</v>
      </c>
      <c r="I30" s="159">
        <f t="shared" si="6"/>
        <v>97.880637499999992</v>
      </c>
    </row>
    <row r="31" spans="1:9">
      <c r="A31" s="93">
        <v>9</v>
      </c>
      <c r="B31" s="94" t="s">
        <v>28</v>
      </c>
      <c r="C31" s="106" t="s">
        <v>48</v>
      </c>
      <c r="D31" s="96">
        <v>1336.28</v>
      </c>
      <c r="E31" s="97"/>
      <c r="F31" s="109">
        <f t="shared" si="4"/>
        <v>1336.28</v>
      </c>
      <c r="G31" s="99">
        <f t="shared" si="7"/>
        <v>668.14</v>
      </c>
      <c r="H31" s="99">
        <f t="shared" si="5"/>
        <v>60.132599999999996</v>
      </c>
      <c r="I31" s="159">
        <f t="shared" si="6"/>
        <v>60.689383333333332</v>
      </c>
    </row>
    <row r="32" spans="1:9" ht="15.75" thickBot="1">
      <c r="A32" s="93">
        <v>10</v>
      </c>
      <c r="B32" s="94" t="s">
        <v>22</v>
      </c>
      <c r="C32" s="106" t="s">
        <v>49</v>
      </c>
      <c r="D32" s="96">
        <v>1814.88</v>
      </c>
      <c r="E32" s="97"/>
      <c r="F32" s="109">
        <f t="shared" si="4"/>
        <v>1814.88</v>
      </c>
      <c r="G32" s="99">
        <f t="shared" si="7"/>
        <v>907.44</v>
      </c>
      <c r="H32" s="99">
        <f t="shared" si="5"/>
        <v>81.669600000000003</v>
      </c>
      <c r="I32" s="159">
        <f t="shared" si="6"/>
        <v>82.425799999999995</v>
      </c>
    </row>
    <row r="33" spans="1:9" ht="15.75" thickBot="1">
      <c r="A33" s="125"/>
      <c r="B33" s="140"/>
      <c r="C33" s="141" t="s">
        <v>35</v>
      </c>
      <c r="D33" s="142">
        <f t="shared" ref="D33:I33" si="8">SUM(D23:D32)</f>
        <v>18665.160000000003</v>
      </c>
      <c r="E33" s="143">
        <f t="shared" si="8"/>
        <v>102.5</v>
      </c>
      <c r="F33" s="143">
        <f t="shared" si="8"/>
        <v>18767.660000000003</v>
      </c>
      <c r="G33" s="143">
        <f t="shared" si="8"/>
        <v>11488.130000000003</v>
      </c>
      <c r="H33" s="143">
        <f t="shared" si="8"/>
        <v>1033.9317000000001</v>
      </c>
      <c r="I33" s="143">
        <f t="shared" si="8"/>
        <v>1043.5051416666668</v>
      </c>
    </row>
    <row r="34" spans="1:9" ht="15.75" thickBot="1"/>
    <row r="35" spans="1:9" ht="15.75" thickBot="1">
      <c r="B35" s="140"/>
      <c r="C35" s="141" t="s">
        <v>35</v>
      </c>
      <c r="D35" s="142">
        <f>+D17+D33</f>
        <v>30614.200000000004</v>
      </c>
    </row>
  </sheetData>
  <mergeCells count="15">
    <mergeCell ref="C2:G2"/>
    <mergeCell ref="A6:A8"/>
    <mergeCell ref="B6:B8"/>
    <mergeCell ref="C6:C8"/>
    <mergeCell ref="D6:D8"/>
    <mergeCell ref="E6:E8"/>
    <mergeCell ref="F6:F8"/>
    <mergeCell ref="H6:H8"/>
    <mergeCell ref="H20:H22"/>
    <mergeCell ref="A20:A22"/>
    <mergeCell ref="B20:B22"/>
    <mergeCell ref="C20:C22"/>
    <mergeCell ref="D20:D22"/>
    <mergeCell ref="E20:E22"/>
    <mergeCell ref="F20:F2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 tint="0.499984740745262"/>
    <pageSetUpPr fitToPage="1"/>
  </sheetPr>
  <dimension ref="B4:V39"/>
  <sheetViews>
    <sheetView workbookViewId="0">
      <selection activeCell="B5" sqref="B5:D17"/>
    </sheetView>
  </sheetViews>
  <sheetFormatPr baseColWidth="10" defaultColWidth="11.42578125" defaultRowHeight="15"/>
  <cols>
    <col min="1" max="1" width="4" customWidth="1"/>
    <col min="2" max="2" width="7.140625" customWidth="1"/>
    <col min="3" max="3" width="22.28515625" customWidth="1"/>
    <col min="4" max="4" width="36.85546875" customWidth="1"/>
    <col min="7" max="7" width="12.28515625" customWidth="1"/>
    <col min="8" max="8" width="16.5703125" customWidth="1"/>
    <col min="9" max="9" width="18.5703125" customWidth="1"/>
    <col min="11" max="11" width="18.140625" customWidth="1"/>
    <col min="12" max="12" width="13.85546875" customWidth="1"/>
    <col min="15" max="15" width="6.5703125" customWidth="1"/>
    <col min="19" max="19" width="4.7109375" customWidth="1"/>
  </cols>
  <sheetData>
    <row r="4" spans="2:22" ht="15.75">
      <c r="B4" s="138" t="s">
        <v>0</v>
      </c>
      <c r="C4" s="139"/>
      <c r="D4" s="139"/>
      <c r="E4" s="137"/>
      <c r="F4" s="139"/>
      <c r="G4" s="139"/>
      <c r="H4" s="139"/>
      <c r="I4" s="136"/>
    </row>
    <row r="5" spans="2:22" ht="15.75">
      <c r="B5" s="138" t="s">
        <v>726</v>
      </c>
      <c r="C5" s="139"/>
      <c r="D5" s="139"/>
      <c r="E5" s="137"/>
      <c r="F5" s="139"/>
      <c r="G5" s="139"/>
      <c r="H5" s="139"/>
      <c r="I5" s="136"/>
    </row>
    <row r="6" spans="2:22" ht="15.75">
      <c r="B6" s="84"/>
      <c r="C6" s="65"/>
      <c r="D6" s="65"/>
      <c r="E6" s="85"/>
      <c r="F6" s="139"/>
      <c r="G6" s="139"/>
      <c r="H6" s="139"/>
      <c r="I6" s="147"/>
    </row>
    <row r="7" spans="2:22" ht="15" customHeight="1">
      <c r="B7" s="1610" t="s">
        <v>2</v>
      </c>
      <c r="C7" s="1608" t="s">
        <v>3</v>
      </c>
      <c r="D7" s="1608" t="s">
        <v>4</v>
      </c>
      <c r="E7" s="1608" t="s">
        <v>5</v>
      </c>
      <c r="F7" s="1608" t="s">
        <v>6</v>
      </c>
      <c r="G7" s="1608" t="s">
        <v>7</v>
      </c>
      <c r="H7" s="144" t="s">
        <v>727</v>
      </c>
      <c r="I7" s="145" t="s">
        <v>728</v>
      </c>
      <c r="J7" s="144" t="s">
        <v>728</v>
      </c>
      <c r="K7" s="144" t="s">
        <v>728</v>
      </c>
      <c r="L7" s="1602" t="s">
        <v>12</v>
      </c>
      <c r="M7" s="1602" t="s">
        <v>13</v>
      </c>
      <c r="N7" s="1602" t="s">
        <v>14</v>
      </c>
      <c r="P7" s="1609" t="s">
        <v>16</v>
      </c>
      <c r="Q7" s="1609" t="s">
        <v>17</v>
      </c>
      <c r="R7" s="1609" t="s">
        <v>18</v>
      </c>
      <c r="T7" s="1613" t="s">
        <v>729</v>
      </c>
      <c r="U7" s="1613" t="s">
        <v>730</v>
      </c>
      <c r="V7" s="1613" t="s">
        <v>731</v>
      </c>
    </row>
    <row r="8" spans="2:22">
      <c r="B8" s="1610"/>
      <c r="C8" s="1608"/>
      <c r="D8" s="1608"/>
      <c r="E8" s="1608"/>
      <c r="F8" s="1608"/>
      <c r="G8" s="1608"/>
      <c r="H8" s="144" t="s">
        <v>11</v>
      </c>
      <c r="I8" s="145" t="s">
        <v>732</v>
      </c>
      <c r="J8" s="144" t="s">
        <v>9</v>
      </c>
      <c r="K8" s="144" t="s">
        <v>135</v>
      </c>
      <c r="L8" s="1603"/>
      <c r="M8" s="1603"/>
      <c r="N8" s="1603"/>
      <c r="P8" s="1609"/>
      <c r="Q8" s="1609"/>
      <c r="R8" s="1609"/>
      <c r="T8" s="1614"/>
      <c r="U8" s="1614"/>
      <c r="V8" s="1614"/>
    </row>
    <row r="9" spans="2:22">
      <c r="B9" s="1610"/>
      <c r="C9" s="1608"/>
      <c r="D9" s="1608"/>
      <c r="E9" s="1608"/>
      <c r="F9" s="1608"/>
      <c r="G9" s="1608"/>
      <c r="H9" s="162">
        <v>0.09</v>
      </c>
      <c r="I9" s="145" t="s">
        <v>441</v>
      </c>
      <c r="J9" s="151" t="s">
        <v>441</v>
      </c>
      <c r="K9" s="151" t="s">
        <v>441</v>
      </c>
      <c r="L9" s="1604"/>
      <c r="M9" s="1604"/>
      <c r="N9" s="1604"/>
      <c r="P9" s="1609"/>
      <c r="Q9" s="1609"/>
      <c r="R9" s="1609"/>
      <c r="T9" s="1615"/>
      <c r="U9" s="1615"/>
      <c r="V9" s="1615"/>
    </row>
    <row r="10" spans="2:22">
      <c r="B10" s="93">
        <v>1</v>
      </c>
      <c r="C10" s="94" t="s">
        <v>733</v>
      </c>
      <c r="D10" s="95" t="s">
        <v>21</v>
      </c>
      <c r="E10" s="96">
        <v>793.24</v>
      </c>
      <c r="F10" s="97">
        <v>0</v>
      </c>
      <c r="G10" s="109">
        <f>E10+F10</f>
        <v>793.24</v>
      </c>
      <c r="H10" s="161">
        <f>1025*9%</f>
        <v>92.25</v>
      </c>
      <c r="I10" s="99">
        <f>+'COSTO GRATIFICACIONES'!L9</f>
        <v>72.052633333333333</v>
      </c>
      <c r="J10" s="163">
        <f>+'COSTO CTS '!J9</f>
        <v>0</v>
      </c>
      <c r="K10" s="159">
        <f>+'COSTO VACACIONES'!I9</f>
        <v>8.7902916666666666</v>
      </c>
      <c r="L10" s="168">
        <f t="shared" ref="L10:L17" si="0">+G10+I10+J10+K10+H10</f>
        <v>966.33292500000005</v>
      </c>
      <c r="M10" s="161">
        <f>+L10/30</f>
        <v>32.211097500000001</v>
      </c>
      <c r="N10" s="159">
        <f>+M10/4</f>
        <v>8.0527743750000003</v>
      </c>
      <c r="P10" s="173">
        <f>+G10*11.84%</f>
        <v>93.919616000000005</v>
      </c>
      <c r="Q10" s="173">
        <v>0</v>
      </c>
      <c r="R10" s="174">
        <f t="shared" ref="R10:R15" si="1">+G10-P10</f>
        <v>699.32038399999999</v>
      </c>
      <c r="T10" s="192">
        <v>349.66</v>
      </c>
      <c r="U10" s="192">
        <v>699.32</v>
      </c>
      <c r="V10" s="197">
        <v>3.839999999399879E-4</v>
      </c>
    </row>
    <row r="11" spans="2:22" ht="20.25" customHeight="1">
      <c r="B11" s="93">
        <f>B10+1</f>
        <v>2</v>
      </c>
      <c r="C11" s="106" t="s">
        <v>22</v>
      </c>
      <c r="D11" s="107" t="s">
        <v>23</v>
      </c>
      <c r="E11" s="108">
        <v>1966.47</v>
      </c>
      <c r="F11" s="146">
        <v>102.5</v>
      </c>
      <c r="G11" s="109">
        <f>E11+F11</f>
        <v>2068.9700000000003</v>
      </c>
      <c r="H11" s="161">
        <f t="shared" ref="H11:H17" si="2">+G11*9%</f>
        <v>186.2073</v>
      </c>
      <c r="I11" s="99">
        <f>+'COSTO GRATIFICACIONES'!L10</f>
        <v>187.9314416666667</v>
      </c>
      <c r="J11" s="159">
        <f>+'COSTO CTS '!J10</f>
        <v>117.52899027777779</v>
      </c>
      <c r="K11" s="159">
        <f>+'COSTO VACACIONES'!I10</f>
        <v>93.96572083333335</v>
      </c>
      <c r="L11" s="168">
        <f t="shared" si="0"/>
        <v>2654.6034527777779</v>
      </c>
      <c r="M11" s="161">
        <f>+L11/30</f>
        <v>88.486781759259259</v>
      </c>
      <c r="N11" s="159">
        <f>+M11/8</f>
        <v>11.060847719907407</v>
      </c>
      <c r="P11" s="173">
        <f>+G11*13%</f>
        <v>268.96610000000004</v>
      </c>
      <c r="Q11" s="158"/>
      <c r="R11" s="174">
        <f t="shared" si="1"/>
        <v>1800.0039000000002</v>
      </c>
      <c r="T11" s="192">
        <v>900</v>
      </c>
      <c r="U11" s="192">
        <v>1800</v>
      </c>
      <c r="V11" s="197">
        <v>3.90000000015789E-3</v>
      </c>
    </row>
    <row r="12" spans="2:22">
      <c r="B12" s="93">
        <f>B11+1</f>
        <v>3</v>
      </c>
      <c r="C12" s="111" t="s">
        <v>22</v>
      </c>
      <c r="D12" s="112" t="s">
        <v>25</v>
      </c>
      <c r="E12" s="108">
        <v>1588.02</v>
      </c>
      <c r="F12" s="97"/>
      <c r="G12" s="109">
        <f t="shared" ref="G12:G17" si="3">E12+F12</f>
        <v>1588.02</v>
      </c>
      <c r="H12" s="161">
        <f t="shared" si="2"/>
        <v>142.92179999999999</v>
      </c>
      <c r="I12" s="99">
        <f>+'COSTO GRATIFICACIONES'!L11</f>
        <v>144.24515</v>
      </c>
      <c r="J12" s="159">
        <f>+'COSTO CTS '!J11</f>
        <v>90.208358333333322</v>
      </c>
      <c r="K12" s="159">
        <f>+'COSTO VACACIONES'!I11</f>
        <v>72.122574999999998</v>
      </c>
      <c r="L12" s="168">
        <f t="shared" si="0"/>
        <v>2037.5178833333334</v>
      </c>
      <c r="M12" s="161">
        <f t="shared" ref="M12:M17" si="4">+L12/30</f>
        <v>67.917262777777779</v>
      </c>
      <c r="N12" s="159">
        <f t="shared" ref="N12:N17" si="5">+M12/8</f>
        <v>8.4896578472222224</v>
      </c>
      <c r="P12" s="173">
        <f>+G12*11.84%</f>
        <v>188.021568</v>
      </c>
      <c r="Q12" s="158"/>
      <c r="R12" s="174">
        <f t="shared" si="1"/>
        <v>1399.9984319999999</v>
      </c>
      <c r="T12" s="192">
        <v>700.75</v>
      </c>
      <c r="U12" s="192">
        <v>1401.5</v>
      </c>
      <c r="V12" s="197">
        <v>-1.5015680000001339</v>
      </c>
    </row>
    <row r="13" spans="2:22" s="185" customFormat="1" ht="21" customHeight="1">
      <c r="B13" s="176">
        <v>4</v>
      </c>
      <c r="C13" s="177" t="s">
        <v>30</v>
      </c>
      <c r="D13" s="178" t="s">
        <v>31</v>
      </c>
      <c r="E13" s="175">
        <v>830.15</v>
      </c>
      <c r="F13" s="179"/>
      <c r="G13" s="180">
        <f>E13+F13</f>
        <v>830.15</v>
      </c>
      <c r="H13" s="181">
        <f t="shared" si="2"/>
        <v>74.713499999999996</v>
      </c>
      <c r="I13" s="182">
        <f>+'COSTO GRATIFICACIONES'!L12</f>
        <v>75.405291666666656</v>
      </c>
      <c r="J13" s="183">
        <f>+'COSTO CTS '!J12</f>
        <v>47.157131944444444</v>
      </c>
      <c r="K13" s="183">
        <f>+'COSTO VACACIONES'!I12</f>
        <v>37.702645833333328</v>
      </c>
      <c r="L13" s="184">
        <f>+G13+I13+J13+K13+H13</f>
        <v>1065.1285694444446</v>
      </c>
      <c r="M13" s="181">
        <f t="shared" si="4"/>
        <v>35.504285648148155</v>
      </c>
      <c r="N13" s="183">
        <f t="shared" si="5"/>
        <v>4.4380357060185194</v>
      </c>
      <c r="P13" s="186">
        <f>+G13*13.39%</f>
        <v>111.15708500000001</v>
      </c>
      <c r="Q13" s="187"/>
      <c r="R13" s="188">
        <f t="shared" si="1"/>
        <v>718.99291499999993</v>
      </c>
      <c r="T13" s="193">
        <v>359.49</v>
      </c>
      <c r="U13" s="192">
        <v>718.98</v>
      </c>
      <c r="V13" s="197">
        <v>1.2915000000020882E-2</v>
      </c>
    </row>
    <row r="14" spans="2:22">
      <c r="B14" s="93">
        <v>5</v>
      </c>
      <c r="C14" s="106" t="s">
        <v>717</v>
      </c>
      <c r="D14" s="112" t="s">
        <v>27</v>
      </c>
      <c r="E14" s="96">
        <v>1474.5900000000001</v>
      </c>
      <c r="F14" s="96">
        <v>0</v>
      </c>
      <c r="G14" s="109">
        <f t="shared" si="3"/>
        <v>1474.5900000000001</v>
      </c>
      <c r="H14" s="161">
        <f t="shared" si="2"/>
        <v>132.7131</v>
      </c>
      <c r="I14" s="99">
        <f>+'COSTO GRATIFICACIONES'!L13</f>
        <v>133.941925</v>
      </c>
      <c r="J14" s="159">
        <f>+'COSTO CTS '!J13</f>
        <v>83.764904166666668</v>
      </c>
      <c r="K14" s="159">
        <f>+'COSTO VACACIONES'!I13</f>
        <v>66.970962499999999</v>
      </c>
      <c r="L14" s="168">
        <f t="shared" si="0"/>
        <v>1891.9808916666668</v>
      </c>
      <c r="M14" s="161">
        <f t="shared" si="4"/>
        <v>63.066029722222225</v>
      </c>
      <c r="N14" s="159">
        <f t="shared" si="5"/>
        <v>7.8832537152777782</v>
      </c>
      <c r="P14" s="191">
        <f>+G14*11.84%</f>
        <v>174.59145600000002</v>
      </c>
      <c r="Q14" s="158"/>
      <c r="R14" s="174">
        <f t="shared" si="1"/>
        <v>1299.998544</v>
      </c>
      <c r="T14" s="192">
        <v>650</v>
      </c>
      <c r="U14" s="192">
        <v>1300</v>
      </c>
      <c r="V14" s="197">
        <v>-1.4559999999619322E-3</v>
      </c>
    </row>
    <row r="15" spans="2:22">
      <c r="B15" s="93">
        <v>6</v>
      </c>
      <c r="C15" s="106" t="s">
        <v>28</v>
      </c>
      <c r="D15" s="106" t="s">
        <v>29</v>
      </c>
      <c r="E15" s="96">
        <v>1025</v>
      </c>
      <c r="F15" s="96"/>
      <c r="G15" s="109">
        <f t="shared" si="3"/>
        <v>1025</v>
      </c>
      <c r="H15" s="161">
        <f t="shared" si="2"/>
        <v>92.25</v>
      </c>
      <c r="I15" s="99">
        <f>+'COSTO GRATIFICACIONES'!L14</f>
        <v>93.104166666666671</v>
      </c>
      <c r="J15" s="159">
        <f>+'COSTO CTS '!J14</f>
        <v>58.22569444444445</v>
      </c>
      <c r="K15" s="159">
        <f>+'COSTO VACACIONES'!I14</f>
        <v>46.552083333333336</v>
      </c>
      <c r="L15" s="168">
        <f t="shared" si="0"/>
        <v>1315.1319444444443</v>
      </c>
      <c r="M15" s="161">
        <f t="shared" si="4"/>
        <v>43.837731481481477</v>
      </c>
      <c r="N15" s="159">
        <f t="shared" si="5"/>
        <v>5.4797164351851846</v>
      </c>
      <c r="P15" s="191">
        <f>+G15*11.84%</f>
        <v>121.36</v>
      </c>
      <c r="Q15" s="158"/>
      <c r="R15" s="174">
        <f t="shared" si="1"/>
        <v>903.64</v>
      </c>
      <c r="T15" s="192">
        <v>451.82</v>
      </c>
      <c r="U15" s="192">
        <v>903.64</v>
      </c>
      <c r="V15" s="197">
        <v>0</v>
      </c>
    </row>
    <row r="16" spans="2:22" ht="18.75" customHeight="1">
      <c r="B16" s="93">
        <v>7</v>
      </c>
      <c r="C16" s="106" t="s">
        <v>32</v>
      </c>
      <c r="D16" s="134" t="s">
        <v>33</v>
      </c>
      <c r="E16" s="108">
        <v>3000</v>
      </c>
      <c r="F16" s="146">
        <v>102.5</v>
      </c>
      <c r="G16" s="109">
        <f t="shared" si="3"/>
        <v>3102.5</v>
      </c>
      <c r="H16" s="161">
        <f t="shared" si="2"/>
        <v>279.22499999999997</v>
      </c>
      <c r="I16" s="99">
        <f>+'COSTO GRATIFICACIONES'!L15</f>
        <v>281.81041666666664</v>
      </c>
      <c r="J16" s="159">
        <f>+'COSTO CTS '!J15</f>
        <v>176.23923611111113</v>
      </c>
      <c r="K16" s="159">
        <f>+'COSTO VACACIONES'!I15</f>
        <v>140.90520833333332</v>
      </c>
      <c r="L16" s="168">
        <f t="shared" si="0"/>
        <v>3980.6798611111108</v>
      </c>
      <c r="M16" s="161">
        <f t="shared" si="4"/>
        <v>132.68932870370369</v>
      </c>
      <c r="N16" s="159">
        <f t="shared" si="5"/>
        <v>16.586166087962962</v>
      </c>
      <c r="P16" s="191">
        <f>+G16*13.44%</f>
        <v>416.976</v>
      </c>
      <c r="Q16" s="173">
        <v>40</v>
      </c>
      <c r="R16" s="174">
        <f>+G16-P16-Q16</f>
        <v>2645.5239999999999</v>
      </c>
      <c r="T16" s="194"/>
      <c r="U16" s="194"/>
      <c r="V16" s="195"/>
    </row>
    <row r="17" spans="2:22" ht="18.75" customHeight="1" thickBot="1">
      <c r="B17" s="93">
        <v>8</v>
      </c>
      <c r="C17" s="106" t="s">
        <v>20</v>
      </c>
      <c r="D17" s="134" t="s">
        <v>34</v>
      </c>
      <c r="E17" s="96">
        <v>1270.8</v>
      </c>
      <c r="F17" s="97"/>
      <c r="G17" s="109">
        <f t="shared" si="3"/>
        <v>1270.8</v>
      </c>
      <c r="H17" s="161">
        <f t="shared" si="2"/>
        <v>114.37199999999999</v>
      </c>
      <c r="I17" s="99">
        <f>+'COSTO GRATIFICACIONES'!L16</f>
        <v>115.431</v>
      </c>
      <c r="J17" s="159">
        <f>+'COSTO CTS '!J16</f>
        <v>72.188499999999991</v>
      </c>
      <c r="K17" s="159">
        <f>+'COSTO VACACIONES'!I16</f>
        <v>57.715499999999999</v>
      </c>
      <c r="L17" s="168">
        <f t="shared" si="0"/>
        <v>1630.5070000000001</v>
      </c>
      <c r="M17" s="161">
        <f t="shared" si="4"/>
        <v>54.350233333333335</v>
      </c>
      <c r="N17" s="159">
        <f t="shared" si="5"/>
        <v>6.7937791666666669</v>
      </c>
      <c r="P17" s="191">
        <f>+G17*13.44%</f>
        <v>170.79551999999998</v>
      </c>
      <c r="Q17" s="171"/>
      <c r="R17" s="174">
        <f>+G17-P17</f>
        <v>1100.0044800000001</v>
      </c>
      <c r="T17" s="194"/>
      <c r="U17" s="194"/>
      <c r="V17" s="196"/>
    </row>
    <row r="18" spans="2:22" ht="15.75" thickBot="1">
      <c r="B18" s="125"/>
      <c r="C18" s="140"/>
      <c r="D18" s="141" t="s">
        <v>35</v>
      </c>
      <c r="E18" s="142">
        <f t="shared" ref="E18:N18" si="6">SUM(E10:E17)</f>
        <v>11948.269999999999</v>
      </c>
      <c r="F18" s="143">
        <f t="shared" si="6"/>
        <v>205</v>
      </c>
      <c r="G18" s="143">
        <f t="shared" si="6"/>
        <v>12153.269999999999</v>
      </c>
      <c r="H18" s="154">
        <f t="shared" si="6"/>
        <v>1114.6527000000001</v>
      </c>
      <c r="I18" s="143">
        <f t="shared" si="6"/>
        <v>1103.9220250000001</v>
      </c>
      <c r="J18" s="143">
        <f t="shared" si="6"/>
        <v>645.31281527777776</v>
      </c>
      <c r="K18" s="143">
        <f t="shared" si="6"/>
        <v>524.7249875</v>
      </c>
      <c r="L18" s="154">
        <f t="shared" si="6"/>
        <v>15541.882527777778</v>
      </c>
      <c r="M18" s="154">
        <f t="shared" si="6"/>
        <v>518.06275092592591</v>
      </c>
      <c r="N18" s="143">
        <f t="shared" si="6"/>
        <v>68.784231053240745</v>
      </c>
      <c r="P18" s="143">
        <f>SUM(P10:P17)</f>
        <v>1545.787345</v>
      </c>
      <c r="Q18" s="172"/>
      <c r="R18" s="143">
        <f>SUM(R10:R17)</f>
        <v>10567.482655</v>
      </c>
      <c r="T18" s="194"/>
      <c r="U18" s="194"/>
      <c r="V18" s="196"/>
    </row>
    <row r="19" spans="2:22">
      <c r="B19" s="125"/>
      <c r="C19" s="198"/>
      <c r="D19" s="199"/>
      <c r="E19" s="200"/>
      <c r="F19" s="201"/>
      <c r="G19" s="201"/>
      <c r="H19" s="201"/>
      <c r="I19" s="201"/>
      <c r="J19" s="201"/>
      <c r="K19" s="201"/>
      <c r="L19" s="201"/>
      <c r="M19" s="201"/>
      <c r="N19" s="201"/>
      <c r="P19" s="201"/>
      <c r="R19" s="201"/>
      <c r="T19" s="164"/>
      <c r="U19" s="164"/>
      <c r="V19" s="165"/>
    </row>
    <row r="20" spans="2:22">
      <c r="B20" s="125"/>
      <c r="C20" s="198"/>
      <c r="D20" s="199"/>
      <c r="E20" s="200"/>
      <c r="F20" s="201"/>
      <c r="G20" s="201"/>
      <c r="H20" s="201"/>
      <c r="I20" s="201"/>
      <c r="J20" s="201"/>
      <c r="K20" s="201"/>
      <c r="L20" s="201"/>
      <c r="M20" s="201"/>
      <c r="N20" s="201"/>
      <c r="P20" s="201"/>
      <c r="R20" s="201"/>
      <c r="T20" s="164"/>
      <c r="U20" s="164"/>
      <c r="V20" s="165"/>
    </row>
    <row r="21" spans="2:22" ht="15.75">
      <c r="B21" s="84"/>
      <c r="C21" s="65"/>
      <c r="D21" s="65"/>
      <c r="E21" s="85"/>
      <c r="F21" s="65"/>
      <c r="G21" s="65"/>
      <c r="H21" s="65"/>
      <c r="I21" s="82"/>
      <c r="L21" t="s">
        <v>734</v>
      </c>
    </row>
    <row r="22" spans="2:22" ht="15.75">
      <c r="B22" s="138" t="s">
        <v>735</v>
      </c>
      <c r="C22" s="65"/>
      <c r="D22" s="65"/>
      <c r="E22" s="85"/>
      <c r="F22" s="65"/>
      <c r="G22" s="65"/>
      <c r="H22" s="65"/>
      <c r="I22" s="82"/>
      <c r="T22" s="166"/>
      <c r="U22" s="166"/>
      <c r="V22" s="166"/>
    </row>
    <row r="23" spans="2:22" ht="15" customHeight="1">
      <c r="B23" s="1610" t="s">
        <v>2</v>
      </c>
      <c r="C23" s="1608" t="s">
        <v>3</v>
      </c>
      <c r="D23" s="1608" t="s">
        <v>4</v>
      </c>
      <c r="E23" s="1608" t="s">
        <v>5</v>
      </c>
      <c r="F23" s="1608" t="s">
        <v>6</v>
      </c>
      <c r="G23" s="1608" t="s">
        <v>7</v>
      </c>
      <c r="H23" s="144" t="s">
        <v>727</v>
      </c>
      <c r="I23" s="145" t="s">
        <v>728</v>
      </c>
      <c r="J23" s="144" t="s">
        <v>728</v>
      </c>
      <c r="K23" s="144" t="s">
        <v>728</v>
      </c>
      <c r="L23" s="1602" t="s">
        <v>12</v>
      </c>
      <c r="M23" s="1602" t="s">
        <v>13</v>
      </c>
      <c r="N23" s="1602" t="s">
        <v>14</v>
      </c>
      <c r="P23" s="1609" t="s">
        <v>16</v>
      </c>
      <c r="Q23" s="1609" t="s">
        <v>17</v>
      </c>
      <c r="R23" s="1609" t="s">
        <v>18</v>
      </c>
      <c r="T23" s="1613" t="s">
        <v>729</v>
      </c>
      <c r="U23" s="1613" t="s">
        <v>730</v>
      </c>
      <c r="V23" s="1613" t="s">
        <v>731</v>
      </c>
    </row>
    <row r="24" spans="2:22">
      <c r="B24" s="1610"/>
      <c r="C24" s="1608"/>
      <c r="D24" s="1608"/>
      <c r="E24" s="1608"/>
      <c r="F24" s="1608"/>
      <c r="G24" s="1608"/>
      <c r="H24" s="144" t="s">
        <v>11</v>
      </c>
      <c r="I24" s="145" t="s">
        <v>732</v>
      </c>
      <c r="J24" s="144" t="s">
        <v>9</v>
      </c>
      <c r="K24" s="144" t="s">
        <v>135</v>
      </c>
      <c r="L24" s="1603"/>
      <c r="M24" s="1603"/>
      <c r="N24" s="1603"/>
      <c r="P24" s="1609"/>
      <c r="Q24" s="1609"/>
      <c r="R24" s="1609"/>
      <c r="T24" s="1614"/>
      <c r="U24" s="1614"/>
      <c r="V24" s="1614"/>
    </row>
    <row r="25" spans="2:22">
      <c r="B25" s="1610"/>
      <c r="C25" s="1608"/>
      <c r="D25" s="1608"/>
      <c r="E25" s="1608"/>
      <c r="F25" s="1608"/>
      <c r="G25" s="1608"/>
      <c r="H25" s="162">
        <v>0.09</v>
      </c>
      <c r="I25" s="145" t="s">
        <v>441</v>
      </c>
      <c r="J25" s="151" t="s">
        <v>441</v>
      </c>
      <c r="K25" s="151" t="s">
        <v>441</v>
      </c>
      <c r="L25" s="1604"/>
      <c r="M25" s="1604"/>
      <c r="N25" s="1604"/>
      <c r="P25" s="1609"/>
      <c r="Q25" s="1609"/>
      <c r="R25" s="1609"/>
      <c r="T25" s="1615"/>
      <c r="U25" s="1615"/>
      <c r="V25" s="1615"/>
    </row>
    <row r="26" spans="2:22">
      <c r="B26" s="93">
        <v>1</v>
      </c>
      <c r="C26" s="94" t="s">
        <v>736</v>
      </c>
      <c r="D26" s="95" t="s">
        <v>737</v>
      </c>
      <c r="E26" s="96">
        <v>4208.6000000000004</v>
      </c>
      <c r="F26" s="97">
        <v>0</v>
      </c>
      <c r="G26" s="98">
        <f>E26+F26</f>
        <v>4208.6000000000004</v>
      </c>
      <c r="H26" s="161">
        <f t="shared" ref="H26:H35" si="7">+G26*9%</f>
        <v>378.774</v>
      </c>
      <c r="I26" s="99">
        <f>+'COSTO GRATIFICACIONES'!L23</f>
        <v>764.56233333333341</v>
      </c>
      <c r="J26" s="159">
        <f>+'COSTO CTS '!J23</f>
        <v>302.78538888888892</v>
      </c>
      <c r="K26" s="159">
        <f>+'COSTO VACACIONES'!I23</f>
        <v>382.28116666666671</v>
      </c>
      <c r="L26" s="169">
        <f t="shared" ref="L26:L35" si="8">+G26+I26+J26+K26+H26</f>
        <v>6037.0028888888892</v>
      </c>
      <c r="M26" s="161">
        <f>+L26/30</f>
        <v>201.23342962962963</v>
      </c>
      <c r="N26" s="159">
        <f>+M26/8</f>
        <v>25.154178703703703</v>
      </c>
      <c r="P26" s="173">
        <f>+G26*11.84%</f>
        <v>498.29824000000008</v>
      </c>
      <c r="Q26" s="173">
        <v>177</v>
      </c>
      <c r="R26" s="174">
        <f t="shared" ref="R26:R31" si="9">+G26-P26-Q26</f>
        <v>3533.3017600000003</v>
      </c>
      <c r="T26" s="158">
        <v>1766.65</v>
      </c>
      <c r="U26" s="158">
        <v>3533.3</v>
      </c>
      <c r="V26" s="173">
        <v>1.7600000001039007E-3</v>
      </c>
    </row>
    <row r="27" spans="2:22" ht="19.5" customHeight="1">
      <c r="B27" s="93">
        <f>B26+1</f>
        <v>2</v>
      </c>
      <c r="C27" s="94" t="s">
        <v>38</v>
      </c>
      <c r="D27" s="107" t="s">
        <v>39</v>
      </c>
      <c r="E27" s="108">
        <v>2081.4100000000003</v>
      </c>
      <c r="F27" s="146">
        <v>102.5</v>
      </c>
      <c r="G27" s="109">
        <f t="shared" ref="G27:G35" si="10">E27+F27</f>
        <v>2183.9100000000003</v>
      </c>
      <c r="H27" s="161">
        <f t="shared" si="7"/>
        <v>196.55190000000002</v>
      </c>
      <c r="I27" s="99">
        <f>+'COSTO GRATIFICACIONES'!L24</f>
        <v>198.37182500000003</v>
      </c>
      <c r="J27" s="159">
        <f>+'COSTO CTS '!J24</f>
        <v>124.05822083333335</v>
      </c>
      <c r="K27" s="159">
        <f>+'COSTO VACACIONES'!I24</f>
        <v>99.185912500000015</v>
      </c>
      <c r="L27" s="169">
        <f t="shared" si="8"/>
        <v>2802.077858333334</v>
      </c>
      <c r="M27" s="161">
        <f t="shared" ref="M27:M35" si="11">+L27/30</f>
        <v>93.402595277777806</v>
      </c>
      <c r="N27" s="159">
        <f t="shared" ref="N27:N35" si="12">+M27/8</f>
        <v>11.675324409722226</v>
      </c>
      <c r="P27" s="173">
        <f>+G27*13%</f>
        <v>283.90830000000005</v>
      </c>
      <c r="Q27" s="158"/>
      <c r="R27" s="174">
        <f t="shared" si="9"/>
        <v>1900.0017000000003</v>
      </c>
      <c r="T27" s="158">
        <v>800</v>
      </c>
      <c r="U27" s="158">
        <v>1600</v>
      </c>
      <c r="V27" s="173">
        <v>300.00170000000026</v>
      </c>
    </row>
    <row r="28" spans="2:22">
      <c r="B28" s="93">
        <f>B27+1</f>
        <v>3</v>
      </c>
      <c r="C28" s="94" t="s">
        <v>40</v>
      </c>
      <c r="D28" s="112" t="s">
        <v>41</v>
      </c>
      <c r="E28" s="108">
        <v>1588.02</v>
      </c>
      <c r="F28" s="97"/>
      <c r="G28" s="109">
        <f t="shared" si="10"/>
        <v>1588.02</v>
      </c>
      <c r="H28" s="161">
        <f t="shared" si="7"/>
        <v>142.92179999999999</v>
      </c>
      <c r="I28" s="99">
        <f>+'COSTO GRATIFICACIONES'!L25</f>
        <v>144.24515</v>
      </c>
      <c r="J28" s="159">
        <f>+'COSTO CTS '!J25</f>
        <v>90.208358333333322</v>
      </c>
      <c r="K28" s="159">
        <f>+'COSTO VACACIONES'!I25</f>
        <v>72.122574999999998</v>
      </c>
      <c r="L28" s="169">
        <f t="shared" si="8"/>
        <v>2037.5178833333334</v>
      </c>
      <c r="M28" s="161">
        <f t="shared" si="11"/>
        <v>67.917262777777779</v>
      </c>
      <c r="N28" s="159">
        <f t="shared" si="12"/>
        <v>8.4896578472222224</v>
      </c>
      <c r="P28" s="173">
        <f t="shared" ref="P28:P36" si="13">+G28*11.84%</f>
        <v>188.021568</v>
      </c>
      <c r="Q28" s="158"/>
      <c r="R28" s="174">
        <f t="shared" si="9"/>
        <v>1399.9984319999999</v>
      </c>
      <c r="T28" s="158">
        <v>700.55</v>
      </c>
      <c r="U28" s="158">
        <v>1401.1</v>
      </c>
      <c r="V28" s="173">
        <v>-1.101568000000043</v>
      </c>
    </row>
    <row r="29" spans="2:22">
      <c r="B29" s="93">
        <v>4</v>
      </c>
      <c r="C29" s="94" t="s">
        <v>738</v>
      </c>
      <c r="D29" s="112" t="s">
        <v>43</v>
      </c>
      <c r="E29" s="96">
        <v>1474.6000000000001</v>
      </c>
      <c r="F29" s="96"/>
      <c r="G29" s="109">
        <f>E29+F29</f>
        <v>1474.6000000000001</v>
      </c>
      <c r="H29" s="161">
        <f t="shared" si="7"/>
        <v>132.714</v>
      </c>
      <c r="I29" s="99">
        <f>+'COSTO GRATIFICACIONES'!L26</f>
        <v>133.94283333333334</v>
      </c>
      <c r="J29" s="159">
        <f>+'COSTO CTS '!J26</f>
        <v>83.765472222222229</v>
      </c>
      <c r="K29" s="159">
        <f>+'COSTO VACACIONES'!I26</f>
        <v>66.97141666666667</v>
      </c>
      <c r="L29" s="169">
        <f t="shared" si="8"/>
        <v>1891.9937222222225</v>
      </c>
      <c r="M29" s="161">
        <f t="shared" si="11"/>
        <v>63.066457407407412</v>
      </c>
      <c r="N29" s="159">
        <f t="shared" si="12"/>
        <v>7.8833071759259266</v>
      </c>
      <c r="P29" s="173">
        <f t="shared" si="13"/>
        <v>174.59264000000002</v>
      </c>
      <c r="Q29" s="158"/>
      <c r="R29" s="174">
        <f t="shared" si="9"/>
        <v>1300.0073600000001</v>
      </c>
      <c r="T29" s="158">
        <v>650.89</v>
      </c>
      <c r="U29" s="158">
        <v>1301.78</v>
      </c>
      <c r="V29" s="173">
        <v>-1.7726399999999103</v>
      </c>
    </row>
    <row r="30" spans="2:22">
      <c r="B30" s="93">
        <v>5</v>
      </c>
      <c r="C30" s="94" t="s">
        <v>44</v>
      </c>
      <c r="D30" s="112" t="s">
        <v>45</v>
      </c>
      <c r="E30" s="96">
        <v>1474.6000000000001</v>
      </c>
      <c r="F30" s="96">
        <v>0</v>
      </c>
      <c r="G30" s="109">
        <f t="shared" si="10"/>
        <v>1474.6000000000001</v>
      </c>
      <c r="H30" s="161">
        <f t="shared" si="7"/>
        <v>132.714</v>
      </c>
      <c r="I30" s="99">
        <f>+'COSTO GRATIFICACIONES'!L27</f>
        <v>133.94283333333334</v>
      </c>
      <c r="J30" s="159">
        <f>+'COSTO CTS '!J27</f>
        <v>83.765472222222229</v>
      </c>
      <c r="K30" s="159">
        <f>+'COSTO VACACIONES'!I27</f>
        <v>66.97141666666667</v>
      </c>
      <c r="L30" s="169">
        <f t="shared" si="8"/>
        <v>1891.9937222222225</v>
      </c>
      <c r="M30" s="161">
        <f t="shared" si="11"/>
        <v>63.066457407407412</v>
      </c>
      <c r="N30" s="159">
        <f t="shared" si="12"/>
        <v>7.8833071759259266</v>
      </c>
      <c r="P30" s="173">
        <f t="shared" si="13"/>
        <v>174.59264000000002</v>
      </c>
      <c r="Q30" s="158"/>
      <c r="R30" s="174">
        <f t="shared" si="9"/>
        <v>1300.0073600000001</v>
      </c>
      <c r="T30" s="158">
        <v>649.36</v>
      </c>
      <c r="U30" s="158">
        <v>1298.72</v>
      </c>
      <c r="V30" s="173">
        <v>1.2873600000000351</v>
      </c>
    </row>
    <row r="31" spans="2:22" ht="18.75" customHeight="1">
      <c r="B31" s="93">
        <v>6</v>
      </c>
      <c r="C31" s="94" t="s">
        <v>24</v>
      </c>
      <c r="D31" s="107" t="s">
        <v>46</v>
      </c>
      <c r="E31" s="108">
        <v>1701.45</v>
      </c>
      <c r="F31" s="97"/>
      <c r="G31" s="109">
        <f t="shared" si="10"/>
        <v>1701.45</v>
      </c>
      <c r="H31" s="161">
        <f t="shared" si="7"/>
        <v>153.13050000000001</v>
      </c>
      <c r="I31" s="99">
        <f>+'COSTO GRATIFICACIONES'!L28</f>
        <v>154.54837499999999</v>
      </c>
      <c r="J31" s="159">
        <f>+'COSTO CTS '!J28</f>
        <v>96.651812500000005</v>
      </c>
      <c r="K31" s="159">
        <f>+'COSTO VACACIONES'!I28</f>
        <v>77.274187499999996</v>
      </c>
      <c r="L31" s="169">
        <f t="shared" si="8"/>
        <v>2183.0548750000003</v>
      </c>
      <c r="M31" s="161">
        <f t="shared" si="11"/>
        <v>72.768495833333347</v>
      </c>
      <c r="N31" s="159">
        <f t="shared" si="12"/>
        <v>9.0960619791666684</v>
      </c>
      <c r="P31" s="173">
        <f t="shared" si="13"/>
        <v>201.45168000000001</v>
      </c>
      <c r="Q31" s="158"/>
      <c r="R31" s="174">
        <f t="shared" si="9"/>
        <v>1499.9983200000001</v>
      </c>
      <c r="T31" s="158">
        <v>749.2</v>
      </c>
      <c r="U31" s="158">
        <v>1498.4</v>
      </c>
      <c r="V31" s="173">
        <v>1.5983200000000579</v>
      </c>
    </row>
    <row r="32" spans="2:22" s="185" customFormat="1" ht="18" customHeight="1">
      <c r="B32" s="176">
        <v>7</v>
      </c>
      <c r="C32" s="189" t="s">
        <v>30</v>
      </c>
      <c r="D32" s="178" t="s">
        <v>31</v>
      </c>
      <c r="E32" s="175">
        <v>830.15</v>
      </c>
      <c r="F32" s="179"/>
      <c r="G32" s="180">
        <f t="shared" si="10"/>
        <v>830.15</v>
      </c>
      <c r="H32" s="181">
        <f>+G32*9%</f>
        <v>74.713499999999996</v>
      </c>
      <c r="I32" s="182">
        <f>+'COSTO GRATIFICACIONES'!L29</f>
        <v>75.405291666666656</v>
      </c>
      <c r="J32" s="183">
        <f>+'COSTO CTS '!J29</f>
        <v>47.157131944444444</v>
      </c>
      <c r="K32" s="183">
        <f>+'COSTO VACACIONES'!I29</f>
        <v>37.702645833333328</v>
      </c>
      <c r="L32" s="190">
        <f t="shared" si="8"/>
        <v>1065.1285694444446</v>
      </c>
      <c r="M32" s="181">
        <f t="shared" si="11"/>
        <v>35.504285648148155</v>
      </c>
      <c r="N32" s="183">
        <f t="shared" si="12"/>
        <v>4.4380357060185194</v>
      </c>
      <c r="P32" s="173">
        <f>+G32*13.39%</f>
        <v>111.15708500000001</v>
      </c>
      <c r="Q32" s="187"/>
      <c r="R32" s="188">
        <f>+G32-P32</f>
        <v>718.99291499999993</v>
      </c>
      <c r="T32" s="187">
        <v>359.49</v>
      </c>
      <c r="U32" s="187">
        <v>718.98</v>
      </c>
      <c r="V32" s="186">
        <v>1.2915000000020882E-2</v>
      </c>
    </row>
    <row r="33" spans="2:22">
      <c r="B33" s="93">
        <v>8</v>
      </c>
      <c r="C33" s="94" t="s">
        <v>24</v>
      </c>
      <c r="D33" s="112" t="s">
        <v>47</v>
      </c>
      <c r="E33" s="108">
        <v>2155.17</v>
      </c>
      <c r="F33" s="97"/>
      <c r="G33" s="109">
        <f t="shared" si="10"/>
        <v>2155.17</v>
      </c>
      <c r="H33" s="161">
        <f t="shared" si="7"/>
        <v>193.96530000000001</v>
      </c>
      <c r="I33" s="99">
        <f>+'COSTO GRATIFICACIONES'!L30</f>
        <v>195.76127499999998</v>
      </c>
      <c r="J33" s="159">
        <f>+'COSTO CTS '!J30</f>
        <v>122.42562916666667</v>
      </c>
      <c r="K33" s="159">
        <f>+'COSTO VACACIONES'!I30</f>
        <v>97.880637499999992</v>
      </c>
      <c r="L33" s="169">
        <f t="shared" si="8"/>
        <v>2765.2028416666662</v>
      </c>
      <c r="M33" s="161">
        <f t="shared" si="11"/>
        <v>92.173428055555547</v>
      </c>
      <c r="N33" s="159">
        <f t="shared" si="12"/>
        <v>11.521678506944443</v>
      </c>
      <c r="P33" s="173">
        <f t="shared" si="13"/>
        <v>255.17212800000001</v>
      </c>
      <c r="Q33" s="158"/>
      <c r="R33" s="174">
        <f>+G33-P33</f>
        <v>1899.9978720000001</v>
      </c>
      <c r="T33" s="158">
        <v>950.69</v>
      </c>
      <c r="U33" s="158">
        <v>1901.38</v>
      </c>
      <c r="V33" s="173">
        <v>-1.3821280000001934</v>
      </c>
    </row>
    <row r="34" spans="2:22">
      <c r="B34" s="93">
        <v>9</v>
      </c>
      <c r="C34" s="94" t="s">
        <v>28</v>
      </c>
      <c r="D34" s="106" t="s">
        <v>48</v>
      </c>
      <c r="E34" s="96">
        <v>1336.28</v>
      </c>
      <c r="F34" s="97"/>
      <c r="G34" s="109">
        <f t="shared" si="10"/>
        <v>1336.28</v>
      </c>
      <c r="H34" s="161">
        <f t="shared" si="7"/>
        <v>120.26519999999999</v>
      </c>
      <c r="I34" s="99">
        <f>+'COSTO GRATIFICACIONES'!L31</f>
        <v>121.37876666666666</v>
      </c>
      <c r="J34" s="159">
        <f>+'COSTO CTS '!J31</f>
        <v>75.908127777777779</v>
      </c>
      <c r="K34" s="159">
        <f>+'COSTO VACACIONES'!I31</f>
        <v>60.689383333333332</v>
      </c>
      <c r="L34" s="169">
        <f t="shared" si="8"/>
        <v>1714.5214777777778</v>
      </c>
      <c r="M34" s="161">
        <f t="shared" si="11"/>
        <v>57.15071592592593</v>
      </c>
      <c r="N34" s="159">
        <f t="shared" si="12"/>
        <v>7.1438394907407412</v>
      </c>
      <c r="P34" s="173">
        <f t="shared" si="13"/>
        <v>158.215552</v>
      </c>
      <c r="Q34" s="158"/>
      <c r="R34" s="174">
        <f>+G34-P34</f>
        <v>1178.0644480000001</v>
      </c>
      <c r="T34" s="158">
        <v>589.03</v>
      </c>
      <c r="U34" s="158">
        <v>1178.06</v>
      </c>
      <c r="V34" s="173">
        <v>4.4480000001385633E-3</v>
      </c>
    </row>
    <row r="35" spans="2:22" ht="15.75" thickBot="1">
      <c r="B35" s="93">
        <v>10</v>
      </c>
      <c r="C35" s="94" t="s">
        <v>22</v>
      </c>
      <c r="D35" s="106" t="s">
        <v>49</v>
      </c>
      <c r="E35" s="96">
        <v>1814.88</v>
      </c>
      <c r="F35" s="97"/>
      <c r="G35" s="109">
        <f t="shared" si="10"/>
        <v>1814.88</v>
      </c>
      <c r="H35" s="161">
        <f t="shared" si="7"/>
        <v>163.33920000000001</v>
      </c>
      <c r="I35" s="99">
        <f>+'COSTO GRATIFICACIONES'!L32</f>
        <v>164.85159999999999</v>
      </c>
      <c r="J35" s="159">
        <f>+'COSTO CTS '!J32</f>
        <v>103.09526666666666</v>
      </c>
      <c r="K35" s="159">
        <f>+'COSTO VACACIONES'!I32</f>
        <v>82.425799999999995</v>
      </c>
      <c r="L35" s="169">
        <f t="shared" si="8"/>
        <v>2328.5918666666666</v>
      </c>
      <c r="M35" s="161">
        <f t="shared" si="11"/>
        <v>77.619728888888886</v>
      </c>
      <c r="N35" s="159">
        <f t="shared" si="12"/>
        <v>9.7024661111111108</v>
      </c>
      <c r="P35" s="173">
        <f t="shared" si="13"/>
        <v>214.88179200000002</v>
      </c>
      <c r="Q35" s="171"/>
      <c r="R35" s="174">
        <f>+G35-P35</f>
        <v>1599.998208</v>
      </c>
      <c r="T35" s="158">
        <v>800</v>
      </c>
      <c r="U35" s="158">
        <v>1600</v>
      </c>
      <c r="V35" s="173">
        <v>-1.7920000000231084E-3</v>
      </c>
    </row>
    <row r="36" spans="2:22" ht="15.75" thickBot="1">
      <c r="B36" s="125"/>
      <c r="C36" s="140"/>
      <c r="D36" s="141" t="s">
        <v>35</v>
      </c>
      <c r="E36" s="142">
        <f t="shared" ref="E36:N36" si="14">SUM(E26:E35)</f>
        <v>18665.160000000003</v>
      </c>
      <c r="F36" s="143">
        <f t="shared" si="14"/>
        <v>102.5</v>
      </c>
      <c r="G36" s="143">
        <f t="shared" si="14"/>
        <v>18767.660000000003</v>
      </c>
      <c r="H36" s="143">
        <f t="shared" si="14"/>
        <v>1689.0894000000003</v>
      </c>
      <c r="I36" s="143">
        <f t="shared" si="14"/>
        <v>2087.0102833333335</v>
      </c>
      <c r="J36" s="143">
        <f t="shared" si="14"/>
        <v>1129.8208805555557</v>
      </c>
      <c r="K36" s="143">
        <f t="shared" si="14"/>
        <v>1043.5051416666668</v>
      </c>
      <c r="L36" s="154">
        <f t="shared" si="14"/>
        <v>24717.085705555553</v>
      </c>
      <c r="M36" s="154">
        <f t="shared" si="14"/>
        <v>823.90285685185188</v>
      </c>
      <c r="N36" s="143">
        <f t="shared" si="14"/>
        <v>102.98785710648148</v>
      </c>
      <c r="P36" s="143">
        <f t="shared" si="13"/>
        <v>2222.0909440000005</v>
      </c>
      <c r="Q36" s="172"/>
      <c r="R36" s="143">
        <f>SUM(R26:R35)</f>
        <v>16330.368375000002</v>
      </c>
      <c r="T36" s="158"/>
      <c r="U36" s="158"/>
      <c r="V36" s="158"/>
    </row>
    <row r="38" spans="2:22" ht="15.75" thickBot="1"/>
    <row r="39" spans="2:22" ht="15.75" thickBot="1">
      <c r="C39" s="140"/>
      <c r="D39" s="141" t="s">
        <v>35</v>
      </c>
      <c r="E39" s="142">
        <f>+E18+E36</f>
        <v>30613.43</v>
      </c>
      <c r="K39" s="167" t="s">
        <v>739</v>
      </c>
      <c r="L39" s="170">
        <f>+L18+L36</f>
        <v>40258.968233333333</v>
      </c>
    </row>
  </sheetData>
  <mergeCells count="30">
    <mergeCell ref="T23:T25"/>
    <mergeCell ref="U23:U25"/>
    <mergeCell ref="V23:V25"/>
    <mergeCell ref="T7:T9"/>
    <mergeCell ref="U7:U9"/>
    <mergeCell ref="V7:V9"/>
    <mergeCell ref="P7:P9"/>
    <mergeCell ref="Q7:Q9"/>
    <mergeCell ref="R7:R9"/>
    <mergeCell ref="P23:P25"/>
    <mergeCell ref="Q23:Q25"/>
    <mergeCell ref="R23:R25"/>
    <mergeCell ref="G23:G25"/>
    <mergeCell ref="B7:B9"/>
    <mergeCell ref="C7:C9"/>
    <mergeCell ref="D7:D9"/>
    <mergeCell ref="E7:E9"/>
    <mergeCell ref="F7:F9"/>
    <mergeCell ref="G7:G9"/>
    <mergeCell ref="B23:B25"/>
    <mergeCell ref="C23:C25"/>
    <mergeCell ref="D23:D25"/>
    <mergeCell ref="E23:E25"/>
    <mergeCell ref="F23:F25"/>
    <mergeCell ref="L23:L25"/>
    <mergeCell ref="L7:L9"/>
    <mergeCell ref="M23:M25"/>
    <mergeCell ref="N23:N25"/>
    <mergeCell ref="M7:M9"/>
    <mergeCell ref="N7:N9"/>
  </mergeCells>
  <pageMargins left="0.23622047244094491" right="0.23622047244094491" top="0.74803149606299213" bottom="0.74803149606299213" header="0.31496062992125984" footer="0.31496062992125984"/>
  <pageSetup paperSize="9" scale="49" fitToHeight="0" orientation="landscape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92F7613C8E3E419A0FABD8B3AC8E9F" ma:contentTypeVersion="10" ma:contentTypeDescription="Crear nuevo documento." ma:contentTypeScope="" ma:versionID="841ed7785f51c0c83b5cc7e7ec9b475f">
  <xsd:schema xmlns:xsd="http://www.w3.org/2001/XMLSchema" xmlns:xs="http://www.w3.org/2001/XMLSchema" xmlns:p="http://schemas.microsoft.com/office/2006/metadata/properties" xmlns:ns2="cf448d8b-3525-405a-b43a-512d3a936453" xmlns:ns3="a31f4473-a85b-4f5d-8b69-05ba7a7b7038" targetNamespace="http://schemas.microsoft.com/office/2006/metadata/properties" ma:root="true" ma:fieldsID="f61547ff17d416f8c3d87a306dcd9ead" ns2:_="" ns3:_="">
    <xsd:import namespace="cf448d8b-3525-405a-b43a-512d3a936453"/>
    <xsd:import namespace="a31f4473-a85b-4f5d-8b69-05ba7a7b70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448d8b-3525-405a-b43a-512d3a9364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6617589-9cee-46ee-95e5-39278254e8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f4473-a85b-4f5d-8b69-05ba7a7b70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c8d8f9-67e3-42ce-aae1-e892c19afa6a}" ma:internalName="TaxCatchAll" ma:showField="CatchAllData" ma:web="a31f4473-a85b-4f5d-8b69-05ba7a7b7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448d8b-3525-405a-b43a-512d3a936453">
      <Terms xmlns="http://schemas.microsoft.com/office/infopath/2007/PartnerControls"/>
    </lcf76f155ced4ddcb4097134ff3c332f>
    <TaxCatchAll xmlns="a31f4473-a85b-4f5d-8b69-05ba7a7b703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FECE6A33-CA3C-47B9-AFC9-53816C19AD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448d8b-3525-405a-b43a-512d3a936453"/>
    <ds:schemaRef ds:uri="a31f4473-a85b-4f5d-8b69-05ba7a7b70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C504C8-5854-49CF-8734-8A70B261281B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a31f4473-a85b-4f5d-8b69-05ba7a7b7038"/>
    <ds:schemaRef ds:uri="cf448d8b-3525-405a-b43a-512d3a936453"/>
  </ds:schemaRefs>
</ds:datastoreItem>
</file>

<file path=customXml/itemProps3.xml><?xml version="1.0" encoding="utf-8"?>
<ds:datastoreItem xmlns:ds="http://schemas.openxmlformats.org/officeDocument/2006/customXml" ds:itemID="{FE40A47A-3352-4BFD-9307-C582DA92584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ADD333-A00F-4BE3-B404-24D82F6F07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4</vt:i4>
      </vt:variant>
    </vt:vector>
  </HeadingPairs>
  <TitlesOfParts>
    <vt:vector size="27" baseType="lpstr">
      <vt:lpstr>LA MAR P1</vt:lpstr>
      <vt:lpstr>Hoja1</vt:lpstr>
      <vt:lpstr>AFP SBS</vt:lpstr>
      <vt:lpstr>PLANILLA MENSUAL</vt:lpstr>
      <vt:lpstr>PRESTAMOS</vt:lpstr>
      <vt:lpstr>H.E</vt:lpstr>
      <vt:lpstr>COMISIONES</vt:lpstr>
      <vt:lpstr>RTA 5TA VTAS</vt:lpstr>
      <vt:lpstr>RTA 5TA</vt:lpstr>
      <vt:lpstr>SEGURO PACIFICO</vt:lpstr>
      <vt:lpstr>VACACIONES</vt:lpstr>
      <vt:lpstr>HT. EPS</vt:lpstr>
      <vt:lpstr>TARDANZA</vt:lpstr>
      <vt:lpstr>SUBSIDIO</vt:lpstr>
      <vt:lpstr>SEGURO VIDA LEY</vt:lpstr>
      <vt:lpstr>TRANSF</vt:lpstr>
      <vt:lpstr>DIARIO</vt:lpstr>
      <vt:lpstr>HH.EE</vt:lpstr>
      <vt:lpstr>PLANILLA BRUTA</vt:lpstr>
      <vt:lpstr>COSTO GRATIFICACIONES</vt:lpstr>
      <vt:lpstr>COSTO CTS </vt:lpstr>
      <vt:lpstr>COSTO VACACIONES</vt:lpstr>
      <vt:lpstr>COSTO TOTAL</vt:lpstr>
      <vt:lpstr>COMISIONES!Área_de_impresión</vt:lpstr>
      <vt:lpstr>'COSTO GRATIFICACIONES'!Área_de_impresión</vt:lpstr>
      <vt:lpstr>'LA MAR P1'!Área_de_impresión</vt:lpstr>
      <vt:lpstr>'PLANILLA MENSUAL'!Área_de_impresión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Rodriguez Ch.</dc:creator>
  <cp:keywords/>
  <dc:description/>
  <cp:lastModifiedBy>CIELO FARFAN</cp:lastModifiedBy>
  <cp:revision/>
  <cp:lastPrinted>2026-07-14T23:28:31Z</cp:lastPrinted>
  <dcterms:created xsi:type="dcterms:W3CDTF">2023-04-05T20:04:27Z</dcterms:created>
  <dcterms:modified xsi:type="dcterms:W3CDTF">2026-09-04T17:21:10Z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0x0101001A92F7613C8E3E419A0FABD8B3AC8E9F</vt:lpwstr>
  </property>
  <property fmtid="{D5CDD505-2E9C-101B-9397-08002B2CF9AE}" pid="3" name="MediaServiceImageTags">
    <vt:lpwstr/>
  </property>
</Properties>
</file>